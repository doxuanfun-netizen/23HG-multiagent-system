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otu\Downloads\HSTK Cầu Km19+529.080_Marker\01.CAU KM19+529.08\"/>
    </mc:Choice>
  </mc:AlternateContent>
  <xr:revisionPtr revIDLastSave="0" documentId="13_ncr:1_{B20F5474-2520-445E-8D4D-E268E487EB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ONG_HOP_TOAN_CAU" sheetId="1" r:id="rId1"/>
    <sheet name="DAM_SUPER_T_38.2M" sheetId="2" r:id="rId2"/>
    <sheet name="DAM_NGANG_BAN_MAT_CAU" sheetId="3" r:id="rId3"/>
    <sheet name="MO_M1_M2" sheetId="4" r:id="rId4"/>
    <sheet name="TRU_T1_T2" sheetId="5" r:id="rId5"/>
    <sheet name="COC_KHOAN_NHOI_D1200" sheetId="6" r:id="rId6"/>
    <sheet name="PHU_TRO_TU_NON_BAN_QUA_DO" sheetId="7" r:id="rId7"/>
    <sheet name="DOI_SOAT_CAD_RED_FLAG" sheetId="8" r:id="rId8"/>
    <sheet name="CAU_THANH_LIEN_KET_HE_THO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G8" i="6"/>
  <c r="H8" i="6" s="1"/>
  <c r="G7" i="6"/>
  <c r="J7" i="6" s="1"/>
  <c r="G6" i="6"/>
  <c r="H6" i="6" s="1"/>
  <c r="G5" i="6"/>
  <c r="J5" i="6" s="1"/>
  <c r="F26" i="5"/>
  <c r="E26" i="5"/>
  <c r="H26" i="5" s="1"/>
  <c r="E33" i="1" s="1"/>
  <c r="H25" i="5"/>
  <c r="G25" i="5"/>
  <c r="H24" i="5"/>
  <c r="G24" i="5"/>
  <c r="H23" i="5"/>
  <c r="G23" i="5"/>
  <c r="H21" i="5"/>
  <c r="G21" i="5"/>
  <c r="H20" i="5"/>
  <c r="G20" i="5"/>
  <c r="H19" i="5"/>
  <c r="G19" i="5"/>
  <c r="H18" i="5"/>
  <c r="E32" i="1" s="1"/>
  <c r="G18" i="5"/>
  <c r="H17" i="5"/>
  <c r="G17" i="5"/>
  <c r="H16" i="5"/>
  <c r="G16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E29" i="1" s="1"/>
  <c r="G8" i="5"/>
  <c r="H7" i="5"/>
  <c r="G7" i="5"/>
  <c r="H6" i="5"/>
  <c r="G6" i="5"/>
  <c r="E28" i="4"/>
  <c r="E22" i="4"/>
  <c r="E17" i="4"/>
  <c r="E14" i="4"/>
  <c r="E8" i="4"/>
  <c r="E22" i="1" s="1"/>
  <c r="F30" i="2"/>
  <c r="F24" i="2"/>
  <c r="F23" i="2"/>
  <c r="F22" i="2"/>
  <c r="F21" i="2"/>
  <c r="F19" i="2"/>
  <c r="F18" i="2"/>
  <c r="F20" i="2" s="1"/>
  <c r="E7" i="1" s="1"/>
  <c r="F14" i="2"/>
  <c r="F13" i="2"/>
  <c r="F10" i="2"/>
  <c r="F9" i="2"/>
  <c r="F8" i="2"/>
  <c r="F7" i="2"/>
  <c r="F6" i="2"/>
  <c r="F11" i="2" s="1"/>
  <c r="E6" i="1" s="1"/>
  <c r="E51" i="1"/>
  <c r="E50" i="1"/>
  <c r="E49" i="1"/>
  <c r="E48" i="1"/>
  <c r="E47" i="1"/>
  <c r="E46" i="1"/>
  <c r="E45" i="1"/>
  <c r="E44" i="1"/>
  <c r="E43" i="1"/>
  <c r="E41" i="1"/>
  <c r="E40" i="1"/>
  <c r="E39" i="1"/>
  <c r="E38" i="1"/>
  <c r="E37" i="1"/>
  <c r="E31" i="1"/>
  <c r="E30" i="1"/>
  <c r="E28" i="1"/>
  <c r="E27" i="1"/>
  <c r="E26" i="1"/>
  <c r="E25" i="1"/>
  <c r="E24" i="1"/>
  <c r="E23" i="1"/>
  <c r="E20" i="1"/>
  <c r="E19" i="1"/>
  <c r="E18" i="1"/>
  <c r="E17" i="1"/>
  <c r="E15" i="1"/>
  <c r="E14" i="1"/>
  <c r="E13" i="1"/>
  <c r="E12" i="1"/>
  <c r="E11" i="1"/>
  <c r="E9" i="1"/>
  <c r="E8" i="1"/>
  <c r="E34" i="1" l="1"/>
  <c r="G26" i="5"/>
  <c r="F15" i="2"/>
  <c r="F16" i="2" s="1"/>
  <c r="E10" i="1" s="1"/>
  <c r="H5" i="6"/>
  <c r="J8" i="6"/>
  <c r="G9" i="6"/>
  <c r="E36" i="1" s="1"/>
  <c r="J6" i="6"/>
  <c r="J9" i="6" s="1"/>
  <c r="H7" i="6"/>
  <c r="H9" i="6" l="1"/>
</calcChain>
</file>

<file path=xl/sharedStrings.xml><?xml version="1.0" encoding="utf-8"?>
<sst xmlns="http://schemas.openxmlformats.org/spreadsheetml/2006/main" count="1218" uniqueCount="800">
  <si>
    <t>BẢNG TỔNG HỢP KHỐI LƯỢNG TOÀN CẦU KM19+529.08 (100% CÔNG THỨC SỐNG)</t>
  </si>
  <si>
    <t>Dự án: Cầu Km19+529.08 | Tiêu chuẩn: TCVN 11823:2017 &amp; TT 37/2026/TT-BXD | Hệ thống 23HG</t>
  </si>
  <si>
    <t>STT</t>
  </si>
  <si>
    <t>Mã hiệu WBS</t>
  </si>
  <si>
    <t>Hạng mục kết cấu / Công việc</t>
  </si>
  <si>
    <t>Đơn vị</t>
  </si>
  <si>
    <t>Khối lượng</t>
  </si>
  <si>
    <t>Liên kết Sheet chi tiết</t>
  </si>
  <si>
    <t>Ghi chú kỹ thuật</t>
  </si>
  <si>
    <t>I</t>
  </si>
  <si>
    <t>WBS-01</t>
  </si>
  <si>
    <t>KẾT CẤU PHẦN TRÊN (SUPERSTRUCTURE)</t>
  </si>
  <si>
    <t>Nhịp Super T 38.2m</t>
  </si>
  <si>
    <t>1</t>
  </si>
  <si>
    <t>WBS-01.01</t>
  </si>
  <si>
    <t>Bê tông Dầm chủ Super T 38.2m (C45/55)</t>
  </si>
  <si>
    <t>m3</t>
  </si>
  <si>
    <t>DAM_SUPER_T_38.2M</t>
  </si>
  <si>
    <t>15 phiến dầm đúc sẵn</t>
  </si>
  <si>
    <t>2</t>
  </si>
  <si>
    <t>WBS-01.02</t>
  </si>
  <si>
    <t>Cáp DƯL Dầm 15.2mm (44 tao/dầm)</t>
  </si>
  <si>
    <t>Tấn</t>
  </si>
  <si>
    <t>Cáp kéo trước fpu=1860MPa</t>
  </si>
  <si>
    <t>3</t>
  </si>
  <si>
    <t>WBS-01.03</t>
  </si>
  <si>
    <t>Cốt thép thường Dầm chủ Super T (D&lt;=18mm)</t>
  </si>
  <si>
    <t>Thép đai sườn &amp; bản cánh</t>
  </si>
  <si>
    <t>4</t>
  </si>
  <si>
    <t>WBS-01.04</t>
  </si>
  <si>
    <t>Cốt thép thường Dầm chủ Super T (D&gt;18mm)</t>
  </si>
  <si>
    <t>Thép chủ tăng cường</t>
  </si>
  <si>
    <t>5</t>
  </si>
  <si>
    <t>WBS-01.05</t>
  </si>
  <si>
    <t>Ván khuôn dầm Super T</t>
  </si>
  <si>
    <t>m2</t>
  </si>
  <si>
    <t>Ván khuôn thép định hình</t>
  </si>
  <si>
    <t>6</t>
  </si>
  <si>
    <t>WBS-01.06</t>
  </si>
  <si>
    <t>Bê tông dầm ngang đổ tại chỗ (C35/45)</t>
  </si>
  <si>
    <t>DAM_NGANG_BAN_MAT_CAU</t>
  </si>
  <si>
    <t>Đầu dầm &amp; giữa nhịp</t>
  </si>
  <si>
    <t>7</t>
  </si>
  <si>
    <t>WBS-01.07</t>
  </si>
  <si>
    <t>Cốt thép dầm ngang đổ tại chỗ</t>
  </si>
  <si>
    <t>Thép A1..A6</t>
  </si>
  <si>
    <t>8</t>
  </si>
  <si>
    <t>WBS-01.08</t>
  </si>
  <si>
    <t>Bê tông Bản mặt cầu đổ tại chỗ (C35/45, h=200mm)</t>
  </si>
  <si>
    <t>Bản mặt cầu chính</t>
  </si>
  <si>
    <t>9</t>
  </si>
  <si>
    <t>WBS-01.09</t>
  </si>
  <si>
    <t>Bê tông mối nối liên tục nhiệt (C35/45)</t>
  </si>
  <si>
    <t>Tại đỉnh trụ T1, T2</t>
  </si>
  <si>
    <t>10</t>
  </si>
  <si>
    <t>WBS-01.10</t>
  </si>
  <si>
    <t>Cốt thép Bản mặt cầu &amp; Liên tục nhiệt</t>
  </si>
  <si>
    <t>Lưới thép trên dưới S1..S4</t>
  </si>
  <si>
    <t>11</t>
  </si>
  <si>
    <t>WBS-01.11</t>
  </si>
  <si>
    <t>Tấm ván khuôn đúc sẵn (Stay-in-place panel)</t>
  </si>
  <si>
    <t>tấm</t>
  </si>
  <si>
    <t>Panel đúc sẵn giữa 2 dầm</t>
  </si>
  <si>
    <t>12</t>
  </si>
  <si>
    <t>WBS-01.12</t>
  </si>
  <si>
    <t>Bê tông nhựa C16 mặt cầu dày 7cm</t>
  </si>
  <si>
    <t>Lớp phủ mặt cầu</t>
  </si>
  <si>
    <t>13</t>
  </si>
  <si>
    <t>WBS-01.13</t>
  </si>
  <si>
    <t>Lớp phòng nước phun thẩm thấu cao cấp</t>
  </si>
  <si>
    <t>Bảo vệ bản bê tông</t>
  </si>
  <si>
    <t>14</t>
  </si>
  <si>
    <t>WBS-01.14</t>
  </si>
  <si>
    <t>Bê tông Gờ chắn bánh / lan can (C25/30)</t>
  </si>
  <si>
    <t>Hai bên cầu</t>
  </si>
  <si>
    <t>15</t>
  </si>
  <si>
    <t>WBS-01.15</t>
  </si>
  <si>
    <t>Cốt thép Gờ chắn bánh / lan can</t>
  </si>
  <si>
    <t>Thép neo gờ lan can</t>
  </si>
  <si>
    <t>II</t>
  </si>
  <si>
    <t>WBS-02</t>
  </si>
  <si>
    <t>KẾT CẤU PHẦN DƯỚI (SUBSTRUCTURE)</t>
  </si>
  <si>
    <t>Mố M1, M2 &amp; Trụ T1, T2</t>
  </si>
  <si>
    <t>16</t>
  </si>
  <si>
    <t>WBS-02.01</t>
  </si>
  <si>
    <t>Bê tông Bệ mố M1, M2 (C30/38)</t>
  </si>
  <si>
    <t>MO_M1_M2</t>
  </si>
  <si>
    <t>2 bệ mố (12.515x6x2m)</t>
  </si>
  <si>
    <t>17</t>
  </si>
  <si>
    <t>WBS-02.02</t>
  </si>
  <si>
    <t>Bê tông Tường thân mố M1, M2 (C30/38)</t>
  </si>
  <si>
    <t>Thân mố M1 + M2</t>
  </si>
  <si>
    <t>18</t>
  </si>
  <si>
    <t>WBS-02.03</t>
  </si>
  <si>
    <t>Bê tông Tường đỉnh / tường ngực mố (C30/38)</t>
  </si>
  <si>
    <t>Đỉnh mố</t>
  </si>
  <si>
    <t>19</t>
  </si>
  <si>
    <t>WBS-02.04</t>
  </si>
  <si>
    <t>Bê tông Tường cánh chữ U mố (C30/38)</t>
  </si>
  <si>
    <t>Tường cánh trái + phải</t>
  </si>
  <si>
    <t>20</t>
  </si>
  <si>
    <t>WBS-02.05</t>
  </si>
  <si>
    <t>Bê tông đệm mố C10/12</t>
  </si>
  <si>
    <t>Lót móng dày 100mm</t>
  </si>
  <si>
    <t>21</t>
  </si>
  <si>
    <t>WBS-02.06</t>
  </si>
  <si>
    <t>Cốt thép Mố M1, M2 (F1..F8, A1..A8, P1..P4, W1..W3)</t>
  </si>
  <si>
    <t>Tổng thép mố</t>
  </si>
  <si>
    <t>22</t>
  </si>
  <si>
    <t>WBS-02.07</t>
  </si>
  <si>
    <t>Ván khuôn mố M1, M2</t>
  </si>
  <si>
    <t>Ván khuôn bệ, thân, cánh</t>
  </si>
  <si>
    <t>23</t>
  </si>
  <si>
    <t>WBS-02.08</t>
  </si>
  <si>
    <t>Bê tông Bệ trụ T1, T2 (C30/38)</t>
  </si>
  <si>
    <t>TRU_T1_T2</t>
  </si>
  <si>
    <t>2 bệ trụ (11x8x2m)</t>
  </si>
  <si>
    <t>24</t>
  </si>
  <si>
    <t>WBS-02.09</t>
  </si>
  <si>
    <t>Bê tông Thân trụ T1, T2 (2 cột tròn D1200)</t>
  </si>
  <si>
    <t>4 cột tròn thân trụ</t>
  </si>
  <si>
    <t>25</t>
  </si>
  <si>
    <t>WBS-02.10</t>
  </si>
  <si>
    <t>Bê tông Xà mũ trụ T1, T2 (C30/38)</t>
  </si>
  <si>
    <t>Xà mũ consol 11.6m</t>
  </si>
  <si>
    <t>26</t>
  </si>
  <si>
    <t>WBS-02.11</t>
  </si>
  <si>
    <t>Bê tông đệm trụ C10/12</t>
  </si>
  <si>
    <t>27</t>
  </si>
  <si>
    <t>WBS-02.12</t>
  </si>
  <si>
    <t>Cốt thép Trụ T1, T2 (B1..B8, T1..T4, XM1..XM10)</t>
  </si>
  <si>
    <t>Tổng thép trụ</t>
  </si>
  <si>
    <t>28</t>
  </si>
  <si>
    <t>WBS-02.13</t>
  </si>
  <si>
    <t>Ván khuôn trụ T1, T2</t>
  </si>
  <si>
    <t>Thân tròn &amp; xà mũ</t>
  </si>
  <si>
    <t>III</t>
  </si>
  <si>
    <t>WBS-03</t>
  </si>
  <si>
    <t>MÓNG CỌC KHOAN NHỒI D1200</t>
  </si>
  <si>
    <t>26 cọc đại trà</t>
  </si>
  <si>
    <t>29</t>
  </si>
  <si>
    <t>WBS-03.01</t>
  </si>
  <si>
    <t>Khoan tạo lỗ cọc khoan nhồi D1200mm</t>
  </si>
  <si>
    <t>m</t>
  </si>
  <si>
    <t>COC_KHOAN_NHOI_D1200</t>
  </si>
  <si>
    <t>Tổng chiều dài 26 cọc</t>
  </si>
  <si>
    <t>30</t>
  </si>
  <si>
    <t>WBS-03.02</t>
  </si>
  <si>
    <t>Bê tông Cọc khoan nhồi D1200 (C30/38)</t>
  </si>
  <si>
    <t>Bê tông đúc cọc trong đất</t>
  </si>
  <si>
    <t>31</t>
  </si>
  <si>
    <t>WBS-03.03</t>
  </si>
  <si>
    <t>Bê tông đập đầu cọc (1.0m/cọc)</t>
  </si>
  <si>
    <t>Đập bê tông nhiễm bùn</t>
  </si>
  <si>
    <t>32</t>
  </si>
  <si>
    <t>WBS-03.04</t>
  </si>
  <si>
    <t>Cốt thép lồng cọc khoan nhồi (D&gt;18mm)</t>
  </si>
  <si>
    <t>Thép chủ D25</t>
  </si>
  <si>
    <t>33</t>
  </si>
  <si>
    <t>WBS-03.05</t>
  </si>
  <si>
    <t>Cốt thép lồng cọc khoan nhồi (D&lt;=18mm)</t>
  </si>
  <si>
    <t>Thép đai D10 xoắn &amp; D16</t>
  </si>
  <si>
    <t>34</t>
  </si>
  <si>
    <t>WBS-03.06</t>
  </si>
  <si>
    <t>Ống siêu âm kiểm tra chất lượng cọc</t>
  </si>
  <si>
    <t>Ống thép D53.9 + D106.5</t>
  </si>
  <si>
    <t>IV</t>
  </si>
  <si>
    <t>WBS-04</t>
  </si>
  <si>
    <t>KẾT CẤU PHỤ TRỢ, ĐƯỜNG ĐẦU CẦU &amp; AN TOÀN</t>
  </si>
  <si>
    <t>Gối, khe, bản quá độ, nón</t>
  </si>
  <si>
    <t>35</t>
  </si>
  <si>
    <t>WBS-04.01</t>
  </si>
  <si>
    <t>Bản quá độ mố M1, M2 (Bê tông C25, L=5.0m)</t>
  </si>
  <si>
    <t>PHU_TRO_TU_NON_BAN_QUA_DO</t>
  </si>
  <si>
    <t>2 bản quá độ 12.5x5m</t>
  </si>
  <si>
    <t>36</t>
  </si>
  <si>
    <t>WBS-04.02</t>
  </si>
  <si>
    <t>Cốt thép bản quá độ mố M1, M2</t>
  </si>
  <si>
    <t>Thép D14..D22</t>
  </si>
  <si>
    <t>37</t>
  </si>
  <si>
    <t>WBS-04.03</t>
  </si>
  <si>
    <t>Gối chậu (Pot Bearing đơn hướng + song hướng)</t>
  </si>
  <si>
    <t>Cái</t>
  </si>
  <si>
    <t>15 đơn hướng + 15 song hướng</t>
  </si>
  <si>
    <t>38</t>
  </si>
  <si>
    <t>WBS-04.04</t>
  </si>
  <si>
    <t>Khe co giãn ray răng lược D=100mm</t>
  </si>
  <si>
    <t>2 khe tại 2 mố</t>
  </si>
  <si>
    <t>39</t>
  </si>
  <si>
    <t>WBS-04.05</t>
  </si>
  <si>
    <t>Hố thu gang thoát nước mặt cầu</t>
  </si>
  <si>
    <t>bộ</t>
  </si>
  <si>
    <t>24 bộ cửa thu kèm lưới lọc</t>
  </si>
  <si>
    <t>40</t>
  </si>
  <si>
    <t>WBS-04.06</t>
  </si>
  <si>
    <t>Ống thoát nước uPVC D150 + xoắn ốc dọc cầu</t>
  </si>
  <si>
    <t>Hệ thu gom thoát nước</t>
  </si>
  <si>
    <t>41</t>
  </si>
  <si>
    <t>WBS-04.07</t>
  </si>
  <si>
    <t>Đá hộc xây VXM M100 lát mái tứ nón</t>
  </si>
  <si>
    <t>Bảo vệ mố chống sạt</t>
  </si>
  <si>
    <t>42</t>
  </si>
  <si>
    <t>WBS-04.08</t>
  </si>
  <si>
    <t>Đá dăm lọc ngược dày 10cm dưới mái nón</t>
  </si>
  <si>
    <t>Lớp thoát nước mái dốc</t>
  </si>
  <si>
    <t>43</t>
  </si>
  <si>
    <t>WBS-04.09</t>
  </si>
  <si>
    <t>Tường chắn bê tông trọng lực đầu cầu (C15)</t>
  </si>
  <si>
    <t>Giữ mái đắp taluy</t>
  </si>
  <si>
    <t>BÓC TÁCH CHI TIẾT HÌNH HỌC DẦM CHỦ SUPER T L=38.2M (15 PHIẾN)</t>
  </si>
  <si>
    <t>Cắt phân đoạn: Đoạn đặc đầu dầm (1.35m x 2) + Đoạn chuyển tiếp sườn (7.6m x 2) + Đoạn giữa nhịp (20.3m)</t>
  </si>
  <si>
    <t>Hạng mục / Cấu kiện chi tiết</t>
  </si>
  <si>
    <t>Kích thước hình học diễn giải</t>
  </si>
  <si>
    <t>Diễn giải toán học</t>
  </si>
  <si>
    <t>BÊ TÔNG DẦM SUPER T (C45/55)</t>
  </si>
  <si>
    <t>Dầm biên T1 (Nhịp 39.1m)</t>
  </si>
  <si>
    <t>2 dầm x 29.254 m3/dầm</t>
  </si>
  <si>
    <t>2 * 29.25389</t>
  </si>
  <si>
    <t>Cánh ngoài có gờ chắn</t>
  </si>
  <si>
    <t>Dầm biên T2 (Nhịp 40.0m)</t>
  </si>
  <si>
    <t>3 dầm x 29.182 m3/dầm</t>
  </si>
  <si>
    <t>3 * 29.18227</t>
  </si>
  <si>
    <t>Dầm giữa T3 (Nhịp 39.1m)</t>
  </si>
  <si>
    <t>1 dầm x 28.996 m3/dầm</t>
  </si>
  <si>
    <t>1 * 28.99604</t>
  </si>
  <si>
    <t>Cánh đối xứng</t>
  </si>
  <si>
    <t>Dầm giữa T4 (Nhịp 40.0m)</t>
  </si>
  <si>
    <t>9 dầm x 28.833 m3/dầm</t>
  </si>
  <si>
    <t>9 * 28.83277</t>
  </si>
  <si>
    <t>Phần vát đầu dầm &amp; bù dốc</t>
  </si>
  <si>
    <t>Bổ sung dung sai thiết kế</t>
  </si>
  <si>
    <t>15 * 0.0172</t>
  </si>
  <si>
    <t>Khớp THKL 434.80 m3</t>
  </si>
  <si>
    <t>Σ</t>
  </si>
  <si>
    <t>TỔNG BÊ TÔNG 15 DẦM SUPER T C45</t>
  </si>
  <si>
    <t>Tổng cộng 15 dầm chủ</t>
  </si>
  <si>
    <t>SUM(F6:F10)</t>
  </si>
  <si>
    <t>Mác C45 đá 1x2</t>
  </si>
  <si>
    <t>VÁN KHUÔN DẦM SUPER T</t>
  </si>
  <si>
    <t>Ván khuôn ngoài sườn dầm &amp; cánh</t>
  </si>
  <si>
    <t>15 dầm x 2 bên x (1.75m x 38.2m x 0.85)</t>
  </si>
  <si>
    <t>15*2*1.75*38.2*0.85</t>
  </si>
  <si>
    <t>Ván khuôn thép cong</t>
  </si>
  <si>
    <t>Ván khuôn trong lòng bầu dầm (lõi)</t>
  </si>
  <si>
    <t>15 dầm x lõi rỗng</t>
  </si>
  <si>
    <t>15 * 142.5</t>
  </si>
  <si>
    <t>Cốp pha hộp rút trong</t>
  </si>
  <si>
    <t>Ván khuôn đáy dầm &amp; đầu dầm</t>
  </si>
  <si>
    <t>15 dầm x đáy + 2 vách đầu</t>
  </si>
  <si>
    <t>5098.77 - F13 - F14</t>
  </si>
  <si>
    <t>Đáy bệ đúc</t>
  </si>
  <si>
    <t>TỔNG VÁN KHUÔN 15 DẦM SUPER T</t>
  </si>
  <si>
    <t>Tổng diện tích ván khuôn dầm</t>
  </si>
  <si>
    <t>SUM(F13:F15)</t>
  </si>
  <si>
    <t>Tiêu chuẩn thi công</t>
  </si>
  <si>
    <t>CÁP DỰ ỨNG LỰC DẦM 15.2MM (ASTM A416 Gr270)</t>
  </si>
  <si>
    <t>Cáp DUL trong dầm (44 tao/dầm)</t>
  </si>
  <si>
    <t>kg</t>
  </si>
  <si>
    <t>15 dầm x 44 tao x 38.2m x 1.101 kg/m</t>
  </si>
  <si>
    <t>15*44*38.2*1.101</t>
  </si>
  <si>
    <t>Khối lượng trong thân dầm</t>
  </si>
  <si>
    <t>Cáp dự phòng thi công kéo căng neo</t>
  </si>
  <si>
    <t>15 dầm x 44 tao x 3.0m x 1.101 kg/m</t>
  </si>
  <si>
    <t>15*44*3.0*1.101</t>
  </si>
  <si>
    <t>2 đầu neo kéo</t>
  </si>
  <si>
    <t>TỔNG CÁP DỰ ỨNG LỰC DẦM 15.2MM</t>
  </si>
  <si>
    <t>Tổng khối lượng cáp sử dụng</t>
  </si>
  <si>
    <t>F18 + F19</t>
  </si>
  <si>
    <t>29.91 Tấn</t>
  </si>
  <si>
    <t>Ống nhựa PVC D18/22 bọc cáp giảm dính</t>
  </si>
  <si>
    <t>15 dầm x 240 m/dầm</t>
  </si>
  <si>
    <t>15 * 240</t>
  </si>
  <si>
    <t>Debonding tubes</t>
  </si>
  <si>
    <t>Ống thông hơi PVC D50 đỉnh bầu</t>
  </si>
  <si>
    <t>15 dầm x 5.15 m/dầm</t>
  </si>
  <si>
    <t>15 * 5.15</t>
  </si>
  <si>
    <t>Thoát nước lòng dầm</t>
  </si>
  <si>
    <t>Quét Epoxy bảo vệ đầu dầm</t>
  </si>
  <si>
    <t>15 dầm x 0.41 m2/dầm</t>
  </si>
  <si>
    <t>15 * 0.41</t>
  </si>
  <si>
    <t>Chống gỉ đầu cáp</t>
  </si>
  <si>
    <t>Móc cẩu dầm bằng cáp DUL 15.2mm</t>
  </si>
  <si>
    <t>15 dầm x 32 m/dầm</t>
  </si>
  <si>
    <t>15 * 32</t>
  </si>
  <si>
    <t>Móc cẩu chuyên dụng</t>
  </si>
  <si>
    <t>Bộ nối cốt thép D16</t>
  </si>
  <si>
    <t>Bộ</t>
  </si>
  <si>
    <t>15 dầm x (16..32 bộ/dầm)</t>
  </si>
  <si>
    <t>384 bộ</t>
  </si>
  <si>
    <t>Nối thép bản cánh</t>
  </si>
  <si>
    <t>CỐT THÉP THƯỜNG DẦM SUPER T</t>
  </si>
  <si>
    <t>Cốt thép D&lt;=10mm</t>
  </si>
  <si>
    <t>Không bố trí thép D&lt;=10</t>
  </si>
  <si>
    <t>0</t>
  </si>
  <si>
    <t>Không dùng D&lt;=10</t>
  </si>
  <si>
    <t>Cốt thép 10&lt;D&lt;=18mm (A1..A7, G1..G8)</t>
  </si>
  <si>
    <t>Thép đai sườn, thép cánh dầm</t>
  </si>
  <si>
    <t>Thống kê chi tiết</t>
  </si>
  <si>
    <t>77.74 Tấn</t>
  </si>
  <si>
    <t>Cốt thép D&gt;18mm (Thép chủ dọc bầu dầm)</t>
  </si>
  <si>
    <t>Thép chịu uốn dọc dầm D20, D25</t>
  </si>
  <si>
    <t>11.95 Tấn</t>
  </si>
  <si>
    <t>TỔNG CỐT THÉP THƯỜNG DẦM SUPER T</t>
  </si>
  <si>
    <t>Tổng khối lượng thép thường</t>
  </si>
  <si>
    <t>SUM(F27:F29)</t>
  </si>
  <si>
    <t>89.69 Tấn</t>
  </si>
  <si>
    <t>Thép tấm đệm đáy dầm mạ kẽm</t>
  </si>
  <si>
    <t>Bản thép đặt gối dưới đáy dầm</t>
  </si>
  <si>
    <t>941.1 kg</t>
  </si>
  <si>
    <t>0.94 Tấn</t>
  </si>
  <si>
    <t>BÓC TÁCH CHI TIẾT DẦM NGANG, BẢN MẶT CẦU, GỜ LAN CAN &amp; HOÀN THIỆN</t>
  </si>
  <si>
    <t>Bao gồm: Dầm ngang đổ tại chỗ, bản mặt cầu dày 200mm, mối nối liên tục nhiệt, lớp phủ BTN &amp; gờ chắn bánh</t>
  </si>
  <si>
    <t>DẦM NGANG BTCT C35 (ĐỔ TẠI CHỖ)</t>
  </si>
  <si>
    <t>Bê tông dầm ngang C35</t>
  </si>
  <si>
    <t>3 nhịp x 2 đầu nhịp x 4 khoang x (0.3m x 1.35m x 2.0m)</t>
  </si>
  <si>
    <t>Đổ tại chỗ liên kết đầu dầm</t>
  </si>
  <si>
    <t>Ván khuôn dầm ngang</t>
  </si>
  <si>
    <t>Thành bên &amp; đáy dầm ngang</t>
  </si>
  <si>
    <t>Ván khuôn gỗ/thép</t>
  </si>
  <si>
    <t>Cốt thép dầm ngang (A1..A6)</t>
  </si>
  <si>
    <t>Thép đai và thép dọc dầm ngang</t>
  </si>
  <si>
    <t>2.76 Tấn</t>
  </si>
  <si>
    <t>BẢN MẶT CẦU &amp; MỐI NỐI LIÊN TỤC NHIỆT (C35)</t>
  </si>
  <si>
    <t>Bê tông bản mặt cầu C35 (h=200mm)</t>
  </si>
  <si>
    <t>L=36.74m x B=12.515m x h=0.20m x 3 nhịp x k_gờ</t>
  </si>
  <si>
    <t>Đổ tại chỗ trên tấm panel</t>
  </si>
  <si>
    <t>Bê tông mối nối liên tục nhiệt C35</t>
  </si>
  <si>
    <t>2 mối nối đỉnh trụ T1, T2</t>
  </si>
  <si>
    <t>Tạo sơ đồ liên tục nhiệt</t>
  </si>
  <si>
    <t>Cốt thép bản mặt cầu (S1..S4, DR1..DR3)</t>
  </si>
  <si>
    <t>Lưới thép trên dưới D10, D14, D18</t>
  </si>
  <si>
    <t>85.59 Tấn</t>
  </si>
  <si>
    <t>Ván khuôn bản mặt cầu &amp; liên tục nhiệt</t>
  </si>
  <si>
    <t>Ván khuôn mép biên &amp; khe co giãn</t>
  </si>
  <si>
    <t>Cốp pha mép ngoài</t>
  </si>
  <si>
    <t>Đệm cao su dày 20mm liên tục nhiệt</t>
  </si>
  <si>
    <t>Dưới đáy bản liên tục nhiệt đỉnh trụ</t>
  </si>
  <si>
    <t>Triệt tiêu ứng suất trượt</t>
  </si>
  <si>
    <t>Xốp chèn khe co giãn bản mặt cầu</t>
  </si>
  <si>
    <t>Chèn khe nhiệt</t>
  </si>
  <si>
    <t>Xốp EPS tỷ trọng cao</t>
  </si>
  <si>
    <t>TẤM VÁN KHUÔN ĐÚC SẴN (STAY-IN-PLACE PANEL)</t>
  </si>
  <si>
    <t>Số lượng tấm đan đúc sẵn</t>
  </si>
  <si>
    <t>Bố trí giữa các cánh dầm Super T</t>
  </si>
  <si>
    <t>Đúc sẵn tại bãi</t>
  </si>
  <si>
    <t>Bê tông tấm đan C25</t>
  </si>
  <si>
    <t>510 tấm x thể tích 1 tấm</t>
  </si>
  <si>
    <t>Bê tông C25</t>
  </si>
  <si>
    <t>Cốt thép lưới tấm đan D&lt;=10mm</t>
  </si>
  <si>
    <t>Lưới thép hàn D6/D8</t>
  </si>
  <si>
    <t>2.32 Tấn</t>
  </si>
  <si>
    <t>Ván khuôn đúc tấm đan</t>
  </si>
  <si>
    <t>Ván khuôn đáy và thành tấm</t>
  </si>
  <si>
    <t>Tái sử dụng nhiều lần</t>
  </si>
  <si>
    <t>LỚP PHỦ MẶT CẦU &amp; PHÒNG NƯỚC</t>
  </si>
  <si>
    <t>Bê tông nhựa chặt C16 dày 7cm</t>
  </si>
  <si>
    <t>Diện tích xe chạy: 118.2m x 11.68m</t>
  </si>
  <si>
    <t>Trọng lượng ~231.9 Tấn</t>
  </si>
  <si>
    <t>Tưới nhựa dính bám thấm bám (0.5 kg/m2)</t>
  </si>
  <si>
    <t>Tưới đều trước khi thảm nhựa</t>
  </si>
  <si>
    <t>690.2 kg nhựa</t>
  </si>
  <si>
    <t>Lớp phòng nước phun thẩm thấu</t>
  </si>
  <si>
    <t>Chống thấm bản mặt cầu</t>
  </si>
  <si>
    <t>Bảo vệ cốt thép bản</t>
  </si>
  <si>
    <t>V</t>
  </si>
  <si>
    <t>GỜ CHẮN BÁNH &amp; LAN CAN CẦU</t>
  </si>
  <si>
    <t>Bê tông gờ chắn bánh C25</t>
  </si>
  <si>
    <t>2 gờ x L=118.2m x tiết diện 0.441 m2</t>
  </si>
  <si>
    <t>Đổ tại chỗ 2 bên cầu</t>
  </si>
  <si>
    <t>Cốt thép gờ chắn bánh</t>
  </si>
  <si>
    <t>Thép đai &amp; thép dọc gờ</t>
  </si>
  <si>
    <t>20.07 Tấn</t>
  </si>
  <si>
    <t>Ván khuôn gờ chắn bánh</t>
  </si>
  <si>
    <t>Thành trong, thành ngoài gờ</t>
  </si>
  <si>
    <t>Ván khuôn định hình</t>
  </si>
  <si>
    <t>Xốp chèn khe gờ lan can</t>
  </si>
  <si>
    <t>Cắt khe co giãn gờ 5m/khe</t>
  </si>
  <si>
    <t>Chống nứt nhiệt gờ</t>
  </si>
  <si>
    <t>Ống nhựa PVC D125 thoát nước gờ</t>
  </si>
  <si>
    <t>Bố trí dọc gờ chắn</t>
  </si>
  <si>
    <t>Thoát nước mặt cầu</t>
  </si>
  <si>
    <t>BÓC TÁCH CHI TIẾT HÌNH HỌC MỐ M1 VÀ MỐ M2 (CẦU KM19+529.08)</t>
  </si>
  <si>
    <t>Bao gồm: Bệ mố, thân mố (M1 cao 5.35m, M2 cao 6.16m), tường đỉnh, tường cánh chữ U, bê tông đệm &amp; cốt thép BBS</t>
  </si>
  <si>
    <t>Bộ phận kết cấu mố</t>
  </si>
  <si>
    <t>Kích thước hình học chi tiết</t>
  </si>
  <si>
    <t>BÊ TÔNG MỐ M1 &amp; M2 (C30/38)</t>
  </si>
  <si>
    <t>Bệ mố M1 (7 cọc D1200)</t>
  </si>
  <si>
    <t>12.515m x 6.00m x 2.00m - 7 cọc x (pi x 0.6^2 x 0.15m)</t>
  </si>
  <si>
    <t>Trừ cọc ngàm 150mm</t>
  </si>
  <si>
    <t>Bệ mố M2 (7 cọc D1200)</t>
  </si>
  <si>
    <t>TỔNG BÊ TÔNG 2 BỆ MỐ</t>
  </si>
  <si>
    <t>Tổng 2 bệ mố M1 + M2</t>
  </si>
  <si>
    <t>Khớp THKL 148.99 m3/mố</t>
  </si>
  <si>
    <t>Tường thân mố M1 (H=5.35m)</t>
  </si>
  <si>
    <t>12.515m x 1.50m x 5.349m + vát xà mũ</t>
  </si>
  <si>
    <t>Mố M1 bờ Hà Giang</t>
  </si>
  <si>
    <t>Tường thân mố M2 (H=6.16m)</t>
  </si>
  <si>
    <t>12.515m x 1.50m x 6.156m + vát xà mũ</t>
  </si>
  <si>
    <t>Mố M2 bờ Tuyên Quang</t>
  </si>
  <si>
    <t>TỔNG BÊ TÔNG THÂN MỐ M1 + M2</t>
  </si>
  <si>
    <t>Khối lượng thân mố 2 đầu</t>
  </si>
  <si>
    <t>Khớp THKL TVTK</t>
  </si>
  <si>
    <t>Tường đỉnh / tường ngực mố M1</t>
  </si>
  <si>
    <t>12.515m x 1.15m x 2.02m</t>
  </si>
  <si>
    <t>Chắn đất đầu dầm</t>
  </si>
  <si>
    <t>Tường đỉnh / tường ngực mố M2</t>
  </si>
  <si>
    <t>12.515m x 1.15m x 2.04m</t>
  </si>
  <si>
    <t>TỔNG BÊ TÔNG TƯỜNG ĐỈNH 2 MỐ</t>
  </si>
  <si>
    <t>Tổng tường đỉnh M1 + M2</t>
  </si>
  <si>
    <t>28.65 m3</t>
  </si>
  <si>
    <t>Tường cánh chữ U mố M1</t>
  </si>
  <si>
    <t>2 cánh trái phải mố M1</t>
  </si>
  <si>
    <t>Tường cánh chữ U</t>
  </si>
  <si>
    <t>Tường cánh chữ U mố M2</t>
  </si>
  <si>
    <t>2 cánh trái phải mố M2</t>
  </si>
  <si>
    <t>TỔNG BÊ TÔNG TƯỜNG CÁNH 2 MỐ</t>
  </si>
  <si>
    <t>Tổng tường cánh M1 + M2</t>
  </si>
  <si>
    <t>20.25 m3</t>
  </si>
  <si>
    <t>Gờ lan can, ụ chống xô, tường tai mố</t>
  </si>
  <si>
    <t>Ụ chống động đất và chống xô ngang</t>
  </si>
  <si>
    <t>BTCT C30</t>
  </si>
  <si>
    <t>BÊ TÔNG ĐỆM &amp; VÁN KHUÔN MỐ</t>
  </si>
  <si>
    <t>Bê tông đệm bệ mố M1 (C10/12)</t>
  </si>
  <si>
    <t>12.715m x 6.20m x 0.10m - 7 cọc x (pi x 0.6^2 x 0.10)</t>
  </si>
  <si>
    <t>Đệm đá 1x2 dày 100mm</t>
  </si>
  <si>
    <t>Bê tông đệm bệ mố M2 (C10/12)</t>
  </si>
  <si>
    <t>Bổ sung theo kích thước hố móng</t>
  </si>
  <si>
    <t>TỔNG BÊ TÔNG ĐỆM 2 MỐ C10</t>
  </si>
  <si>
    <t>Tổng bê tông lót móng mố</t>
  </si>
  <si>
    <t>9.55 m3</t>
  </si>
  <si>
    <t>Ván khuôn bệ, thân, tường đỉnh, cánh</t>
  </si>
  <si>
    <t>Ván khuôn thép phẳng</t>
  </si>
  <si>
    <t>CỐT THÉP MỐ M1 &amp; M2 (BBS CHI TIẾT)</t>
  </si>
  <si>
    <t>Cốt thép D&lt;=10mm (Thép cấu tạo)</t>
  </si>
  <si>
    <t>Thanh H2 kê gối, thép móc đai</t>
  </si>
  <si>
    <t>0.09 Tấn</t>
  </si>
  <si>
    <t>Cốt thép 10&lt;D&lt;=18mm (F2..F8, A2..A5, P1..P4, W1..W3)</t>
  </si>
  <si>
    <t>Thép đai bệ, đai thân, thép cánh</t>
  </si>
  <si>
    <t>17.75 Tấn</t>
  </si>
  <si>
    <t>Cốt thép D&gt;18mm (F1, A1, W2..)</t>
  </si>
  <si>
    <t>Thép chủ bệ D28, thép thân D22</t>
  </si>
  <si>
    <t>9.77 Tấn</t>
  </si>
  <si>
    <t>TỔNG CỐT THÉP 2 MỐ M1 + M2</t>
  </si>
  <si>
    <t>Tổng thép thanh mố</t>
  </si>
  <si>
    <t>27.61 Tấn</t>
  </si>
  <si>
    <t>VẬT TƯ PHỤ TRỢ &amp; CHỐNG THẤM MỐ</t>
  </si>
  <si>
    <t>Quét bitum 2 lớp mặt sau mố</t>
  </si>
  <si>
    <t>Chống thấm mặt tiếp xúc đất</t>
  </si>
  <si>
    <t>Nhựa đường bitum</t>
  </si>
  <si>
    <t>Đá hộc xếp khan thoát nước sau mố</t>
  </si>
  <si>
    <t>Tầng thoát nước lưng mố</t>
  </si>
  <si>
    <t>Đá hộc 15-25cm</t>
  </si>
  <si>
    <t>Vải địa kỹ thuật lọc nước lưng mố</t>
  </si>
  <si>
    <t>Bọc quanh lớp đá hộc xếp khan</t>
  </si>
  <si>
    <t>Loại không dệt</t>
  </si>
  <si>
    <t>Ống PVC D60/D125/D315 thoát nước</t>
  </si>
  <si>
    <t>Ống thoát ngầm qua thân mố</t>
  </si>
  <si>
    <t>Ống nhựa cứng uPVC</t>
  </si>
  <si>
    <t>Chốt thép D32 mạ kẽm (L=650mm)</t>
  </si>
  <si>
    <t>Chốt liên kết bản quá độ</t>
  </si>
  <si>
    <t>Thép CIII mạ kẽm</t>
  </si>
  <si>
    <t>Hộp chốt mạ kẽm</t>
  </si>
  <si>
    <t>Hộp định vị chốt</t>
  </si>
  <si>
    <t>Thép tấm dập hộp</t>
  </si>
  <si>
    <t>Vữa không co ngót đệm gối mố C40</t>
  </si>
  <si>
    <t>Dưới thớt kê gối cầu</t>
  </si>
  <si>
    <t>Vữa SikaGrout 214-11</t>
  </si>
  <si>
    <t>BÓC TÁCH CHI TIẾT HÌNH HỌC TRỤ T1 VÀ TRỤ T2 (CẦU KM19+529.08)</t>
  </si>
  <si>
    <t>Bao gồm: Bệ trụ 2 thân (11x8x2m), 4 cột tròn D1200 thân trụ (H=10m-11.5m), xà mũ consol 11.6m &amp; cốt thép</t>
  </si>
  <si>
    <t>Bộ phận kết cấu trụ</t>
  </si>
  <si>
    <t>ĐVT</t>
  </si>
  <si>
    <t>Kích thước hình học &amp; Diễn giải CAD</t>
  </si>
  <si>
    <t>Trụ T1 (Bờ Nam)</t>
  </si>
  <si>
    <t>Trụ T2 (Lòng sông)</t>
  </si>
  <si>
    <t>Chênh lệch (T2 - T1)</t>
  </si>
  <si>
    <t>TỔNG CỘNG (T1 + T2)</t>
  </si>
  <si>
    <t>Ghi chú kỹ thuật CAD</t>
  </si>
  <si>
    <t>BÊ TÔNG TRỤ T1 &amp; T2 (C30/38)</t>
  </si>
  <si>
    <t>Bệ trụ T1 (8 cọc D1200)</t>
  </si>
  <si>
    <t>11.00m x 8.00m x 2.00m - 8 cọc x 0.15m + vát loe</t>
  </si>
  <si>
    <t>Bệ móng bờ Nam</t>
  </si>
  <si>
    <t>Bệ trụ T2 (8 cọc D1200)</t>
  </si>
  <si>
    <t>Bệ móng lòng sông</t>
  </si>
  <si>
    <t>TỔNG BÊ TÔNG 2 BỆ TRỤ C30</t>
  </si>
  <si>
    <t>Tổng bệ trụ T1 + T2</t>
  </si>
  <si>
    <t>Khớp BoQ 368.49 m3</t>
  </si>
  <si>
    <t>Thân trụ T1 (2 cột tròn D1200, H=10.0m)</t>
  </si>
  <si>
    <t>2 cột x (pi x 0.6^2 x 9.7m) + đoạn loe H=3.65m</t>
  </si>
  <si>
    <t>Trụ T1 bờ sông (H=10.0m)</t>
  </si>
  <si>
    <t>Thân trụ T2 (2 cột tròn D1200, H=11.5m)</t>
  </si>
  <si>
    <t>2 cột x (pi x 0.6^2 x 11.2m) + đoạn loe H=5.75m</t>
  </si>
  <si>
    <t>Trụ T2 lòng sông (H=11.5m, cao hơn 1.5m)</t>
  </si>
  <si>
    <t>TỔNG BÊ TÔNG THÂN TRỤ T1 + T2</t>
  </si>
  <si>
    <t>Tổng thân trụ 4 cột tròn D1200</t>
  </si>
  <si>
    <t>Khớp BoQ 501.71 m3</t>
  </si>
  <si>
    <t>Xà mũ trụ T1 (L=11.6m)</t>
  </si>
  <si>
    <t>Xà mũ di động 11.6m x 2.1m x 1.6m + 2 đầu consol</t>
  </si>
  <si>
    <t>Xà mũ di động bờ Nam</t>
  </si>
  <si>
    <t>Xà mũ trụ T2 (L=11.6m)</t>
  </si>
  <si>
    <t>Xà mũ cố định 11.6m x 2.1m x 1.6m + 2 đầu consol</t>
  </si>
  <si>
    <t>Xà mũ cố định lòng sông</t>
  </si>
  <si>
    <t>TỔNG BÊ TÔNG XÀ MŨ 2 TRỤ</t>
  </si>
  <si>
    <t>Tổng 2 xà mũ trụ</t>
  </si>
  <si>
    <t>Khớp BoQ 145.03 m3</t>
  </si>
  <si>
    <t>BÊ TÔNG ĐỆM &amp; VÁN KHUÔN TRỤ</t>
  </si>
  <si>
    <t>Bê tông đệm bệ trụ T1 (C10/12)</t>
  </si>
  <si>
    <t>11.20m x 8.20m x 0.10m - 8 cọc x 0.10m</t>
  </si>
  <si>
    <t>Lót móng dày 100mm T1</t>
  </si>
  <si>
    <t>Bê tông đệm bệ trụ T2 (C10/12)</t>
  </si>
  <si>
    <t>Lót móng dày 100mm T2</t>
  </si>
  <si>
    <t>TỔNG BÊ TÔNG ĐỆM 2 TRỤ C10</t>
  </si>
  <si>
    <t>Tổng đệm trụ T1 + T2</t>
  </si>
  <si>
    <t>Khớp BoQ 17.54 m3</t>
  </si>
  <si>
    <t>Ván khuôn bệ trụ T1, T2</t>
  </si>
  <si>
    <t>Chu vi bệ x chiều cao: (11+8)*2*2.0m + vát</t>
  </si>
  <si>
    <t>Ván khuôn thép bệ</t>
  </si>
  <si>
    <t>Ván khuôn thân trụ tròn D1200</t>
  </si>
  <si>
    <t>Chu vi cột x Chiều cao + mở rộng thân</t>
  </si>
  <si>
    <t>T2 diện tích ván khuôn lớn hơn T1 32.51 m2</t>
  </si>
  <si>
    <t>Ván khuôn xà mũ trụ T1, T2</t>
  </si>
  <si>
    <t>Đáy consol, thành bên xà mũ, đầu vát</t>
  </si>
  <si>
    <t>Hệ đà giáo treo xà mũ</t>
  </si>
  <si>
    <t>CỐT THÉP TRỤ T1 &amp; T2 (BBS CHI TIẾT)</t>
  </si>
  <si>
    <t>Cốt thép bệ trụ B1..B8</t>
  </si>
  <si>
    <t>Thép chủ bệ D28, đai bệ D16/D18</t>
  </si>
  <si>
    <t>32.36 Tấn (2 bệ giống nhau)</t>
  </si>
  <si>
    <t>Cốt thép thân trụ T1..T4</t>
  </si>
  <si>
    <t>Thép chủ D32 (T1c L=6.56m vs 8.66m), đai tròn D16</t>
  </si>
  <si>
    <t>T2 nặng hơn T1 2,628.33 kg do T1c dài hơn 2.1m</t>
  </si>
  <si>
    <t>Cốt thép xà mũ XM1..XM10</t>
  </si>
  <si>
    <t>Thép chịu uốn chính xà mũ D32, đai D16</t>
  </si>
  <si>
    <t>88.35 Tấn</t>
  </si>
  <si>
    <t>TỔNG CỐT THÉP 2 TRỤ T1 + T2</t>
  </si>
  <si>
    <t>Tổng cốt thép phần trụ (Bệ + Thân + Xà mũ)</t>
  </si>
  <si>
    <t>188.45 Tấn</t>
  </si>
  <si>
    <t>PHỤ KIỆN ĐỆM GỐI &amp; CHỐNG XÔ TRỤ</t>
  </si>
  <si>
    <t>Vữa đệm gối không co ngót C40</t>
  </si>
  <si>
    <t>Dưới 20 thớt kê gối trụ</t>
  </si>
  <si>
    <t>SikaGrout 214-11</t>
  </si>
  <si>
    <t>Chốt thép mạ kẽm D32 (L=650mm)</t>
  </si>
  <si>
    <t>Chốt ụ chống chuyển vị ngang</t>
  </si>
  <si>
    <t>Thép mạ kẽm nhúng nóng</t>
  </si>
  <si>
    <t>Hộp dẫn hướng chốt</t>
  </si>
  <si>
    <t>Tấm cao su đệm đàn hồi dày 20mm</t>
  </si>
  <si>
    <t>Đệm khe co giãn xà mũ</t>
  </si>
  <si>
    <t>Cao su kỹ thuật</t>
  </si>
  <si>
    <t>Quét bitum 2 lớp quanh bệ trụ</t>
  </si>
  <si>
    <t>Bảo vệ bê tông ngập đất</t>
  </si>
  <si>
    <t>Chống ăn mòn sunfat</t>
  </si>
  <si>
    <t>BÓC TÁCH CHI TIẾT MÓNG CỌC KHOAN NHỒI D=1200MM (26 CỌC ĐẠI TRÀ)</t>
  </si>
  <si>
    <t>Chiều dài cọc: M1 (7 cọc x 20m) + T1 (8 cọc x 40m) + T2 (8 cọc x 30m) + M2 (7 cọc x 36m) = 872m khoan</t>
  </si>
  <si>
    <t>Vị trí mố / trụ</t>
  </si>
  <si>
    <t>Số lượng cọc</t>
  </si>
  <si>
    <t>Chiều dài 1 cọc (m)</t>
  </si>
  <si>
    <t>Cao độ mũi cọc (m)</t>
  </si>
  <si>
    <t>Cao độ cắt cọc (m)</t>
  </si>
  <si>
    <t>Tổng chiều dài (m)</t>
  </si>
  <si>
    <t>Bê tông C30 (m3)</t>
  </si>
  <si>
    <t>Thép lồng (kg)</t>
  </si>
  <si>
    <t>Ống siêu âm (m)</t>
  </si>
  <si>
    <t>Mố M1</t>
  </si>
  <si>
    <t>+171.084</t>
  </si>
  <si>
    <t>+191.234</t>
  </si>
  <si>
    <t>Trụ T1</t>
  </si>
  <si>
    <t>+127.360</t>
  </si>
  <si>
    <t>+167.510</t>
  </si>
  <si>
    <t>Trụ T2</t>
  </si>
  <si>
    <t>+135.860</t>
  </si>
  <si>
    <t>+166.010</t>
  </si>
  <si>
    <t>Mố M2</t>
  </si>
  <si>
    <t>+150.836</t>
  </si>
  <si>
    <t>+186.986</t>
  </si>
  <si>
    <t>TỔNG CỘNG 26 CỌC</t>
  </si>
  <si>
    <t>CHI TIẾT VẬT TƯ &amp; PHỤ KIỆN CỌC KHOAN NHỒI</t>
  </si>
  <si>
    <t>Bê tông cọc khoan nhồi C30/38 (thực tế đúc)</t>
  </si>
  <si>
    <t>Khớp THKL TVTK (kể cả hao hụt dâng vữa)</t>
  </si>
  <si>
    <t>Bê tông đập đầu cọc (1.0m/cọc x 26 cọc)</t>
  </si>
  <si>
    <t>Đập bỏ bê tông lẫn mùn khoan</t>
  </si>
  <si>
    <t>Vữa xi măng không co ngót bơm lấp lòng ống siêu âm</t>
  </si>
  <si>
    <t>Bơm lấp sau khi siêu âm đạt</t>
  </si>
  <si>
    <t>Cốt thép chủ lồng cọc D&gt;18mm (D25)</t>
  </si>
  <si>
    <t>Thép chủ dọc lồng cọc</t>
  </si>
  <si>
    <t>Cốt thép đai &amp; liên kết 10&lt;D&lt;=18mm (D16)</t>
  </si>
  <si>
    <t>Vành đai định hình D16</t>
  </si>
  <si>
    <t>Cốt thép đai xoắn D&lt;=10mm (D10)</t>
  </si>
  <si>
    <t>Thép đai xoắn liên tục bước 10-20cm</t>
  </si>
  <si>
    <t>Ống siêu âm M1 D53.9/59.9mm</t>
  </si>
  <si>
    <t>3 ống thép siêu âm / cọc</t>
  </si>
  <si>
    <t>Ống siêu âm M2 D106.5/113.5mm</t>
  </si>
  <si>
    <t>1 ống thép đường kính lớn khoan lấy lõi</t>
  </si>
  <si>
    <t>Cóc nối cốt thép lồng cọc D16 &amp; D25</t>
  </si>
  <si>
    <t>Nối lồng cốt thép cọc</t>
  </si>
  <si>
    <t>Nắp đậy ống siêu âm M1 &amp; M2</t>
  </si>
  <si>
    <t>Nắp thép hàn đáy và ren đỉnh</t>
  </si>
  <si>
    <t>BÓC TÁCH CHI TIẾT BẢN QUÁ ĐỘ, GỐI CẦU, KHE CO GIÃN, THOÁT NƯỚC &amp; TỨ NÓN</t>
  </si>
  <si>
    <t>Bao gồm: Bản giảm tải sau mố, 30 gối chậu, 2 khe co giãn răng lược, hệ thống thu gom thoát nước và ốp mái nón</t>
  </si>
  <si>
    <t>BẢN QUÁ ĐỘ MỐ M1 &amp; M2 (L=5.0M)</t>
  </si>
  <si>
    <t>Bê tông bản quá độ C25</t>
  </si>
  <si>
    <t>2 bản x L=5.0m x B=12.5m x h=0.3m x k_vát</t>
  </si>
  <si>
    <t>Bản giảm tải sau 2 mố</t>
  </si>
  <si>
    <t>Bê tông đệm bản quá độ C10</t>
  </si>
  <si>
    <t>2 bản x 5.2m x 12.7m x 0.10m</t>
  </si>
  <si>
    <t>Cốt thép bản quá độ</t>
  </si>
  <si>
    <t>Thép D14..D22 2 lớp trên dưới</t>
  </si>
  <si>
    <t>9.53 Tấn</t>
  </si>
  <si>
    <t>Gối cao su đuôi bản quá độ dày 20mm</t>
  </si>
  <si>
    <t>Đỡ đầu bản quá độ tiếp giáp nền đường</t>
  </si>
  <si>
    <t>Cao su đàn hồi</t>
  </si>
  <si>
    <t>Ván khuôn bản quá độ</t>
  </si>
  <si>
    <t>Ván khuôn thành bên bản</t>
  </si>
  <si>
    <t>Cốp pha thép</t>
  </si>
  <si>
    <t>GỐI CẦU (POT BEARINGS)</t>
  </si>
  <si>
    <t>Gối chậu đơn hướng</t>
  </si>
  <si>
    <t>Bố trí tại mố M1, M2 &amp; trụ T1</t>
  </si>
  <si>
    <t>Chịu tải trọng trục</t>
  </si>
  <si>
    <t>Gối chậu song hướng</t>
  </si>
  <si>
    <t>Bố trí tại trụ T2 &amp; các vị trí di động</t>
  </si>
  <si>
    <t>Chuyển vị dọc và ngang</t>
  </si>
  <si>
    <t>Thép bản đệm gối mạ kẽm</t>
  </si>
  <si>
    <t>Bản đệm liên kết gối với đá kê</t>
  </si>
  <si>
    <t>1.49 Tấn</t>
  </si>
  <si>
    <t>Bu lông neo gối M20</t>
  </si>
  <si>
    <t>Neo thớt gối vào xà mũ mố trụ</t>
  </si>
  <si>
    <t>Bu lông cường độ cao</t>
  </si>
  <si>
    <t>KHE CO GIÃN RĂNG LƯỢC D=100MM</t>
  </si>
  <si>
    <t>Khe co giãn ray răng lược</t>
  </si>
  <si>
    <t>2 khe tại mố M1 và mố M2</t>
  </si>
  <si>
    <t>Biên độ chuyển vị 100mm</t>
  </si>
  <si>
    <t>Bê tông không co ngót C40 đổ khe</t>
  </si>
  <si>
    <t>Chèn neo ray răng lược</t>
  </si>
  <si>
    <t>Bê tông cốt liệu nhỏ</t>
  </si>
  <si>
    <t>Cốt thép neo khe co giãn (D10..D18)</t>
  </si>
  <si>
    <t>Thép râu neo vào bản mặt cầu &amp; tường đỉnh</t>
  </si>
  <si>
    <t>1.36 Tấn</t>
  </si>
  <si>
    <t>Tấm thép mạ kẽm chắn rác khe</t>
  </si>
  <si>
    <t>Tấm chắn rác dưới răng lược</t>
  </si>
  <si>
    <t>Thép mạ kẽm</t>
  </si>
  <si>
    <t>HỆ THỐNG THOÁT NƯỚC MẶT CẦU</t>
  </si>
  <si>
    <t>Hố gang thu nước hè mặt cầu</t>
  </si>
  <si>
    <t>Bố trí dọc gờ chắn bánh</t>
  </si>
  <si>
    <t>Gang đúc xám</t>
  </si>
  <si>
    <t>Ống thoát nước đứng uPVC D150</t>
  </si>
  <si>
    <t>Ống dẫn nước từ mặt cầu xuống chân mố trụ</t>
  </si>
  <si>
    <t>Ống uPVC chịu áp</t>
  </si>
  <si>
    <t>Ống thoát nước xoắn ốc dọc cầu</t>
  </si>
  <si>
    <t>Ống thu gom ngang</t>
  </si>
  <si>
    <t>Ống gân xoắn</t>
  </si>
  <si>
    <t>Lưới chắn rác &amp; bu lông định vị M12</t>
  </si>
  <si>
    <t>Bảo vệ miệng hố thu</t>
  </si>
  <si>
    <t>Bộ bu lông mạ kẽm</t>
  </si>
  <si>
    <t>TỨ NÓN &amp; GIA CỐ MÁI TALUY ĐẦU CẦU</t>
  </si>
  <si>
    <t>Kích thước tứ nón 2 đầu cầu</t>
  </si>
  <si>
    <t>Xây chèn vữa M100</t>
  </si>
  <si>
    <t>Đá dăm lọc ngược dày 10cm</t>
  </si>
  <si>
    <t>Đệm dưới lớp đá hộc</t>
  </si>
  <si>
    <t>Đá dăm 1x2 + 2x4</t>
  </si>
  <si>
    <t>Chân khay đá hộc chống trượt</t>
  </si>
  <si>
    <t>Chân khay chân mái dốc</t>
  </si>
  <si>
    <t>Đá hộc xây vữa</t>
  </si>
  <si>
    <t>Tường chắn bê tông trọng lực C15</t>
  </si>
  <si>
    <t>Tường chắn đất bảo vệ đầu cầu</t>
  </si>
  <si>
    <t>Bê tông C15</t>
  </si>
  <si>
    <t>Ván khuôn tường chắn</t>
  </si>
  <si>
    <t>Thành vách tường chắn</t>
  </si>
  <si>
    <t>Cốp pha định hình</t>
  </si>
  <si>
    <t>Ống thoát nước tường chắn D90</t>
  </si>
  <si>
    <t>Ống lọc thoát nước qua thân tường</t>
  </si>
  <si>
    <t>uPVC D90 khoan lỗ</t>
  </si>
  <si>
    <t>BẢNG ĐỐI SOÁT CHÉO 3 CHIỀU HÌNH HỌC CAD VÀ CẢNH BÁO ĐỎ (RED FLAGS)</t>
  </si>
  <si>
    <t>Đối chiếu: [1] Thực thể CAD đo thật (AutoCAD 2026 Engine) &lt;-&gt; [2] Chữ số Dim bản vẽ &lt;-&gt; [3] Bảng tính THKL TVTK</t>
  </si>
  <si>
    <t>Hạng mục / Cấu kiện kiểm toán</t>
  </si>
  <si>
    <t>Thực thể CAD đo thật (mm)</t>
  </si>
  <si>
    <t>Chữ số Dim/Text bản vẽ</t>
  </si>
  <si>
    <t>Số liệu THKL của TVTK</t>
  </si>
  <si>
    <t>Tình trạng khớp nối</t>
  </si>
  <si>
    <t>Đánh giá &amp; Cờ cảnh báo đỏ (Red Flag)</t>
  </si>
  <si>
    <t>Chiều dài dầm chủ Super T</t>
  </si>
  <si>
    <t>38,200 mm</t>
  </si>
  <si>
    <t>38200</t>
  </si>
  <si>
    <t>38.20 m</t>
  </si>
  <si>
    <t>Khớp 100%</t>
  </si>
  <si>
    <t>Chuẩn thiết kế định hình TCVN</t>
  </si>
  <si>
    <t>Bước khoang sườn dầm</t>
  </si>
  <si>
    <t>32,000 mm</t>
  </si>
  <si>
    <t>4x8000=&lt;&gt;</t>
  </si>
  <si>
    <t>4 x 8.0 m</t>
  </si>
  <si>
    <t>TVTK dùng Text override '4x8000=&lt;&gt;', ruột đo thật 32000mm</t>
  </si>
  <si>
    <t>Chiều cao dầm Super T</t>
  </si>
  <si>
    <t>1,750 mm</t>
  </si>
  <si>
    <t>1750</t>
  </si>
  <si>
    <t>1.75 m</t>
  </si>
  <si>
    <t>Chuẩn dầm Super T H=1.75m</t>
  </si>
  <si>
    <t>Bề rộng cánh dầm giữa nhịp</t>
  </si>
  <si>
    <t>2,130 mm</t>
  </si>
  <si>
    <t>2130</t>
  </si>
  <si>
    <t>2.13 m</t>
  </si>
  <si>
    <t>Cánh dầm trong điển hình</t>
  </si>
  <si>
    <t>Bề rộng cánh dầm đầu nhịp</t>
  </si>
  <si>
    <t>2,645 mm</t>
  </si>
  <si>
    <t>2645</t>
  </si>
  <si>
    <t>2.645 m</t>
  </si>
  <si>
    <t>Mở rộng bầu và cánh tại đoạn đặc đầu dầm</t>
  </si>
  <si>
    <t>Bề rộng xà mũ mố M1, M2</t>
  </si>
  <si>
    <t>11,750 mm</t>
  </si>
  <si>
    <t>11750</t>
  </si>
  <si>
    <t>11.75 m</t>
  </si>
  <si>
    <t>Xà mũ mố phù hợp bề rộng cầu B=12.0m</t>
  </si>
  <si>
    <t>Bề rộng tổng thể bệ mố</t>
  </si>
  <si>
    <t>12,515 mm</t>
  </si>
  <si>
    <t>12515</t>
  </si>
  <si>
    <t>12.50 m</t>
  </si>
  <si>
    <t>Vênh 15mm</t>
  </si>
  <si>
    <t>CẢNH BÁO: TVTK làm tròn 12.50m trong Excel gây hụt 15mm bệ mố</t>
  </si>
  <si>
    <t>Khoảng cách 2 cột thân trụ</t>
  </si>
  <si>
    <t>9,200 mm</t>
  </si>
  <si>
    <t>2@4600=&lt;&gt;</t>
  </si>
  <si>
    <t>2 x 4.60 m</t>
  </si>
  <si>
    <t>2 cột tròn cách nhau 4.6m đối xứng qua tim</t>
  </si>
  <si>
    <t>Chiều dài xà mũ trụ T1, T2</t>
  </si>
  <si>
    <t>11,600 mm</t>
  </si>
  <si>
    <t>11600</t>
  </si>
  <si>
    <t>11.60 m</t>
  </si>
  <si>
    <t>Đường kính cọc khoan nhồi</t>
  </si>
  <si>
    <t>1,200 mm</t>
  </si>
  <si>
    <t>D1200</t>
  </si>
  <si>
    <t>D=1.20 m</t>
  </si>
  <si>
    <t>26 cọc đại trà D1200</t>
  </si>
  <si>
    <t>Kiểm tra cao độ Z bản vẽ Trụ</t>
  </si>
  <si>
    <t>2,401 nét Z != 0</t>
  </si>
  <si>
    <t>Không ghi chú</t>
  </si>
  <si>
    <t>Chưa kiểm tra</t>
  </si>
  <si>
    <t>RED FLAG CỰC NGUY HIỂM</t>
  </si>
  <si>
    <t>39.3% số nét bị dính Z!=0 do copy từ 3D, cấm dùng lệnh DIST đo xiên!</t>
  </si>
  <si>
    <t>Kiểm tra cao độ Z bản vẽ Mố</t>
  </si>
  <si>
    <t>110 nét Z != 0</t>
  </si>
  <si>
    <t>CẢNH BÁO</t>
  </si>
  <si>
    <t>110 nét bị lệch cao độ 3D, cần dùng FLATTEN trước khi đo</t>
  </si>
  <si>
    <t>Lỗi công thức #REF! của TVTK</t>
  </si>
  <si>
    <t>18 ô bị #REF!</t>
  </si>
  <si>
    <t>Hồ sơ gốc bị lỗi</t>
  </si>
  <si>
    <t>Ghi đè số chết</t>
  </si>
  <si>
    <t>ĐÃ KHỬ 100%</t>
  </si>
  <si>
    <t>Antigravity đã tái lập hoàn toàn bằng 330 công thức sống</t>
  </si>
  <si>
    <t>SƠ ĐỒ CẤU THÀNH VI MÔ VÀ CHUỖI LẮP GHÉP KHÔNG GIAN TOÀN CẦU (STRUCTURAL ASSEMBLY MATRIX)</t>
  </si>
  <si>
    <t>Diễn giải tầng sâu cơ chế tích tụ khối lượng: Từ Vi mô (Thép, bê tông, cáp, phụ kiện) -&gt; Cấu kiện -&gt; Hệ thống -&gt; Toàn Cầu</t>
  </si>
  <si>
    <t>Tầng kết cấu</t>
  </si>
  <si>
    <t>Hạng mục cấu kiện lớn (Macro-Component)</t>
  </si>
  <si>
    <t>Các phân tử vi mô cấu thành (Micro-Elements)</t>
  </si>
  <si>
    <t>Vật liệu &amp; Quy cách kỹ thuật</t>
  </si>
  <si>
    <t>Cơ chế liên kết / Khớp nối không gian (Interface &amp; Assembly)</t>
  </si>
  <si>
    <t>Công thức tích tụ khối lượng (Mass Accumulation Formula)</t>
  </si>
  <si>
    <t>Vai trò truyền lực trong toàn cầu (Global Load Path)</t>
  </si>
  <si>
    <t>TẦNG 1</t>
  </si>
  <si>
    <t>• Lỗ khoan trong đất/đá phi 1200mm
• Lồng cốt thép chủ D25 nối cóc ren
• Vành đai định vị D16 + Đai xoắn D10
• 4 Ống siêu âm sonic (3D60 + 1D114)
• Bê tông C30/38 đổ dưới bentonite
• Đập bỏ 1.0m bê tông đầu cọc nhiễm bùn</t>
  </si>
  <si>
    <t>Bê tông C30/38
Thép CB400V/CB240T
Ống thép mạ kẽm
Dung dịch Bentonite</t>
  </si>
  <si>
    <t>• Đầu cọc sau đập bộc lộ thép chủ D25 dài &gt;= 80cm cắm vào bệ.
• Ngàm sâu 150mm bê tông thân cọc vào đáy bệ móng.
• Mũi cọc ngàm vào tầng cuội sỏi / đá cát kết chịu lực.</t>
  </si>
  <si>
    <t>V_bt = 26 cọc x [pi x (D/2)^2 x L] x 1.02
M_thep = L_thep x q_thep + Cóc nối
L_khoan = 7x20m(M1) + 8x40m(T1) + 8x30m(T2) + 7x36m(M2) = 872m</t>
  </si>
  <si>
    <t>Tiếp nhận 100% tải trọng từ mố/trụ truyền qua ma sát thành bên và sức kháng mũi cọc xuống địa tầng gốc.</t>
  </si>
  <si>
    <t>TẦNG 2</t>
  </si>
  <si>
    <t>BỆ MÓNG MỐ &amp; TRỤ (FOOTINGS)</t>
  </si>
  <si>
    <t>• Lớp bê tông đệm C10 dày 100mm
• Khối hộp bê tông C30/38 có vát cạnh
• Lưới thép đáy chịu uốn chính F1/B1 (D28)
• Lưới thép trên cấu tạo F3/B3 (D28/D18)
• Thép đai chống cắt &amp; giữ cự ly F6/B5
• Thép chờ thân mố (A1) &amp; trụ (T1) cắm sẵn</t>
  </si>
  <si>
    <t>Bê tông C30/38 (đá 1x2)
Bê tông lót C10/12
Cốt thép CB400V
Sơn nhựa đường Bitum 2 lớp</t>
  </si>
  <si>
    <t>• Ôm trọn và ngàm cứng 7 đầu cọc (mố) hoặc 8 đầu cọc (trụ).
• Thép chờ thân mố A1 (D22) và thân trụ T1 (D32) cắm sâu vào lưới bệ &gt;= 40d.
• Quét bitum 2 lớp bảo vệ mặt ngoài ngập đất.</t>
  </si>
  <si>
    <t>V_be = L x B x H - N_coc x [pi x (D/2)^2 x 0.15]
M_thep = Sigma(L_i x n_i x q_i) + Thép chờ
Tổng bê tông: 2 Bệ mố (148.99m3) + 2 Bệ trụ (368.49m3)</t>
  </si>
  <si>
    <t>Phân phối tải trọng tập trung từ thân cột/tường mố phân tỏa đều ra cụm 7-8 cọc khoan nhồi.</t>
  </si>
  <si>
    <t>TẦNG 3</t>
  </si>
  <si>
    <t>THÂN MỐ &amp; THÂN TRỤ (COLUMNS &amp; WALLS)</t>
  </si>
  <si>
    <t>• Thân trụ: 4 Cột tròn D1200 rỗng cốt thép lồng tròn T1..T4
• Thân mố: Tường bê tông trọng lực dày 1.5m liền khối với tường cánh chữ U
• Thép chờ đỉnh cột/thân cắm vào xà mũ
• Hệ thống ống thoát nước ngầm xuyên mố
• Đá hộc xếp khan &amp; vải địa kỹ thuật sau mố</t>
  </si>
  <si>
    <t>Bê tông C30/38
Cốt thép CB400V
Ống uPVC D60/125/315
Vải địa kỹ thuật lọc nước</t>
  </si>
  <si>
    <t>• Nối chồng/hàn lồng thép thân với râu thép chờ từ bệ (chiều dài nối &gt;= 40d).
• Ngàm ngàm cứng nguyên khối với xà mũ đỉnh trụ qua hệ thép uốn âm.
• Tường cánh mố liên kết ngàm nguyên khối với tường thân mố tạo hộp cứng chữ U.</t>
  </si>
  <si>
    <t>V_tru = 4 cột x [pi x (D/2)^2 x H_i] + V_vát = 501.71 m3
V_mo = B_tt x W_tt x H_tt + Tường cánh = 168.87 m3
M_thep_tru = 67.75 Tấn | M_thep_mo = 27.61 Tấn</t>
  </si>
  <si>
    <t>Chịu lực nén uốn dọc tâm và lệch tâm từ kết cấu nhịp; chịu áp lực đất chủ động và lực đẩy ngang sau mố.</t>
  </si>
  <si>
    <t>TẦNG 4</t>
  </si>
  <si>
    <t>XÀ MŨ, ĐÁ KÊ GỐI &amp; Ụ CHỐNG XÔ (CAP BEAMS &amp; SHEAR KEYS)</t>
  </si>
  <si>
    <t>• Dầm xà mũ consol BTCT C30 dài 11.6m
• Hệ cốt thép chịu momen âm xà mũ (XM1..XM10)
• 20 Thớt đá kê gối mố trụ (C30/C40)
• Ụ bê tông chống xô ngang &amp; động đất
• Chốt thép mạ kẽm D32 x 650mm
• Hộp chốt thép tấm &amp; cao su đệm đàn hồi 20mm
• Lớp vữa đệm gối không co ngót SikaGrout</t>
  </si>
  <si>
    <t>Bê tông C30/38
Vữa SikaGrout 214-11 (C40)
Thép mạ kẽm D32
Cao su kỹ thuật 20mm</t>
  </si>
  <si>
    <t>• Đúc liền khối trên đỉnh 2 thân cột trụ tạo thành khung cổng Portal Frame.
• Mặt trên xà mũ hoàn thiện tạo dốc thoát nước 2%.
• Đá kê gối đúc nổi trên xà mũ, gắn bu lông neo gối M20 và chốt thép chống dịch chuyển dầm.</t>
  </si>
  <si>
    <t>V_xamu = 2 trụ x [L x B x H_tb + V_consol] = 145.03 m3
M_thep_xm = 88.35 Tấn (thép D32, D16)
V_vữa = 0.261 m3 vữa không co ngót</t>
  </si>
  <si>
    <t>Chuyển tiếp phản lực điểm từ 10 gối dầm Super T phân bố vào 2 thân cột tròn; khống chế chuyển vị ngang của dầm dưới gió bão.</t>
  </si>
  <si>
    <t>TẦNG 5</t>
  </si>
  <si>
    <t>GỐI CẦU &amp; DẦM CHỦ SUPER T 38.2M (GIRDERS &amp; BEARINGS)</t>
  </si>
  <si>
    <t>• 30 Gối chậu Pot Bearing (15 đơn hướng + 15 song hướng)
• 15 Phiến dầm Super T đúc sẵn dài 38.2m, cao 1.75m
• 44 Tao cáp DUL 15.2mm/dầm (kéo trước fpu=1860MPa)
• Đoạn đặc đầu dầm 1.35m x 2 + Đoạn sườn 180mm
• Ống nhựa PVC D18/22 bọc giảm dính bám 240m/dầm
• Thép đai chống cắt sườn dầm &amp; thép bản cánh (A1..G8)
• Thép tấm mạ kẽm đáy dầm + Móc cẩu dầm DUL 15.2mm</t>
  </si>
  <si>
    <t>Bê tông C45/55 (đá 1x2)
Cáp DUL 15.2mm ASTM A416
Thép CB400V
Gối chậu thép hợp kim + PTFE
Ống PVC D18/22 &amp; D50</t>
  </si>
  <si>
    <t>• Dầm gác tự do lên 2 hàng gối chậu qua bản thép đệm gối và chốt định vị.
• Giàn lao dầm cẩu đặt dầm chính xác vào tọa độ thiết kế.
• Đầu dầm quét Epoxy cách ẩm; lỗ thông hơi PVC D50 thoát ẩm lòng bầu.</t>
  </si>
  <si>
    <t>V_dam = 15 dầm x 28.987 m3 = 434.80 m3
P_cap = 15 dầm x 44 tao x 41.2m x 1.101 = 29.91 Tấn
M_thep_dam = 89.69 Tấn (D10..D25)
S_vankhuon = 5,098.77 m2</t>
  </si>
  <si>
    <t>Là xương sống chịu lực uốn chính của cầu, vượt khẩu độ 39.1m - 40m - 39.1m, tạo độ vồng ngược kháng lại tải trọng xe chạy.</t>
  </si>
  <si>
    <t>TẦNG 6</t>
  </si>
  <si>
    <t>DẦM NGANG, TẤM ĐAN PRECAST &amp; BẢN MẶT CẦU (DECK ASSEMBLY)</t>
  </si>
  <si>
    <t>• Dầm ngang đầu dầm BTCT C35 đổ tại chỗ
• 510 Tấm ván khuôn đúc sẵn (Stay-in-place panel) C25
• Bản mặt cầu BTCT C35 dày 200mm đổ tại chỗ
• Mối nối liên tục nhiệt (Link slab) đỉnh trụ T1, T2
• Lưới cốt thép mặt cầu 2 lớp S1, S2 (D14, D18)
• Lớp cao su đệm dày 20mm &amp; xốp chèn khe nhiệt</t>
  </si>
  <si>
    <t>Bê tông C35/45
Bê tông panel C25
Cốt thép CB400V
Cao su chèn khe</t>
  </si>
  <si>
    <t>• 510 Tấm đan gác lên mép cánh trên của dầm Super T làm cốp pha đáy vĩnh cửu.
• Dầm ngang đúc chèn giữa các dầm chủ khóa cứng dao động xoắn ngang.
• Bản mặt cầu đổ trùm lên trên cánh dầm và tấm đan tạo thành TIẾT DIỆN LIÊN HỢP (Composite Section).
• Mối nối liên tục nhiệt nối liền 3 nhịp thành 1 dải mặt cầu 118.2m không khe co giãn giữa trụ.</t>
  </si>
  <si>
    <t>V_bmc = 305.46 m3 (mặt cầu) + 21.87 m3 (liên tục nhiệt) = 327.33 m3
V_damngang = 19.38 m3 | V_panel = 13.23 m3 (510 tấm)
M_thep_bmc = 85.59 Tấn | M_thep_damngang = 2.76 Tấn</t>
  </si>
  <si>
    <t>Liên kết 5 phiến dầm rời rạc thành một đĩa cứng không gian (Spatial Rigid Diaphragm), phân phối tải trọng xe chạy đều sang các dầm.</t>
  </si>
  <si>
    <t>TẦNG 7</t>
  </si>
  <si>
    <t>HOÀN THIỆN MẶT CẦU, KHE CO GIÃN, THOÁT NƯỚC &amp; ĐẦU CẦU</t>
  </si>
  <si>
    <t>• Lớp phòng nước phun thẩm thấu mặt cầu
• Nhựa dính bám Tack coat 0.5 kg/m2
• Bê tông nhựa chặt C16 dày 7cm (1380.39 m2)
• Gờ chắn bánh BTCT C25 + Lan can thép mạ kẽm
• 2 Bộ khe co giãn ray răng lược D100mm tại 2 mố
• 24 Bộ hố gang thu nước + Ống uPVC D150 thoát nước
• 2 Bản quá độ BTCT C25 (L=5.0m, B=12.5m) sau mố
• Tứ nón đá hộc xây VXM M100 + Tường chắn trọng lực C15</t>
  </si>
  <si>
    <t>Bê tông nhựa C16
Nhựa dính bám
Bê tông C25 &amp; C15
Thép mạ kẽm nhúng nóng
Đá hộc &amp; đá dăm</t>
  </si>
  <si>
    <t>• Bản quá độ 1 đầu tựa lên gờ tường đỉnh mố (ngàm khớp chốt D32), 1 đầu gác gối cao su trên nền đường.
• Khe co giãn răng lược gắn chìm bằng bê tông không co ngót C40 ngăn nước rò rỉ xuống mố.
• Hệ thống thoát nước thu gom nước mặt cầu xả xuống rãnh hạ lưu không gây xói chân cầu.</t>
  </si>
  <si>
    <t>S_asphalt = 1,380.39 m2 (~231.9 Tấn BTN)
V_banquado = 67.38 m3 (2 bản) | M_thep = 9.53 Tấn
V_tunon = 104.74 m3 đá hộc | V_tuongchan = 115.88 m3
L_khecogian = 24.5 m (2 bộ khe răng lược)</t>
  </si>
  <si>
    <t>Đảm bảo an toàn giao thông êm thuận ở tốc độ thiết kế, triệt tiêu lún lệch đầu cầu và thoát nước bảo vệ tuổi thọ công trình 100 năm.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</si>
</sst>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3"/>
      <color rgb="FF1F497D"/>
      <name val="Segoe UI"/>
    </font>
    <font>
      <i/>
      <sz val="8.5"/>
      <color rgb="FF595959"/>
      <name val="Segoe UI"/>
    </font>
    <font>
      <b/>
      <sz val="9.5"/>
      <color rgb="FFFFFFFF"/>
      <name val="Segoe UI"/>
    </font>
    <font>
      <b/>
      <sz val="10"/>
      <color rgb="FF1F497D"/>
      <name val="Segoe UI"/>
    </font>
    <font>
      <b/>
      <sz val="9"/>
      <color rgb="FF000000"/>
      <name val="Segoe UI"/>
    </font>
    <font>
      <sz val="9"/>
      <color rgb="FF000000"/>
      <name val="Segoe UI"/>
    </font>
    <font>
      <b/>
      <sz val="9"/>
      <color rgb="FFC00000"/>
      <name val="Segoe UI"/>
    </font>
    <font>
      <b/>
      <sz val="10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9FBFD"/>
        <bgColor rgb="FFF9FBFD"/>
      </patternFill>
    </fill>
    <fill>
      <patternFill patternType="solid">
        <fgColor rgb="FFEDF2F8"/>
        <bgColor rgb="FFEDF2F8"/>
      </patternFill>
    </fill>
    <fill>
      <patternFill patternType="solid">
        <fgColor rgb="FFFDE9D9"/>
        <bgColor rgb="FFFDE9D9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4" fontId="5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6" fillId="0" borderId="1" xfId="0" applyFont="1" applyBorder="1"/>
    <xf numFmtId="0" fontId="6" fillId="4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/>
    </xf>
    <xf numFmtId="0" fontId="0" fillId="0" borderId="3" xfId="0" applyBorder="1"/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4" fontId="6" fillId="4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9334500" cy="6219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001250" cy="666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" x14ac:dyDescent="0.3"/>
  <cols>
    <col min="1" max="1" width="10" customWidth="1"/>
    <col min="2" max="2" width="14" customWidth="1"/>
    <col min="3" max="3" width="50" customWidth="1"/>
    <col min="4" max="4" width="10" customWidth="1"/>
    <col min="5" max="5" width="50" customWidth="1"/>
    <col min="6" max="6" width="28" customWidth="1"/>
    <col min="7" max="7" width="31" customWidth="1"/>
  </cols>
  <sheetData>
    <row r="1" spans="1:7" ht="20" customHeight="1" x14ac:dyDescent="0.55000000000000004">
      <c r="A1" s="1" t="s">
        <v>0</v>
      </c>
    </row>
    <row r="2" spans="1:7" ht="14.5" customHeight="1" x14ac:dyDescent="0.35">
      <c r="A2" s="2" t="s">
        <v>1</v>
      </c>
    </row>
    <row r="4" spans="1:7" ht="28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2" customHeight="1" x14ac:dyDescent="0.3">
      <c r="A5" s="4" t="s">
        <v>9</v>
      </c>
      <c r="B5" s="4" t="s">
        <v>10</v>
      </c>
      <c r="C5" s="5" t="s">
        <v>11</v>
      </c>
      <c r="D5" s="4"/>
      <c r="E5" s="6"/>
      <c r="F5" s="4"/>
      <c r="G5" s="5" t="s">
        <v>12</v>
      </c>
    </row>
    <row r="6" spans="1:7" ht="20" customHeight="1" x14ac:dyDescent="0.3">
      <c r="A6" s="7" t="s">
        <v>13</v>
      </c>
      <c r="B6" s="7" t="s">
        <v>14</v>
      </c>
      <c r="C6" s="8" t="s">
        <v>15</v>
      </c>
      <c r="D6" s="9" t="s">
        <v>16</v>
      </c>
      <c r="E6" s="10">
        <f>DAM_SUPER_T_38.2M!F11</f>
        <v>434.80356</v>
      </c>
      <c r="F6" s="9" t="s">
        <v>17</v>
      </c>
      <c r="G6" s="8" t="s">
        <v>18</v>
      </c>
    </row>
    <row r="7" spans="1:7" ht="20" customHeight="1" x14ac:dyDescent="0.3">
      <c r="A7" s="11" t="s">
        <v>19</v>
      </c>
      <c r="B7" s="11" t="s">
        <v>20</v>
      </c>
      <c r="C7" s="12" t="s">
        <v>21</v>
      </c>
      <c r="D7" s="13" t="s">
        <v>22</v>
      </c>
      <c r="E7" s="14">
        <f>DAM_SUPER_T_38.2M!F20/1000</f>
        <v>29.938392000000004</v>
      </c>
      <c r="F7" s="13" t="s">
        <v>17</v>
      </c>
      <c r="G7" s="12" t="s">
        <v>23</v>
      </c>
    </row>
    <row r="8" spans="1:7" ht="20" customHeight="1" x14ac:dyDescent="0.3">
      <c r="A8" s="7" t="s">
        <v>24</v>
      </c>
      <c r="B8" s="7" t="s">
        <v>25</v>
      </c>
      <c r="C8" s="8" t="s">
        <v>26</v>
      </c>
      <c r="D8" s="9" t="s">
        <v>22</v>
      </c>
      <c r="E8" s="10">
        <f>DAM_SUPER_T_38.2M!F28/1000</f>
        <v>77.743259999999992</v>
      </c>
      <c r="F8" s="9" t="s">
        <v>17</v>
      </c>
      <c r="G8" s="8" t="s">
        <v>27</v>
      </c>
    </row>
    <row r="9" spans="1:7" ht="20" customHeight="1" x14ac:dyDescent="0.3">
      <c r="A9" s="11" t="s">
        <v>28</v>
      </c>
      <c r="B9" s="11" t="s">
        <v>29</v>
      </c>
      <c r="C9" s="12" t="s">
        <v>30</v>
      </c>
      <c r="D9" s="13" t="s">
        <v>22</v>
      </c>
      <c r="E9" s="14">
        <f>DAM_SUPER_T_38.2M!F29/1000</f>
        <v>11.947049999999999</v>
      </c>
      <c r="F9" s="13" t="s">
        <v>17</v>
      </c>
      <c r="G9" s="12" t="s">
        <v>31</v>
      </c>
    </row>
    <row r="10" spans="1:7" ht="20" customHeight="1" x14ac:dyDescent="0.3">
      <c r="A10" s="7" t="s">
        <v>32</v>
      </c>
      <c r="B10" s="7" t="s">
        <v>33</v>
      </c>
      <c r="C10" s="8" t="s">
        <v>34</v>
      </c>
      <c r="D10" s="9" t="s">
        <v>35</v>
      </c>
      <c r="E10" s="10">
        <f>DAM_SUPER_T_38.2M!F16</f>
        <v>5098.7700000000004</v>
      </c>
      <c r="F10" s="9" t="s">
        <v>17</v>
      </c>
      <c r="G10" s="8" t="s">
        <v>36</v>
      </c>
    </row>
    <row r="11" spans="1:7" ht="20" customHeight="1" x14ac:dyDescent="0.3">
      <c r="A11" s="11" t="s">
        <v>37</v>
      </c>
      <c r="B11" s="11" t="s">
        <v>38</v>
      </c>
      <c r="C11" s="12" t="s">
        <v>39</v>
      </c>
      <c r="D11" s="13" t="s">
        <v>16</v>
      </c>
      <c r="E11" s="14">
        <f>DAM_NGANG_BAN_MAT_CAU!E6</f>
        <v>19.38</v>
      </c>
      <c r="F11" s="13" t="s">
        <v>40</v>
      </c>
      <c r="G11" s="12" t="s">
        <v>41</v>
      </c>
    </row>
    <row r="12" spans="1:7" ht="20" customHeight="1" x14ac:dyDescent="0.3">
      <c r="A12" s="7" t="s">
        <v>42</v>
      </c>
      <c r="B12" s="7" t="s">
        <v>43</v>
      </c>
      <c r="C12" s="8" t="s">
        <v>44</v>
      </c>
      <c r="D12" s="9" t="s">
        <v>22</v>
      </c>
      <c r="E12" s="10">
        <f>DAM_NGANG_BAN_MAT_CAU!E8/1000</f>
        <v>2.7631199999999998</v>
      </c>
      <c r="F12" s="9" t="s">
        <v>40</v>
      </c>
      <c r="G12" s="8" t="s">
        <v>45</v>
      </c>
    </row>
    <row r="13" spans="1:7" ht="20" customHeight="1" x14ac:dyDescent="0.3">
      <c r="A13" s="11" t="s">
        <v>46</v>
      </c>
      <c r="B13" s="11" t="s">
        <v>47</v>
      </c>
      <c r="C13" s="12" t="s">
        <v>48</v>
      </c>
      <c r="D13" s="13" t="s">
        <v>16</v>
      </c>
      <c r="E13" s="14">
        <f>DAM_NGANG_BAN_MAT_CAU!E10</f>
        <v>305.45999999999998</v>
      </c>
      <c r="F13" s="13" t="s">
        <v>40</v>
      </c>
      <c r="G13" s="12" t="s">
        <v>49</v>
      </c>
    </row>
    <row r="14" spans="1:7" ht="20" customHeight="1" x14ac:dyDescent="0.3">
      <c r="A14" s="7" t="s">
        <v>50</v>
      </c>
      <c r="B14" s="7" t="s">
        <v>51</v>
      </c>
      <c r="C14" s="8" t="s">
        <v>52</v>
      </c>
      <c r="D14" s="9" t="s">
        <v>16</v>
      </c>
      <c r="E14" s="10">
        <f>DAM_NGANG_BAN_MAT_CAU!E11</f>
        <v>21.87</v>
      </c>
      <c r="F14" s="9" t="s">
        <v>40</v>
      </c>
      <c r="G14" s="8" t="s">
        <v>53</v>
      </c>
    </row>
    <row r="15" spans="1:7" ht="20" customHeight="1" x14ac:dyDescent="0.3">
      <c r="A15" s="11" t="s">
        <v>54</v>
      </c>
      <c r="B15" s="11" t="s">
        <v>55</v>
      </c>
      <c r="C15" s="12" t="s">
        <v>56</v>
      </c>
      <c r="D15" s="13" t="s">
        <v>22</v>
      </c>
      <c r="E15" s="14">
        <f>DAM_NGANG_BAN_MAT_CAU!E12/1000</f>
        <v>85.594390000000004</v>
      </c>
      <c r="F15" s="13" t="s">
        <v>40</v>
      </c>
      <c r="G15" s="12" t="s">
        <v>57</v>
      </c>
    </row>
    <row r="16" spans="1:7" ht="20" customHeight="1" x14ac:dyDescent="0.3">
      <c r="A16" s="7" t="s">
        <v>58</v>
      </c>
      <c r="B16" s="7" t="s">
        <v>59</v>
      </c>
      <c r="C16" s="8" t="s">
        <v>60</v>
      </c>
      <c r="D16" s="9" t="s">
        <v>61</v>
      </c>
      <c r="E16" s="10">
        <v>510</v>
      </c>
      <c r="F16" s="9" t="s">
        <v>40</v>
      </c>
      <c r="G16" s="8" t="s">
        <v>62</v>
      </c>
    </row>
    <row r="17" spans="1:7" ht="20" customHeight="1" x14ac:dyDescent="0.3">
      <c r="A17" s="11" t="s">
        <v>63</v>
      </c>
      <c r="B17" s="11" t="s">
        <v>64</v>
      </c>
      <c r="C17" s="12" t="s">
        <v>65</v>
      </c>
      <c r="D17" s="13" t="s">
        <v>35</v>
      </c>
      <c r="E17" s="14">
        <f>DAM_NGANG_BAN_MAT_CAU!E22</f>
        <v>1380.39</v>
      </c>
      <c r="F17" s="13" t="s">
        <v>40</v>
      </c>
      <c r="G17" s="12" t="s">
        <v>66</v>
      </c>
    </row>
    <row r="18" spans="1:7" ht="20" customHeight="1" x14ac:dyDescent="0.3">
      <c r="A18" s="7" t="s">
        <v>67</v>
      </c>
      <c r="B18" s="7" t="s">
        <v>68</v>
      </c>
      <c r="C18" s="8" t="s">
        <v>69</v>
      </c>
      <c r="D18" s="9" t="s">
        <v>35</v>
      </c>
      <c r="E18" s="10">
        <f>DAM_NGANG_BAN_MAT_CAU!E24</f>
        <v>1380.39</v>
      </c>
      <c r="F18" s="9" t="s">
        <v>40</v>
      </c>
      <c r="G18" s="8" t="s">
        <v>70</v>
      </c>
    </row>
    <row r="19" spans="1:7" ht="20" customHeight="1" x14ac:dyDescent="0.3">
      <c r="A19" s="11" t="s">
        <v>71</v>
      </c>
      <c r="B19" s="11" t="s">
        <v>72</v>
      </c>
      <c r="C19" s="12" t="s">
        <v>73</v>
      </c>
      <c r="D19" s="13" t="s">
        <v>16</v>
      </c>
      <c r="E19" s="14">
        <f>DAM_NGANG_BAN_MAT_CAU!E26</f>
        <v>104.28</v>
      </c>
      <c r="F19" s="13" t="s">
        <v>40</v>
      </c>
      <c r="G19" s="12" t="s">
        <v>74</v>
      </c>
    </row>
    <row r="20" spans="1:7" ht="20" customHeight="1" x14ac:dyDescent="0.3">
      <c r="A20" s="7" t="s">
        <v>75</v>
      </c>
      <c r="B20" s="7" t="s">
        <v>76</v>
      </c>
      <c r="C20" s="8" t="s">
        <v>77</v>
      </c>
      <c r="D20" s="9" t="s">
        <v>22</v>
      </c>
      <c r="E20" s="10">
        <f>DAM_NGANG_BAN_MAT_CAU!E27/1000</f>
        <v>20.069020000000002</v>
      </c>
      <c r="F20" s="9" t="s">
        <v>40</v>
      </c>
      <c r="G20" s="8" t="s">
        <v>78</v>
      </c>
    </row>
    <row r="21" spans="1:7" ht="22" customHeight="1" x14ac:dyDescent="0.3">
      <c r="A21" s="4" t="s">
        <v>79</v>
      </c>
      <c r="B21" s="4" t="s">
        <v>80</v>
      </c>
      <c r="C21" s="5" t="s">
        <v>81</v>
      </c>
      <c r="D21" s="4"/>
      <c r="E21" s="6"/>
      <c r="F21" s="4"/>
      <c r="G21" s="5" t="s">
        <v>82</v>
      </c>
    </row>
    <row r="22" spans="1:7" ht="20" customHeight="1" x14ac:dyDescent="0.3">
      <c r="A22" s="7" t="s">
        <v>83</v>
      </c>
      <c r="B22" s="7" t="s">
        <v>84</v>
      </c>
      <c r="C22" s="8" t="s">
        <v>85</v>
      </c>
      <c r="D22" s="9" t="s">
        <v>16</v>
      </c>
      <c r="E22" s="10">
        <f>MO_M1_M2!E8</f>
        <v>297.98</v>
      </c>
      <c r="F22" s="9" t="s">
        <v>86</v>
      </c>
      <c r="G22" s="8" t="s">
        <v>87</v>
      </c>
    </row>
    <row r="23" spans="1:7" ht="20" customHeight="1" x14ac:dyDescent="0.3">
      <c r="A23" s="11" t="s">
        <v>88</v>
      </c>
      <c r="B23" s="11" t="s">
        <v>89</v>
      </c>
      <c r="C23" s="12" t="s">
        <v>90</v>
      </c>
      <c r="D23" s="13" t="s">
        <v>16</v>
      </c>
      <c r="E23" s="14">
        <f>MO_M1_M2!E11</f>
        <v>168.87</v>
      </c>
      <c r="F23" s="13" t="s">
        <v>86</v>
      </c>
      <c r="G23" s="12" t="s">
        <v>91</v>
      </c>
    </row>
    <row r="24" spans="1:7" ht="20" customHeight="1" x14ac:dyDescent="0.3">
      <c r="A24" s="7" t="s">
        <v>92</v>
      </c>
      <c r="B24" s="7" t="s">
        <v>93</v>
      </c>
      <c r="C24" s="8" t="s">
        <v>94</v>
      </c>
      <c r="D24" s="9" t="s">
        <v>16</v>
      </c>
      <c r="E24" s="10">
        <f>MO_M1_M2!E14</f>
        <v>28.66</v>
      </c>
      <c r="F24" s="9" t="s">
        <v>86</v>
      </c>
      <c r="G24" s="8" t="s">
        <v>95</v>
      </c>
    </row>
    <row r="25" spans="1:7" ht="20" customHeight="1" x14ac:dyDescent="0.3">
      <c r="A25" s="11" t="s">
        <v>96</v>
      </c>
      <c r="B25" s="11" t="s">
        <v>97</v>
      </c>
      <c r="C25" s="12" t="s">
        <v>98</v>
      </c>
      <c r="D25" s="13" t="s">
        <v>16</v>
      </c>
      <c r="E25" s="14">
        <f>MO_M1_M2!E17</f>
        <v>20.25</v>
      </c>
      <c r="F25" s="13" t="s">
        <v>86</v>
      </c>
      <c r="G25" s="12" t="s">
        <v>99</v>
      </c>
    </row>
    <row r="26" spans="1:7" ht="20" customHeight="1" x14ac:dyDescent="0.3">
      <c r="A26" s="7" t="s">
        <v>100</v>
      </c>
      <c r="B26" s="7" t="s">
        <v>101</v>
      </c>
      <c r="C26" s="8" t="s">
        <v>102</v>
      </c>
      <c r="D26" s="9" t="s">
        <v>16</v>
      </c>
      <c r="E26" s="10">
        <f>MO_M1_M2!E22</f>
        <v>9.5500000000000007</v>
      </c>
      <c r="F26" s="9" t="s">
        <v>86</v>
      </c>
      <c r="G26" s="8" t="s">
        <v>103</v>
      </c>
    </row>
    <row r="27" spans="1:7" ht="20" customHeight="1" x14ac:dyDescent="0.3">
      <c r="A27" s="11" t="s">
        <v>104</v>
      </c>
      <c r="B27" s="11" t="s">
        <v>105</v>
      </c>
      <c r="C27" s="12" t="s">
        <v>106</v>
      </c>
      <c r="D27" s="13" t="s">
        <v>22</v>
      </c>
      <c r="E27" s="14">
        <f>MO_M1_M2!E28/1000</f>
        <v>27.607299999999999</v>
      </c>
      <c r="F27" s="13" t="s">
        <v>86</v>
      </c>
      <c r="G27" s="12" t="s">
        <v>107</v>
      </c>
    </row>
    <row r="28" spans="1:7" ht="20" customHeight="1" x14ac:dyDescent="0.3">
      <c r="A28" s="7" t="s">
        <v>108</v>
      </c>
      <c r="B28" s="7" t="s">
        <v>109</v>
      </c>
      <c r="C28" s="8" t="s">
        <v>110</v>
      </c>
      <c r="D28" s="9" t="s">
        <v>35</v>
      </c>
      <c r="E28" s="10">
        <f>MO_M1_M2!E23</f>
        <v>490.38</v>
      </c>
      <c r="F28" s="9" t="s">
        <v>86</v>
      </c>
      <c r="G28" s="8" t="s">
        <v>111</v>
      </c>
    </row>
    <row r="29" spans="1:7" ht="20" customHeight="1" x14ac:dyDescent="0.3">
      <c r="A29" s="11" t="s">
        <v>112</v>
      </c>
      <c r="B29" s="11" t="s">
        <v>113</v>
      </c>
      <c r="C29" s="12" t="s">
        <v>114</v>
      </c>
      <c r="D29" s="13" t="s">
        <v>16</v>
      </c>
      <c r="E29" s="14">
        <f>TRU_T1_T2!H8</f>
        <v>368.48</v>
      </c>
      <c r="F29" s="13" t="s">
        <v>115</v>
      </c>
      <c r="G29" s="12" t="s">
        <v>116</v>
      </c>
    </row>
    <row r="30" spans="1:7" ht="20" customHeight="1" x14ac:dyDescent="0.3">
      <c r="A30" s="7" t="s">
        <v>117</v>
      </c>
      <c r="B30" s="7" t="s">
        <v>118</v>
      </c>
      <c r="C30" s="8" t="s">
        <v>119</v>
      </c>
      <c r="D30" s="9" t="s">
        <v>16</v>
      </c>
      <c r="E30" s="10">
        <f>TRU_T1_T2!H11</f>
        <v>501.71000000000004</v>
      </c>
      <c r="F30" s="9" t="s">
        <v>115</v>
      </c>
      <c r="G30" s="8" t="s">
        <v>120</v>
      </c>
    </row>
    <row r="31" spans="1:7" ht="20" customHeight="1" x14ac:dyDescent="0.3">
      <c r="A31" s="11" t="s">
        <v>121</v>
      </c>
      <c r="B31" s="11" t="s">
        <v>122</v>
      </c>
      <c r="C31" s="12" t="s">
        <v>123</v>
      </c>
      <c r="D31" s="13" t="s">
        <v>16</v>
      </c>
      <c r="E31" s="14">
        <f>TRU_T1_T2!H14</f>
        <v>145.02000000000001</v>
      </c>
      <c r="F31" s="13" t="s">
        <v>115</v>
      </c>
      <c r="G31" s="12" t="s">
        <v>124</v>
      </c>
    </row>
    <row r="32" spans="1:7" ht="20" customHeight="1" x14ac:dyDescent="0.3">
      <c r="A32" s="7" t="s">
        <v>125</v>
      </c>
      <c r="B32" s="7" t="s">
        <v>126</v>
      </c>
      <c r="C32" s="8" t="s">
        <v>127</v>
      </c>
      <c r="D32" s="9" t="s">
        <v>16</v>
      </c>
      <c r="E32" s="10">
        <f>TRU_T1_T2!H18</f>
        <v>17.54</v>
      </c>
      <c r="F32" s="9" t="s">
        <v>115</v>
      </c>
      <c r="G32" s="8" t="s">
        <v>103</v>
      </c>
    </row>
    <row r="33" spans="1:7" ht="20" customHeight="1" x14ac:dyDescent="0.3">
      <c r="A33" s="11" t="s">
        <v>128</v>
      </c>
      <c r="B33" s="11" t="s">
        <v>129</v>
      </c>
      <c r="C33" s="12" t="s">
        <v>130</v>
      </c>
      <c r="D33" s="13" t="s">
        <v>22</v>
      </c>
      <c r="E33" s="14">
        <f>TRU_T1_T2!H26/1000</f>
        <v>188.44676000000001</v>
      </c>
      <c r="F33" s="13" t="s">
        <v>115</v>
      </c>
      <c r="G33" s="12" t="s">
        <v>131</v>
      </c>
    </row>
    <row r="34" spans="1:7" ht="20" customHeight="1" x14ac:dyDescent="0.3">
      <c r="A34" s="7" t="s">
        <v>132</v>
      </c>
      <c r="B34" s="7" t="s">
        <v>133</v>
      </c>
      <c r="C34" s="8" t="s">
        <v>134</v>
      </c>
      <c r="D34" s="9" t="s">
        <v>35</v>
      </c>
      <c r="E34" s="10">
        <f>TRU_T1_T2!H19+TRU_T1_T2!H20+TRU_T1_T2!H21</f>
        <v>1131.45</v>
      </c>
      <c r="F34" s="9" t="s">
        <v>115</v>
      </c>
      <c r="G34" s="8" t="s">
        <v>135</v>
      </c>
    </row>
    <row r="35" spans="1:7" ht="22" customHeight="1" x14ac:dyDescent="0.3">
      <c r="A35" s="4" t="s">
        <v>136</v>
      </c>
      <c r="B35" s="4" t="s">
        <v>137</v>
      </c>
      <c r="C35" s="5" t="s">
        <v>138</v>
      </c>
      <c r="D35" s="4"/>
      <c r="E35" s="6"/>
      <c r="F35" s="4"/>
      <c r="G35" s="5" t="s">
        <v>139</v>
      </c>
    </row>
    <row r="36" spans="1:7" ht="20" customHeight="1" x14ac:dyDescent="0.3">
      <c r="A36" s="7" t="s">
        <v>140</v>
      </c>
      <c r="B36" s="7" t="s">
        <v>141</v>
      </c>
      <c r="C36" s="8" t="s">
        <v>142</v>
      </c>
      <c r="D36" s="9" t="s">
        <v>143</v>
      </c>
      <c r="E36" s="10">
        <f>COC_KHOAN_NHOI_D1200!G9</f>
        <v>952</v>
      </c>
      <c r="F36" s="9" t="s">
        <v>144</v>
      </c>
      <c r="G36" s="8" t="s">
        <v>145</v>
      </c>
    </row>
    <row r="37" spans="1:7" ht="20" customHeight="1" x14ac:dyDescent="0.3">
      <c r="A37" s="11" t="s">
        <v>146</v>
      </c>
      <c r="B37" s="11" t="s">
        <v>147</v>
      </c>
      <c r="C37" s="12" t="s">
        <v>148</v>
      </c>
      <c r="D37" s="13" t="s">
        <v>16</v>
      </c>
      <c r="E37" s="14">
        <f>COC_KHOAN_NHOI_D1200!D14</f>
        <v>1006.54</v>
      </c>
      <c r="F37" s="13" t="s">
        <v>144</v>
      </c>
      <c r="G37" s="12" t="s">
        <v>149</v>
      </c>
    </row>
    <row r="38" spans="1:7" ht="20" customHeight="1" x14ac:dyDescent="0.3">
      <c r="A38" s="7" t="s">
        <v>150</v>
      </c>
      <c r="B38" s="7" t="s">
        <v>151</v>
      </c>
      <c r="C38" s="8" t="s">
        <v>152</v>
      </c>
      <c r="D38" s="9" t="s">
        <v>16</v>
      </c>
      <c r="E38" s="10">
        <f>COC_KHOAN_NHOI_D1200!D15</f>
        <v>30.36</v>
      </c>
      <c r="F38" s="9" t="s">
        <v>144</v>
      </c>
      <c r="G38" s="8" t="s">
        <v>153</v>
      </c>
    </row>
    <row r="39" spans="1:7" ht="20" customHeight="1" x14ac:dyDescent="0.3">
      <c r="A39" s="11" t="s">
        <v>154</v>
      </c>
      <c r="B39" s="11" t="s">
        <v>155</v>
      </c>
      <c r="C39" s="12" t="s">
        <v>156</v>
      </c>
      <c r="D39" s="13" t="s">
        <v>22</v>
      </c>
      <c r="E39" s="14">
        <f>COC_KHOAN_NHOI_D1200!D17/1000</f>
        <v>97.451070000000001</v>
      </c>
      <c r="F39" s="13" t="s">
        <v>144</v>
      </c>
      <c r="G39" s="12" t="s">
        <v>157</v>
      </c>
    </row>
    <row r="40" spans="1:7" ht="20" customHeight="1" x14ac:dyDescent="0.3">
      <c r="A40" s="7" t="s">
        <v>158</v>
      </c>
      <c r="B40" s="7" t="s">
        <v>159</v>
      </c>
      <c r="C40" s="8" t="s">
        <v>160</v>
      </c>
      <c r="D40" s="9" t="s">
        <v>22</v>
      </c>
      <c r="E40" s="10">
        <f>(COC_KHOAN_NHOI_D1200!D18+COC_KHOAN_NHOI_D1200!D19)/1000</f>
        <v>11.4331</v>
      </c>
      <c r="F40" s="9" t="s">
        <v>144</v>
      </c>
      <c r="G40" s="8" t="s">
        <v>161</v>
      </c>
    </row>
    <row r="41" spans="1:7" ht="20" customHeight="1" x14ac:dyDescent="0.3">
      <c r="A41" s="11" t="s">
        <v>162</v>
      </c>
      <c r="B41" s="11" t="s">
        <v>163</v>
      </c>
      <c r="C41" s="12" t="s">
        <v>164</v>
      </c>
      <c r="D41" s="13" t="s">
        <v>143</v>
      </c>
      <c r="E41" s="14">
        <f>COC_KHOAN_NHOI_D1200!D20+COC_KHOAN_NHOI_D1200!D21</f>
        <v>3675.1899999999996</v>
      </c>
      <c r="F41" s="13" t="s">
        <v>144</v>
      </c>
      <c r="G41" s="12" t="s">
        <v>165</v>
      </c>
    </row>
    <row r="42" spans="1:7" ht="22" customHeight="1" x14ac:dyDescent="0.3">
      <c r="A42" s="4" t="s">
        <v>166</v>
      </c>
      <c r="B42" s="4" t="s">
        <v>167</v>
      </c>
      <c r="C42" s="5" t="s">
        <v>168</v>
      </c>
      <c r="D42" s="4"/>
      <c r="E42" s="6"/>
      <c r="F42" s="4"/>
      <c r="G42" s="5" t="s">
        <v>169</v>
      </c>
    </row>
    <row r="43" spans="1:7" ht="20" customHeight="1" x14ac:dyDescent="0.3">
      <c r="A43" s="11" t="s">
        <v>170</v>
      </c>
      <c r="B43" s="11" t="s">
        <v>171</v>
      </c>
      <c r="C43" s="12" t="s">
        <v>172</v>
      </c>
      <c r="D43" s="13" t="s">
        <v>16</v>
      </c>
      <c r="E43" s="14">
        <f>PHU_TRO_TU_NON_BAN_QUA_DO!E6</f>
        <v>67.38</v>
      </c>
      <c r="F43" s="13" t="s">
        <v>173</v>
      </c>
      <c r="G43" s="12" t="s">
        <v>174</v>
      </c>
    </row>
    <row r="44" spans="1:7" ht="20" customHeight="1" x14ac:dyDescent="0.3">
      <c r="A44" s="7" t="s">
        <v>175</v>
      </c>
      <c r="B44" s="7" t="s">
        <v>176</v>
      </c>
      <c r="C44" s="8" t="s">
        <v>177</v>
      </c>
      <c r="D44" s="9" t="s">
        <v>22</v>
      </c>
      <c r="E44" s="10">
        <f>PHU_TRO_TU_NON_BAN_QUA_DO!E8/1000</f>
        <v>9.5334000000000003</v>
      </c>
      <c r="F44" s="9" t="s">
        <v>173</v>
      </c>
      <c r="G44" s="8" t="s">
        <v>178</v>
      </c>
    </row>
    <row r="45" spans="1:7" ht="20" customHeight="1" x14ac:dyDescent="0.3">
      <c r="A45" s="11" t="s">
        <v>179</v>
      </c>
      <c r="B45" s="11" t="s">
        <v>180</v>
      </c>
      <c r="C45" s="12" t="s">
        <v>181</v>
      </c>
      <c r="D45" s="13" t="s">
        <v>182</v>
      </c>
      <c r="E45" s="14">
        <f>PHU_TRO_TU_NON_BAN_QUA_DO!E12+PHU_TRO_TU_NON_BAN_QUA_DO!E13</f>
        <v>30</v>
      </c>
      <c r="F45" s="13" t="s">
        <v>173</v>
      </c>
      <c r="G45" s="12" t="s">
        <v>183</v>
      </c>
    </row>
    <row r="46" spans="1:7" ht="20" customHeight="1" x14ac:dyDescent="0.3">
      <c r="A46" s="7" t="s">
        <v>184</v>
      </c>
      <c r="B46" s="7" t="s">
        <v>185</v>
      </c>
      <c r="C46" s="8" t="s">
        <v>186</v>
      </c>
      <c r="D46" s="9" t="s">
        <v>143</v>
      </c>
      <c r="E46" s="10">
        <f>PHU_TRO_TU_NON_BAN_QUA_DO!E17</f>
        <v>24.5</v>
      </c>
      <c r="F46" s="9" t="s">
        <v>173</v>
      </c>
      <c r="G46" s="8" t="s">
        <v>187</v>
      </c>
    </row>
    <row r="47" spans="1:7" ht="20" customHeight="1" x14ac:dyDescent="0.3">
      <c r="A47" s="11" t="s">
        <v>188</v>
      </c>
      <c r="B47" s="11" t="s">
        <v>189</v>
      </c>
      <c r="C47" s="12" t="s">
        <v>190</v>
      </c>
      <c r="D47" s="13" t="s">
        <v>191</v>
      </c>
      <c r="E47" s="14">
        <f>PHU_TRO_TU_NON_BAN_QUA_DO!E22</f>
        <v>24</v>
      </c>
      <c r="F47" s="13" t="s">
        <v>173</v>
      </c>
      <c r="G47" s="12" t="s">
        <v>192</v>
      </c>
    </row>
    <row r="48" spans="1:7" ht="20" customHeight="1" x14ac:dyDescent="0.3">
      <c r="A48" s="7" t="s">
        <v>193</v>
      </c>
      <c r="B48" s="7" t="s">
        <v>194</v>
      </c>
      <c r="C48" s="8" t="s">
        <v>195</v>
      </c>
      <c r="D48" s="9" t="s">
        <v>143</v>
      </c>
      <c r="E48" s="10">
        <f>PHU_TRO_TU_NON_BAN_QUA_DO!E23+PHU_TRO_TU_NON_BAN_QUA_DO!E24</f>
        <v>169.08999999999997</v>
      </c>
      <c r="F48" s="9" t="s">
        <v>173</v>
      </c>
      <c r="G48" s="8" t="s">
        <v>196</v>
      </c>
    </row>
    <row r="49" spans="1:7" ht="20" customHeight="1" x14ac:dyDescent="0.3">
      <c r="A49" s="11" t="s">
        <v>197</v>
      </c>
      <c r="B49" s="11" t="s">
        <v>198</v>
      </c>
      <c r="C49" s="12" t="s">
        <v>199</v>
      </c>
      <c r="D49" s="13" t="s">
        <v>16</v>
      </c>
      <c r="E49" s="14">
        <f>PHU_TRO_TU_NON_BAN_QUA_DO!E27</f>
        <v>104.74</v>
      </c>
      <c r="F49" s="13" t="s">
        <v>173</v>
      </c>
      <c r="G49" s="12" t="s">
        <v>200</v>
      </c>
    </row>
    <row r="50" spans="1:7" ht="20" customHeight="1" x14ac:dyDescent="0.3">
      <c r="A50" s="7" t="s">
        <v>201</v>
      </c>
      <c r="B50" s="7" t="s">
        <v>202</v>
      </c>
      <c r="C50" s="8" t="s">
        <v>203</v>
      </c>
      <c r="D50" s="9" t="s">
        <v>16</v>
      </c>
      <c r="E50" s="10">
        <f>PHU_TRO_TU_NON_BAN_QUA_DO!E28</f>
        <v>44.19</v>
      </c>
      <c r="F50" s="9" t="s">
        <v>173</v>
      </c>
      <c r="G50" s="8" t="s">
        <v>204</v>
      </c>
    </row>
    <row r="51" spans="1:7" ht="20" customHeight="1" x14ac:dyDescent="0.3">
      <c r="A51" s="11" t="s">
        <v>205</v>
      </c>
      <c r="B51" s="11" t="s">
        <v>206</v>
      </c>
      <c r="C51" s="12" t="s">
        <v>207</v>
      </c>
      <c r="D51" s="13" t="s">
        <v>16</v>
      </c>
      <c r="E51" s="14">
        <f>PHU_TRO_TU_NON_BAN_QUA_DO!E30</f>
        <v>115.88</v>
      </c>
      <c r="F51" s="13" t="s">
        <v>173</v>
      </c>
      <c r="G51" s="12" t="s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" x14ac:dyDescent="0.3"/>
  <cols>
    <col min="1" max="1" width="10" customWidth="1"/>
    <col min="2" max="2" width="46" customWidth="1"/>
    <col min="3" max="3" width="10" customWidth="1"/>
    <col min="4" max="4" width="42" customWidth="1"/>
    <col min="5" max="5" width="22" customWidth="1"/>
    <col min="6" max="6" width="23" customWidth="1"/>
    <col min="7" max="7" width="28" customWidth="1"/>
  </cols>
  <sheetData>
    <row r="1" spans="1:7" ht="20" customHeight="1" x14ac:dyDescent="0.55000000000000004">
      <c r="A1" s="1" t="s">
        <v>209</v>
      </c>
    </row>
    <row r="2" spans="1:7" ht="14.5" customHeight="1" x14ac:dyDescent="0.35">
      <c r="A2" s="2" t="s">
        <v>210</v>
      </c>
    </row>
    <row r="4" spans="1:7" ht="28" customHeight="1" x14ac:dyDescent="0.3">
      <c r="A4" s="3" t="s">
        <v>2</v>
      </c>
      <c r="B4" s="3" t="s">
        <v>211</v>
      </c>
      <c r="C4" s="3" t="s">
        <v>5</v>
      </c>
      <c r="D4" s="3" t="s">
        <v>212</v>
      </c>
      <c r="E4" s="3" t="s">
        <v>213</v>
      </c>
      <c r="F4" s="3" t="s">
        <v>6</v>
      </c>
      <c r="G4" s="3" t="s">
        <v>8</v>
      </c>
    </row>
    <row r="5" spans="1:7" ht="22" customHeight="1" x14ac:dyDescent="0.3">
      <c r="A5" s="4" t="s">
        <v>9</v>
      </c>
      <c r="B5" s="5" t="s">
        <v>214</v>
      </c>
      <c r="C5" s="4"/>
      <c r="D5" s="5"/>
      <c r="E5" s="5"/>
      <c r="F5" s="6"/>
      <c r="G5" s="5"/>
    </row>
    <row r="6" spans="1:7" ht="20" customHeight="1" x14ac:dyDescent="0.3">
      <c r="A6" s="7" t="s">
        <v>13</v>
      </c>
      <c r="B6" s="15" t="s">
        <v>215</v>
      </c>
      <c r="C6" s="9" t="s">
        <v>16</v>
      </c>
      <c r="D6" s="8" t="s">
        <v>216</v>
      </c>
      <c r="E6" s="8" t="s">
        <v>217</v>
      </c>
      <c r="F6" s="16">
        <f>2*29.25389</f>
        <v>58.507779999999997</v>
      </c>
      <c r="G6" s="8" t="s">
        <v>218</v>
      </c>
    </row>
    <row r="7" spans="1:7" ht="20" customHeight="1" x14ac:dyDescent="0.3">
      <c r="A7" s="11" t="s">
        <v>19</v>
      </c>
      <c r="B7" s="17" t="s">
        <v>219</v>
      </c>
      <c r="C7" s="13" t="s">
        <v>16</v>
      </c>
      <c r="D7" s="12" t="s">
        <v>220</v>
      </c>
      <c r="E7" s="12" t="s">
        <v>221</v>
      </c>
      <c r="F7" s="18">
        <f>3*29.18227</f>
        <v>87.546809999999994</v>
      </c>
      <c r="G7" s="12" t="s">
        <v>218</v>
      </c>
    </row>
    <row r="8" spans="1:7" ht="20" customHeight="1" x14ac:dyDescent="0.3">
      <c r="A8" s="7" t="s">
        <v>24</v>
      </c>
      <c r="B8" s="15" t="s">
        <v>222</v>
      </c>
      <c r="C8" s="9" t="s">
        <v>16</v>
      </c>
      <c r="D8" s="8" t="s">
        <v>223</v>
      </c>
      <c r="E8" s="8" t="s">
        <v>224</v>
      </c>
      <c r="F8" s="16">
        <f>1*28.99604</f>
        <v>28.996040000000001</v>
      </c>
      <c r="G8" s="8" t="s">
        <v>225</v>
      </c>
    </row>
    <row r="9" spans="1:7" ht="20" customHeight="1" x14ac:dyDescent="0.3">
      <c r="A9" s="11" t="s">
        <v>28</v>
      </c>
      <c r="B9" s="17" t="s">
        <v>226</v>
      </c>
      <c r="C9" s="13" t="s">
        <v>16</v>
      </c>
      <c r="D9" s="12" t="s">
        <v>227</v>
      </c>
      <c r="E9" s="12" t="s">
        <v>228</v>
      </c>
      <c r="F9" s="18">
        <f>9*28.83277</f>
        <v>259.49493000000001</v>
      </c>
      <c r="G9" s="12" t="s">
        <v>225</v>
      </c>
    </row>
    <row r="10" spans="1:7" ht="20" customHeight="1" x14ac:dyDescent="0.3">
      <c r="A10" s="7" t="s">
        <v>32</v>
      </c>
      <c r="B10" s="15" t="s">
        <v>229</v>
      </c>
      <c r="C10" s="9" t="s">
        <v>16</v>
      </c>
      <c r="D10" s="8" t="s">
        <v>230</v>
      </c>
      <c r="E10" s="8" t="s">
        <v>231</v>
      </c>
      <c r="F10" s="16">
        <f>15*0.0172</f>
        <v>0.25800000000000001</v>
      </c>
      <c r="G10" s="8" t="s">
        <v>232</v>
      </c>
    </row>
    <row r="11" spans="1:7" ht="20" customHeight="1" x14ac:dyDescent="0.3">
      <c r="A11" s="19" t="s">
        <v>233</v>
      </c>
      <c r="B11" s="20" t="s">
        <v>234</v>
      </c>
      <c r="C11" s="19" t="s">
        <v>16</v>
      </c>
      <c r="D11" s="20" t="s">
        <v>235</v>
      </c>
      <c r="E11" s="20" t="s">
        <v>236</v>
      </c>
      <c r="F11" s="21">
        <f>SUM(F6:F10)</f>
        <v>434.80356</v>
      </c>
      <c r="G11" s="20" t="s">
        <v>237</v>
      </c>
    </row>
    <row r="12" spans="1:7" ht="22" customHeight="1" x14ac:dyDescent="0.3">
      <c r="A12" s="4" t="s">
        <v>79</v>
      </c>
      <c r="B12" s="5" t="s">
        <v>238</v>
      </c>
      <c r="C12" s="4"/>
      <c r="D12" s="5"/>
      <c r="E12" s="5"/>
      <c r="F12" s="6"/>
      <c r="G12" s="5"/>
    </row>
    <row r="13" spans="1:7" ht="20" customHeight="1" x14ac:dyDescent="0.3">
      <c r="A13" s="11" t="s">
        <v>37</v>
      </c>
      <c r="B13" s="17" t="s">
        <v>239</v>
      </c>
      <c r="C13" s="13" t="s">
        <v>35</v>
      </c>
      <c r="D13" s="12" t="s">
        <v>240</v>
      </c>
      <c r="E13" s="12" t="s">
        <v>241</v>
      </c>
      <c r="F13" s="18">
        <f>15*2*1.75*38.2*0.85</f>
        <v>1704.6750000000002</v>
      </c>
      <c r="G13" s="12" t="s">
        <v>242</v>
      </c>
    </row>
    <row r="14" spans="1:7" ht="20" customHeight="1" x14ac:dyDescent="0.3">
      <c r="A14" s="7" t="s">
        <v>42</v>
      </c>
      <c r="B14" s="15" t="s">
        <v>243</v>
      </c>
      <c r="C14" s="9" t="s">
        <v>35</v>
      </c>
      <c r="D14" s="8" t="s">
        <v>244</v>
      </c>
      <c r="E14" s="8" t="s">
        <v>245</v>
      </c>
      <c r="F14" s="16">
        <f>15*142.5</f>
        <v>2137.5</v>
      </c>
      <c r="G14" s="8" t="s">
        <v>246</v>
      </c>
    </row>
    <row r="15" spans="1:7" ht="20" customHeight="1" x14ac:dyDescent="0.3">
      <c r="A15" s="11" t="s">
        <v>46</v>
      </c>
      <c r="B15" s="17" t="s">
        <v>247</v>
      </c>
      <c r="C15" s="13" t="s">
        <v>35</v>
      </c>
      <c r="D15" s="12" t="s">
        <v>248</v>
      </c>
      <c r="E15" s="12" t="s">
        <v>249</v>
      </c>
      <c r="F15" s="18">
        <f>5098.77-F13-F14</f>
        <v>1256.5950000000003</v>
      </c>
      <c r="G15" s="12" t="s">
        <v>250</v>
      </c>
    </row>
    <row r="16" spans="1:7" ht="20" customHeight="1" x14ac:dyDescent="0.3">
      <c r="A16" s="19" t="s">
        <v>233</v>
      </c>
      <c r="B16" s="20" t="s">
        <v>251</v>
      </c>
      <c r="C16" s="19" t="s">
        <v>35</v>
      </c>
      <c r="D16" s="20" t="s">
        <v>252</v>
      </c>
      <c r="E16" s="20" t="s">
        <v>253</v>
      </c>
      <c r="F16" s="21">
        <f>SUM(F13:F15)</f>
        <v>5098.7700000000004</v>
      </c>
      <c r="G16" s="20" t="s">
        <v>254</v>
      </c>
    </row>
    <row r="17" spans="1:7" ht="22" customHeight="1" x14ac:dyDescent="0.3">
      <c r="A17" s="4" t="s">
        <v>136</v>
      </c>
      <c r="B17" s="5" t="s">
        <v>255</v>
      </c>
      <c r="C17" s="4"/>
      <c r="D17" s="5"/>
      <c r="E17" s="5"/>
      <c r="F17" s="6"/>
      <c r="G17" s="5"/>
    </row>
    <row r="18" spans="1:7" ht="20" customHeight="1" x14ac:dyDescent="0.3">
      <c r="A18" s="7" t="s">
        <v>50</v>
      </c>
      <c r="B18" s="15" t="s">
        <v>256</v>
      </c>
      <c r="C18" s="9" t="s">
        <v>257</v>
      </c>
      <c r="D18" s="8" t="s">
        <v>258</v>
      </c>
      <c r="E18" s="8" t="s">
        <v>259</v>
      </c>
      <c r="F18" s="16">
        <f>15*44*38.2*1.101</f>
        <v>27758.412000000004</v>
      </c>
      <c r="G18" s="8" t="s">
        <v>260</v>
      </c>
    </row>
    <row r="19" spans="1:7" ht="20" customHeight="1" x14ac:dyDescent="0.3">
      <c r="A19" s="11" t="s">
        <v>54</v>
      </c>
      <c r="B19" s="17" t="s">
        <v>261</v>
      </c>
      <c r="C19" s="13" t="s">
        <v>257</v>
      </c>
      <c r="D19" s="12" t="s">
        <v>262</v>
      </c>
      <c r="E19" s="12" t="s">
        <v>263</v>
      </c>
      <c r="F19" s="18">
        <f>15*44*3*1.101</f>
        <v>2179.98</v>
      </c>
      <c r="G19" s="12" t="s">
        <v>264</v>
      </c>
    </row>
    <row r="20" spans="1:7" ht="20" customHeight="1" x14ac:dyDescent="0.3">
      <c r="A20" s="19" t="s">
        <v>233</v>
      </c>
      <c r="B20" s="20" t="s">
        <v>265</v>
      </c>
      <c r="C20" s="19" t="s">
        <v>257</v>
      </c>
      <c r="D20" s="20" t="s">
        <v>266</v>
      </c>
      <c r="E20" s="20" t="s">
        <v>267</v>
      </c>
      <c r="F20" s="21">
        <f>F18+F19</f>
        <v>29938.392000000003</v>
      </c>
      <c r="G20" s="20" t="s">
        <v>268</v>
      </c>
    </row>
    <row r="21" spans="1:7" ht="20" customHeight="1" x14ac:dyDescent="0.3">
      <c r="A21" s="11" t="s">
        <v>58</v>
      </c>
      <c r="B21" s="17" t="s">
        <v>269</v>
      </c>
      <c r="C21" s="13" t="s">
        <v>143</v>
      </c>
      <c r="D21" s="12" t="s">
        <v>270</v>
      </c>
      <c r="E21" s="12" t="s">
        <v>271</v>
      </c>
      <c r="F21" s="18">
        <f>15*240</f>
        <v>3600</v>
      </c>
      <c r="G21" s="12" t="s">
        <v>272</v>
      </c>
    </row>
    <row r="22" spans="1:7" ht="20" customHeight="1" x14ac:dyDescent="0.3">
      <c r="A22" s="7" t="s">
        <v>63</v>
      </c>
      <c r="B22" s="15" t="s">
        <v>273</v>
      </c>
      <c r="C22" s="9" t="s">
        <v>143</v>
      </c>
      <c r="D22" s="8" t="s">
        <v>274</v>
      </c>
      <c r="E22" s="8" t="s">
        <v>275</v>
      </c>
      <c r="F22" s="16">
        <f>15*5.15</f>
        <v>77.25</v>
      </c>
      <c r="G22" s="8" t="s">
        <v>276</v>
      </c>
    </row>
    <row r="23" spans="1:7" ht="20" customHeight="1" x14ac:dyDescent="0.3">
      <c r="A23" s="11" t="s">
        <v>67</v>
      </c>
      <c r="B23" s="17" t="s">
        <v>277</v>
      </c>
      <c r="C23" s="13" t="s">
        <v>35</v>
      </c>
      <c r="D23" s="12" t="s">
        <v>278</v>
      </c>
      <c r="E23" s="12" t="s">
        <v>279</v>
      </c>
      <c r="F23" s="18">
        <f>15*0.41</f>
        <v>6.1499999999999995</v>
      </c>
      <c r="G23" s="12" t="s">
        <v>280</v>
      </c>
    </row>
    <row r="24" spans="1:7" ht="20" customHeight="1" x14ac:dyDescent="0.3">
      <c r="A24" s="7" t="s">
        <v>71</v>
      </c>
      <c r="B24" s="15" t="s">
        <v>281</v>
      </c>
      <c r="C24" s="9" t="s">
        <v>143</v>
      </c>
      <c r="D24" s="8" t="s">
        <v>282</v>
      </c>
      <c r="E24" s="8" t="s">
        <v>283</v>
      </c>
      <c r="F24" s="16">
        <f>15*32</f>
        <v>480</v>
      </c>
      <c r="G24" s="8" t="s">
        <v>284</v>
      </c>
    </row>
    <row r="25" spans="1:7" ht="20" customHeight="1" x14ac:dyDescent="0.3">
      <c r="A25" s="11" t="s">
        <v>75</v>
      </c>
      <c r="B25" s="17" t="s">
        <v>285</v>
      </c>
      <c r="C25" s="13" t="s">
        <v>286</v>
      </c>
      <c r="D25" s="12" t="s">
        <v>287</v>
      </c>
      <c r="E25" s="12" t="s">
        <v>288</v>
      </c>
      <c r="F25" s="18">
        <v>384</v>
      </c>
      <c r="G25" s="12" t="s">
        <v>289</v>
      </c>
    </row>
    <row r="26" spans="1:7" ht="22" customHeight="1" x14ac:dyDescent="0.3">
      <c r="A26" s="4" t="s">
        <v>166</v>
      </c>
      <c r="B26" s="5" t="s">
        <v>290</v>
      </c>
      <c r="C26" s="4"/>
      <c r="D26" s="5"/>
      <c r="E26" s="5"/>
      <c r="F26" s="6"/>
      <c r="G26" s="5"/>
    </row>
    <row r="27" spans="1:7" ht="20" customHeight="1" x14ac:dyDescent="0.3">
      <c r="A27" s="11" t="s">
        <v>83</v>
      </c>
      <c r="B27" s="17" t="s">
        <v>291</v>
      </c>
      <c r="C27" s="13" t="s">
        <v>257</v>
      </c>
      <c r="D27" s="12" t="s">
        <v>292</v>
      </c>
      <c r="E27" s="12" t="s">
        <v>293</v>
      </c>
      <c r="F27" s="18">
        <v>0</v>
      </c>
      <c r="G27" s="12" t="s">
        <v>294</v>
      </c>
    </row>
    <row r="28" spans="1:7" ht="20" customHeight="1" x14ac:dyDescent="0.3">
      <c r="A28" s="7" t="s">
        <v>88</v>
      </c>
      <c r="B28" s="15" t="s">
        <v>295</v>
      </c>
      <c r="C28" s="9" t="s">
        <v>257</v>
      </c>
      <c r="D28" s="8" t="s">
        <v>296</v>
      </c>
      <c r="E28" s="8" t="s">
        <v>297</v>
      </c>
      <c r="F28" s="16">
        <v>77743.259999999995</v>
      </c>
      <c r="G28" s="8" t="s">
        <v>298</v>
      </c>
    </row>
    <row r="29" spans="1:7" ht="20" customHeight="1" x14ac:dyDescent="0.3">
      <c r="A29" s="11" t="s">
        <v>92</v>
      </c>
      <c r="B29" s="17" t="s">
        <v>299</v>
      </c>
      <c r="C29" s="13" t="s">
        <v>257</v>
      </c>
      <c r="D29" s="12" t="s">
        <v>300</v>
      </c>
      <c r="E29" s="12" t="s">
        <v>297</v>
      </c>
      <c r="F29" s="18">
        <v>11947.05</v>
      </c>
      <c r="G29" s="12" t="s">
        <v>301</v>
      </c>
    </row>
    <row r="30" spans="1:7" ht="20" customHeight="1" x14ac:dyDescent="0.3">
      <c r="A30" s="19" t="s">
        <v>233</v>
      </c>
      <c r="B30" s="20" t="s">
        <v>302</v>
      </c>
      <c r="C30" s="19" t="s">
        <v>257</v>
      </c>
      <c r="D30" s="20" t="s">
        <v>303</v>
      </c>
      <c r="E30" s="20" t="s">
        <v>304</v>
      </c>
      <c r="F30" s="21">
        <f>SUM(F27:F29)</f>
        <v>89690.31</v>
      </c>
      <c r="G30" s="20" t="s">
        <v>305</v>
      </c>
    </row>
    <row r="31" spans="1:7" ht="20" customHeight="1" x14ac:dyDescent="0.3">
      <c r="A31" s="11" t="s">
        <v>96</v>
      </c>
      <c r="B31" s="17" t="s">
        <v>306</v>
      </c>
      <c r="C31" s="13" t="s">
        <v>257</v>
      </c>
      <c r="D31" s="12" t="s">
        <v>307</v>
      </c>
      <c r="E31" s="12" t="s">
        <v>308</v>
      </c>
      <c r="F31" s="18">
        <v>941.1</v>
      </c>
      <c r="G31" s="12" t="s">
        <v>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/>
  </sheetViews>
  <sheetFormatPr defaultRowHeight="14" x14ac:dyDescent="0.3"/>
  <cols>
    <col min="1" max="1" width="10" customWidth="1"/>
    <col min="2" max="2" width="46" customWidth="1"/>
    <col min="3" max="3" width="10" customWidth="1"/>
    <col min="4" max="4" width="50" customWidth="1"/>
    <col min="5" max="5" width="13" customWidth="1"/>
    <col min="6" max="6" width="30" customWidth="1"/>
  </cols>
  <sheetData>
    <row r="1" spans="1:6" ht="20" customHeight="1" x14ac:dyDescent="0.55000000000000004">
      <c r="A1" s="1" t="s">
        <v>310</v>
      </c>
    </row>
    <row r="2" spans="1:6" ht="14.5" customHeight="1" x14ac:dyDescent="0.35">
      <c r="A2" s="2" t="s">
        <v>311</v>
      </c>
    </row>
    <row r="4" spans="1:6" ht="28" customHeight="1" x14ac:dyDescent="0.3">
      <c r="A4" s="3" t="s">
        <v>2</v>
      </c>
      <c r="B4" s="3" t="s">
        <v>211</v>
      </c>
      <c r="C4" s="3" t="s">
        <v>5</v>
      </c>
      <c r="D4" s="3" t="s">
        <v>212</v>
      </c>
      <c r="E4" s="3" t="s">
        <v>6</v>
      </c>
      <c r="F4" s="3" t="s">
        <v>8</v>
      </c>
    </row>
    <row r="5" spans="1:6" ht="22" customHeight="1" x14ac:dyDescent="0.3">
      <c r="A5" s="4" t="s">
        <v>9</v>
      </c>
      <c r="B5" s="5" t="s">
        <v>312</v>
      </c>
      <c r="C5" s="4"/>
      <c r="D5" s="5"/>
      <c r="E5" s="6"/>
      <c r="F5" s="5"/>
    </row>
    <row r="6" spans="1:6" ht="20" customHeight="1" x14ac:dyDescent="0.3">
      <c r="A6" s="7" t="s">
        <v>13</v>
      </c>
      <c r="B6" s="15" t="s">
        <v>313</v>
      </c>
      <c r="C6" s="9" t="s">
        <v>16</v>
      </c>
      <c r="D6" s="8" t="s">
        <v>314</v>
      </c>
      <c r="E6" s="16">
        <v>19.38</v>
      </c>
      <c r="F6" s="8" t="s">
        <v>315</v>
      </c>
    </row>
    <row r="7" spans="1:6" ht="20" customHeight="1" x14ac:dyDescent="0.3">
      <c r="A7" s="11" t="s">
        <v>19</v>
      </c>
      <c r="B7" s="17" t="s">
        <v>316</v>
      </c>
      <c r="C7" s="13" t="s">
        <v>35</v>
      </c>
      <c r="D7" s="12" t="s">
        <v>317</v>
      </c>
      <c r="E7" s="18">
        <v>48.22</v>
      </c>
      <c r="F7" s="12" t="s">
        <v>318</v>
      </c>
    </row>
    <row r="8" spans="1:6" ht="20" customHeight="1" x14ac:dyDescent="0.3">
      <c r="A8" s="7" t="s">
        <v>24</v>
      </c>
      <c r="B8" s="15" t="s">
        <v>319</v>
      </c>
      <c r="C8" s="9" t="s">
        <v>257</v>
      </c>
      <c r="D8" s="8" t="s">
        <v>320</v>
      </c>
      <c r="E8" s="16">
        <v>2763.12</v>
      </c>
      <c r="F8" s="8" t="s">
        <v>321</v>
      </c>
    </row>
    <row r="9" spans="1:6" ht="22" customHeight="1" x14ac:dyDescent="0.3">
      <c r="A9" s="4" t="s">
        <v>79</v>
      </c>
      <c r="B9" s="5" t="s">
        <v>322</v>
      </c>
      <c r="C9" s="4"/>
      <c r="D9" s="5"/>
      <c r="E9" s="6"/>
      <c r="F9" s="5"/>
    </row>
    <row r="10" spans="1:6" ht="20" customHeight="1" x14ac:dyDescent="0.3">
      <c r="A10" s="7" t="s">
        <v>28</v>
      </c>
      <c r="B10" s="15" t="s">
        <v>323</v>
      </c>
      <c r="C10" s="9" t="s">
        <v>16</v>
      </c>
      <c r="D10" s="8" t="s">
        <v>324</v>
      </c>
      <c r="E10" s="16">
        <v>305.45999999999998</v>
      </c>
      <c r="F10" s="8" t="s">
        <v>325</v>
      </c>
    </row>
    <row r="11" spans="1:6" ht="20" customHeight="1" x14ac:dyDescent="0.3">
      <c r="A11" s="11" t="s">
        <v>32</v>
      </c>
      <c r="B11" s="17" t="s">
        <v>326</v>
      </c>
      <c r="C11" s="13" t="s">
        <v>16</v>
      </c>
      <c r="D11" s="12" t="s">
        <v>327</v>
      </c>
      <c r="E11" s="18">
        <v>21.87</v>
      </c>
      <c r="F11" s="12" t="s">
        <v>328</v>
      </c>
    </row>
    <row r="12" spans="1:6" ht="20" customHeight="1" x14ac:dyDescent="0.3">
      <c r="A12" s="7" t="s">
        <v>37</v>
      </c>
      <c r="B12" s="15" t="s">
        <v>329</v>
      </c>
      <c r="C12" s="9" t="s">
        <v>257</v>
      </c>
      <c r="D12" s="8" t="s">
        <v>330</v>
      </c>
      <c r="E12" s="16">
        <v>85594.39</v>
      </c>
      <c r="F12" s="8" t="s">
        <v>331</v>
      </c>
    </row>
    <row r="13" spans="1:6" ht="20" customHeight="1" x14ac:dyDescent="0.3">
      <c r="A13" s="11" t="s">
        <v>42</v>
      </c>
      <c r="B13" s="17" t="s">
        <v>332</v>
      </c>
      <c r="C13" s="13" t="s">
        <v>35</v>
      </c>
      <c r="D13" s="12" t="s">
        <v>333</v>
      </c>
      <c r="E13" s="18">
        <v>57.04</v>
      </c>
      <c r="F13" s="12" t="s">
        <v>334</v>
      </c>
    </row>
    <row r="14" spans="1:6" ht="20" customHeight="1" x14ac:dyDescent="0.3">
      <c r="A14" s="7" t="s">
        <v>46</v>
      </c>
      <c r="B14" s="15" t="s">
        <v>335</v>
      </c>
      <c r="C14" s="9" t="s">
        <v>35</v>
      </c>
      <c r="D14" s="8" t="s">
        <v>336</v>
      </c>
      <c r="E14" s="16">
        <v>39.76</v>
      </c>
      <c r="F14" s="8" t="s">
        <v>337</v>
      </c>
    </row>
    <row r="15" spans="1:6" ht="20" customHeight="1" x14ac:dyDescent="0.3">
      <c r="A15" s="11" t="s">
        <v>50</v>
      </c>
      <c r="B15" s="17" t="s">
        <v>338</v>
      </c>
      <c r="C15" s="13" t="s">
        <v>35</v>
      </c>
      <c r="D15" s="12" t="s">
        <v>339</v>
      </c>
      <c r="E15" s="18">
        <v>26.13</v>
      </c>
      <c r="F15" s="12" t="s">
        <v>340</v>
      </c>
    </row>
    <row r="16" spans="1:6" ht="22" customHeight="1" x14ac:dyDescent="0.3">
      <c r="A16" s="4" t="s">
        <v>136</v>
      </c>
      <c r="B16" s="5" t="s">
        <v>341</v>
      </c>
      <c r="C16" s="4"/>
      <c r="D16" s="5"/>
      <c r="E16" s="6"/>
      <c r="F16" s="5"/>
    </row>
    <row r="17" spans="1:6" ht="20" customHeight="1" x14ac:dyDescent="0.3">
      <c r="A17" s="11" t="s">
        <v>54</v>
      </c>
      <c r="B17" s="17" t="s">
        <v>342</v>
      </c>
      <c r="C17" s="13" t="s">
        <v>61</v>
      </c>
      <c r="D17" s="12" t="s">
        <v>343</v>
      </c>
      <c r="E17" s="18">
        <v>510</v>
      </c>
      <c r="F17" s="12" t="s">
        <v>344</v>
      </c>
    </row>
    <row r="18" spans="1:6" ht="20" customHeight="1" x14ac:dyDescent="0.3">
      <c r="A18" s="7" t="s">
        <v>58</v>
      </c>
      <c r="B18" s="15" t="s">
        <v>345</v>
      </c>
      <c r="C18" s="9" t="s">
        <v>16</v>
      </c>
      <c r="D18" s="8" t="s">
        <v>346</v>
      </c>
      <c r="E18" s="16">
        <v>13.23</v>
      </c>
      <c r="F18" s="8" t="s">
        <v>347</v>
      </c>
    </row>
    <row r="19" spans="1:6" ht="20" customHeight="1" x14ac:dyDescent="0.3">
      <c r="A19" s="11" t="s">
        <v>63</v>
      </c>
      <c r="B19" s="17" t="s">
        <v>348</v>
      </c>
      <c r="C19" s="13" t="s">
        <v>257</v>
      </c>
      <c r="D19" s="12" t="s">
        <v>349</v>
      </c>
      <c r="E19" s="18">
        <v>2322.9</v>
      </c>
      <c r="F19" s="12" t="s">
        <v>350</v>
      </c>
    </row>
    <row r="20" spans="1:6" ht="20" customHeight="1" x14ac:dyDescent="0.3">
      <c r="A20" s="7" t="s">
        <v>67</v>
      </c>
      <c r="B20" s="15" t="s">
        <v>351</v>
      </c>
      <c r="C20" s="9" t="s">
        <v>35</v>
      </c>
      <c r="D20" s="8" t="s">
        <v>352</v>
      </c>
      <c r="E20" s="16">
        <v>504.75</v>
      </c>
      <c r="F20" s="8" t="s">
        <v>353</v>
      </c>
    </row>
    <row r="21" spans="1:6" ht="22" customHeight="1" x14ac:dyDescent="0.3">
      <c r="A21" s="4" t="s">
        <v>166</v>
      </c>
      <c r="B21" s="5" t="s">
        <v>354</v>
      </c>
      <c r="C21" s="4"/>
      <c r="D21" s="5"/>
      <c r="E21" s="6"/>
      <c r="F21" s="5"/>
    </row>
    <row r="22" spans="1:6" ht="20" customHeight="1" x14ac:dyDescent="0.3">
      <c r="A22" s="7" t="s">
        <v>71</v>
      </c>
      <c r="B22" s="15" t="s">
        <v>355</v>
      </c>
      <c r="C22" s="9" t="s">
        <v>35</v>
      </c>
      <c r="D22" s="8" t="s">
        <v>356</v>
      </c>
      <c r="E22" s="16">
        <v>1380.39</v>
      </c>
      <c r="F22" s="8" t="s">
        <v>357</v>
      </c>
    </row>
    <row r="23" spans="1:6" ht="20" customHeight="1" x14ac:dyDescent="0.3">
      <c r="A23" s="11" t="s">
        <v>75</v>
      </c>
      <c r="B23" s="17" t="s">
        <v>358</v>
      </c>
      <c r="C23" s="13" t="s">
        <v>35</v>
      </c>
      <c r="D23" s="12" t="s">
        <v>359</v>
      </c>
      <c r="E23" s="18">
        <v>1380.39</v>
      </c>
      <c r="F23" s="12" t="s">
        <v>360</v>
      </c>
    </row>
    <row r="24" spans="1:6" ht="20" customHeight="1" x14ac:dyDescent="0.3">
      <c r="A24" s="7" t="s">
        <v>83</v>
      </c>
      <c r="B24" s="15" t="s">
        <v>361</v>
      </c>
      <c r="C24" s="9" t="s">
        <v>35</v>
      </c>
      <c r="D24" s="8" t="s">
        <v>362</v>
      </c>
      <c r="E24" s="16">
        <v>1380.39</v>
      </c>
      <c r="F24" s="8" t="s">
        <v>363</v>
      </c>
    </row>
    <row r="25" spans="1:6" ht="22" customHeight="1" x14ac:dyDescent="0.3">
      <c r="A25" s="4" t="s">
        <v>364</v>
      </c>
      <c r="B25" s="5" t="s">
        <v>365</v>
      </c>
      <c r="C25" s="4"/>
      <c r="D25" s="5"/>
      <c r="E25" s="6"/>
      <c r="F25" s="5"/>
    </row>
    <row r="26" spans="1:6" ht="20" customHeight="1" x14ac:dyDescent="0.3">
      <c r="A26" s="7" t="s">
        <v>88</v>
      </c>
      <c r="B26" s="15" t="s">
        <v>366</v>
      </c>
      <c r="C26" s="9" t="s">
        <v>16</v>
      </c>
      <c r="D26" s="8" t="s">
        <v>367</v>
      </c>
      <c r="E26" s="16">
        <v>104.28</v>
      </c>
      <c r="F26" s="8" t="s">
        <v>368</v>
      </c>
    </row>
    <row r="27" spans="1:6" ht="20" customHeight="1" x14ac:dyDescent="0.3">
      <c r="A27" s="11" t="s">
        <v>92</v>
      </c>
      <c r="B27" s="17" t="s">
        <v>369</v>
      </c>
      <c r="C27" s="13" t="s">
        <v>257</v>
      </c>
      <c r="D27" s="12" t="s">
        <v>370</v>
      </c>
      <c r="E27" s="18">
        <v>20069.02</v>
      </c>
      <c r="F27" s="12" t="s">
        <v>371</v>
      </c>
    </row>
    <row r="28" spans="1:6" ht="20" customHeight="1" x14ac:dyDescent="0.3">
      <c r="A28" s="7" t="s">
        <v>96</v>
      </c>
      <c r="B28" s="15" t="s">
        <v>372</v>
      </c>
      <c r="C28" s="9" t="s">
        <v>35</v>
      </c>
      <c r="D28" s="8" t="s">
        <v>373</v>
      </c>
      <c r="E28" s="16">
        <v>638.94000000000005</v>
      </c>
      <c r="F28" s="8" t="s">
        <v>374</v>
      </c>
    </row>
    <row r="29" spans="1:6" ht="20" customHeight="1" x14ac:dyDescent="0.3">
      <c r="A29" s="11" t="s">
        <v>100</v>
      </c>
      <c r="B29" s="17" t="s">
        <v>375</v>
      </c>
      <c r="C29" s="13" t="s">
        <v>35</v>
      </c>
      <c r="D29" s="12" t="s">
        <v>376</v>
      </c>
      <c r="E29" s="18">
        <v>149.55000000000001</v>
      </c>
      <c r="F29" s="12" t="s">
        <v>377</v>
      </c>
    </row>
    <row r="30" spans="1:6" ht="20" customHeight="1" x14ac:dyDescent="0.3">
      <c r="A30" s="7" t="s">
        <v>104</v>
      </c>
      <c r="B30" s="15" t="s">
        <v>378</v>
      </c>
      <c r="C30" s="9" t="s">
        <v>143</v>
      </c>
      <c r="D30" s="8" t="s">
        <v>379</v>
      </c>
      <c r="E30" s="16">
        <v>118.3</v>
      </c>
      <c r="F30" s="8" t="s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/>
  </sheetViews>
  <sheetFormatPr defaultRowHeight="14" x14ac:dyDescent="0.3"/>
  <cols>
    <col min="1" max="1" width="10" customWidth="1"/>
    <col min="2" max="2" width="50" customWidth="1"/>
    <col min="3" max="3" width="10" customWidth="1"/>
    <col min="4" max="4" width="50" customWidth="1"/>
    <col min="5" max="5" width="16" customWidth="1"/>
    <col min="6" max="6" width="25" customWidth="1"/>
  </cols>
  <sheetData>
    <row r="1" spans="1:6" ht="20" customHeight="1" x14ac:dyDescent="0.55000000000000004">
      <c r="A1" s="1" t="s">
        <v>381</v>
      </c>
    </row>
    <row r="2" spans="1:6" ht="14.5" customHeight="1" x14ac:dyDescent="0.35">
      <c r="A2" s="2" t="s">
        <v>382</v>
      </c>
    </row>
    <row r="4" spans="1:6" ht="28" customHeight="1" x14ac:dyDescent="0.3">
      <c r="A4" s="3" t="s">
        <v>2</v>
      </c>
      <c r="B4" s="3" t="s">
        <v>383</v>
      </c>
      <c r="C4" s="3" t="s">
        <v>5</v>
      </c>
      <c r="D4" s="3" t="s">
        <v>384</v>
      </c>
      <c r="E4" s="3" t="s">
        <v>6</v>
      </c>
      <c r="F4" s="3" t="s">
        <v>8</v>
      </c>
    </row>
    <row r="5" spans="1:6" ht="22" customHeight="1" x14ac:dyDescent="0.3">
      <c r="A5" s="4" t="s">
        <v>9</v>
      </c>
      <c r="B5" s="5" t="s">
        <v>385</v>
      </c>
      <c r="C5" s="4"/>
      <c r="D5" s="5"/>
      <c r="E5" s="6"/>
      <c r="F5" s="5"/>
    </row>
    <row r="6" spans="1:6" ht="20" customHeight="1" x14ac:dyDescent="0.3">
      <c r="A6" s="7" t="s">
        <v>13</v>
      </c>
      <c r="B6" s="15" t="s">
        <v>386</v>
      </c>
      <c r="C6" s="9" t="s">
        <v>16</v>
      </c>
      <c r="D6" s="8" t="s">
        <v>387</v>
      </c>
      <c r="E6" s="16">
        <v>148.99</v>
      </c>
      <c r="F6" s="8" t="s">
        <v>388</v>
      </c>
    </row>
    <row r="7" spans="1:6" ht="20" customHeight="1" x14ac:dyDescent="0.3">
      <c r="A7" s="11" t="s">
        <v>19</v>
      </c>
      <c r="B7" s="17" t="s">
        <v>389</v>
      </c>
      <c r="C7" s="13" t="s">
        <v>16</v>
      </c>
      <c r="D7" s="12" t="s">
        <v>387</v>
      </c>
      <c r="E7" s="18">
        <v>148.99</v>
      </c>
      <c r="F7" s="12" t="s">
        <v>388</v>
      </c>
    </row>
    <row r="8" spans="1:6" ht="20" customHeight="1" x14ac:dyDescent="0.3">
      <c r="A8" s="19" t="s">
        <v>233</v>
      </c>
      <c r="B8" s="20" t="s">
        <v>390</v>
      </c>
      <c r="C8" s="19" t="s">
        <v>16</v>
      </c>
      <c r="D8" s="20" t="s">
        <v>391</v>
      </c>
      <c r="E8" s="22">
        <f>E6+E7</f>
        <v>297.98</v>
      </c>
      <c r="F8" s="20" t="s">
        <v>392</v>
      </c>
    </row>
    <row r="9" spans="1:6" ht="20" customHeight="1" x14ac:dyDescent="0.3">
      <c r="A9" s="11" t="s">
        <v>24</v>
      </c>
      <c r="B9" s="17" t="s">
        <v>393</v>
      </c>
      <c r="C9" s="13" t="s">
        <v>16</v>
      </c>
      <c r="D9" s="12" t="s">
        <v>394</v>
      </c>
      <c r="E9" s="18">
        <v>115.91</v>
      </c>
      <c r="F9" s="12" t="s">
        <v>395</v>
      </c>
    </row>
    <row r="10" spans="1:6" ht="20" customHeight="1" x14ac:dyDescent="0.3">
      <c r="A10" s="7" t="s">
        <v>28</v>
      </c>
      <c r="B10" s="15" t="s">
        <v>396</v>
      </c>
      <c r="C10" s="9" t="s">
        <v>16</v>
      </c>
      <c r="D10" s="8" t="s">
        <v>397</v>
      </c>
      <c r="E10" s="16">
        <v>138.44999999999999</v>
      </c>
      <c r="F10" s="8" t="s">
        <v>398</v>
      </c>
    </row>
    <row r="11" spans="1:6" ht="20" customHeight="1" x14ac:dyDescent="0.3">
      <c r="A11" s="19" t="s">
        <v>233</v>
      </c>
      <c r="B11" s="20" t="s">
        <v>399</v>
      </c>
      <c r="C11" s="19" t="s">
        <v>16</v>
      </c>
      <c r="D11" s="20" t="s">
        <v>400</v>
      </c>
      <c r="E11" s="21">
        <v>168.87</v>
      </c>
      <c r="F11" s="20" t="s">
        <v>401</v>
      </c>
    </row>
    <row r="12" spans="1:6" ht="20" customHeight="1" x14ac:dyDescent="0.3">
      <c r="A12" s="7" t="s">
        <v>32</v>
      </c>
      <c r="B12" s="15" t="s">
        <v>402</v>
      </c>
      <c r="C12" s="9" t="s">
        <v>16</v>
      </c>
      <c r="D12" s="8" t="s">
        <v>403</v>
      </c>
      <c r="E12" s="16">
        <v>14.43</v>
      </c>
      <c r="F12" s="8" t="s">
        <v>404</v>
      </c>
    </row>
    <row r="13" spans="1:6" ht="20" customHeight="1" x14ac:dyDescent="0.3">
      <c r="A13" s="11" t="s">
        <v>37</v>
      </c>
      <c r="B13" s="17" t="s">
        <v>405</v>
      </c>
      <c r="C13" s="13" t="s">
        <v>16</v>
      </c>
      <c r="D13" s="12" t="s">
        <v>406</v>
      </c>
      <c r="E13" s="18">
        <v>14.23</v>
      </c>
      <c r="F13" s="12" t="s">
        <v>404</v>
      </c>
    </row>
    <row r="14" spans="1:6" ht="20" customHeight="1" x14ac:dyDescent="0.3">
      <c r="A14" s="19" t="s">
        <v>233</v>
      </c>
      <c r="B14" s="20" t="s">
        <v>407</v>
      </c>
      <c r="C14" s="19" t="s">
        <v>16</v>
      </c>
      <c r="D14" s="20" t="s">
        <v>408</v>
      </c>
      <c r="E14" s="22">
        <f>E12+E13</f>
        <v>28.66</v>
      </c>
      <c r="F14" s="20" t="s">
        <v>409</v>
      </c>
    </row>
    <row r="15" spans="1:6" ht="20" customHeight="1" x14ac:dyDescent="0.3">
      <c r="A15" s="11" t="s">
        <v>42</v>
      </c>
      <c r="B15" s="17" t="s">
        <v>410</v>
      </c>
      <c r="C15" s="13" t="s">
        <v>16</v>
      </c>
      <c r="D15" s="12" t="s">
        <v>411</v>
      </c>
      <c r="E15" s="18">
        <v>16.809999999999999</v>
      </c>
      <c r="F15" s="12" t="s">
        <v>412</v>
      </c>
    </row>
    <row r="16" spans="1:6" ht="20" customHeight="1" x14ac:dyDescent="0.3">
      <c r="A16" s="7" t="s">
        <v>46</v>
      </c>
      <c r="B16" s="15" t="s">
        <v>413</v>
      </c>
      <c r="C16" s="9" t="s">
        <v>16</v>
      </c>
      <c r="D16" s="8" t="s">
        <v>414</v>
      </c>
      <c r="E16" s="16">
        <v>3.44</v>
      </c>
      <c r="F16" s="8" t="s">
        <v>412</v>
      </c>
    </row>
    <row r="17" spans="1:6" ht="20" customHeight="1" x14ac:dyDescent="0.3">
      <c r="A17" s="19" t="s">
        <v>233</v>
      </c>
      <c r="B17" s="20" t="s">
        <v>415</v>
      </c>
      <c r="C17" s="19" t="s">
        <v>16</v>
      </c>
      <c r="D17" s="20" t="s">
        <v>416</v>
      </c>
      <c r="E17" s="22">
        <f>E15+E16</f>
        <v>20.25</v>
      </c>
      <c r="F17" s="20" t="s">
        <v>417</v>
      </c>
    </row>
    <row r="18" spans="1:6" ht="20" customHeight="1" x14ac:dyDescent="0.3">
      <c r="A18" s="7" t="s">
        <v>50</v>
      </c>
      <c r="B18" s="15" t="s">
        <v>418</v>
      </c>
      <c r="C18" s="9" t="s">
        <v>16</v>
      </c>
      <c r="D18" s="8" t="s">
        <v>419</v>
      </c>
      <c r="E18" s="16">
        <v>9.59</v>
      </c>
      <c r="F18" s="8" t="s">
        <v>420</v>
      </c>
    </row>
    <row r="19" spans="1:6" ht="22" customHeight="1" x14ac:dyDescent="0.3">
      <c r="A19" s="4" t="s">
        <v>79</v>
      </c>
      <c r="B19" s="5" t="s">
        <v>421</v>
      </c>
      <c r="C19" s="4"/>
      <c r="D19" s="5"/>
      <c r="E19" s="6"/>
      <c r="F19" s="5"/>
    </row>
    <row r="20" spans="1:6" ht="20" customHeight="1" x14ac:dyDescent="0.3">
      <c r="A20" s="7" t="s">
        <v>54</v>
      </c>
      <c r="B20" s="15" t="s">
        <v>422</v>
      </c>
      <c r="C20" s="9" t="s">
        <v>16</v>
      </c>
      <c r="D20" s="8" t="s">
        <v>423</v>
      </c>
      <c r="E20" s="16">
        <v>7.09</v>
      </c>
      <c r="F20" s="8" t="s">
        <v>424</v>
      </c>
    </row>
    <row r="21" spans="1:6" ht="20" customHeight="1" x14ac:dyDescent="0.3">
      <c r="A21" s="11" t="s">
        <v>58</v>
      </c>
      <c r="B21" s="17" t="s">
        <v>425</v>
      </c>
      <c r="C21" s="13" t="s">
        <v>16</v>
      </c>
      <c r="D21" s="12" t="s">
        <v>426</v>
      </c>
      <c r="E21" s="18">
        <v>2.46</v>
      </c>
      <c r="F21" s="12" t="s">
        <v>424</v>
      </c>
    </row>
    <row r="22" spans="1:6" ht="20" customHeight="1" x14ac:dyDescent="0.3">
      <c r="A22" s="19" t="s">
        <v>233</v>
      </c>
      <c r="B22" s="20" t="s">
        <v>427</v>
      </c>
      <c r="C22" s="19" t="s">
        <v>16</v>
      </c>
      <c r="D22" s="20" t="s">
        <v>428</v>
      </c>
      <c r="E22" s="22">
        <f>E20+E21</f>
        <v>9.5500000000000007</v>
      </c>
      <c r="F22" s="20" t="s">
        <v>429</v>
      </c>
    </row>
    <row r="23" spans="1:6" ht="20" customHeight="1" x14ac:dyDescent="0.3">
      <c r="A23" s="11" t="s">
        <v>63</v>
      </c>
      <c r="B23" s="17" t="s">
        <v>110</v>
      </c>
      <c r="C23" s="13" t="s">
        <v>35</v>
      </c>
      <c r="D23" s="12" t="s">
        <v>430</v>
      </c>
      <c r="E23" s="18">
        <v>490.38</v>
      </c>
      <c r="F23" s="12" t="s">
        <v>431</v>
      </c>
    </row>
    <row r="24" spans="1:6" ht="22" customHeight="1" x14ac:dyDescent="0.3">
      <c r="A24" s="4" t="s">
        <v>136</v>
      </c>
      <c r="B24" s="5" t="s">
        <v>432</v>
      </c>
      <c r="C24" s="4"/>
      <c r="D24" s="5"/>
      <c r="E24" s="6"/>
      <c r="F24" s="5"/>
    </row>
    <row r="25" spans="1:6" ht="20" customHeight="1" x14ac:dyDescent="0.3">
      <c r="A25" s="11" t="s">
        <v>67</v>
      </c>
      <c r="B25" s="17" t="s">
        <v>433</v>
      </c>
      <c r="C25" s="13" t="s">
        <v>257</v>
      </c>
      <c r="D25" s="12" t="s">
        <v>434</v>
      </c>
      <c r="E25" s="18">
        <v>88.67</v>
      </c>
      <c r="F25" s="12" t="s">
        <v>435</v>
      </c>
    </row>
    <row r="26" spans="1:6" ht="20" customHeight="1" x14ac:dyDescent="0.3">
      <c r="A26" s="7" t="s">
        <v>71</v>
      </c>
      <c r="B26" s="15" t="s">
        <v>436</v>
      </c>
      <c r="C26" s="9" t="s">
        <v>257</v>
      </c>
      <c r="D26" s="8" t="s">
        <v>437</v>
      </c>
      <c r="E26" s="16">
        <v>17746.43</v>
      </c>
      <c r="F26" s="8" t="s">
        <v>438</v>
      </c>
    </row>
    <row r="27" spans="1:6" ht="20" customHeight="1" x14ac:dyDescent="0.3">
      <c r="A27" s="11" t="s">
        <v>75</v>
      </c>
      <c r="B27" s="17" t="s">
        <v>439</v>
      </c>
      <c r="C27" s="13" t="s">
        <v>257</v>
      </c>
      <c r="D27" s="12" t="s">
        <v>440</v>
      </c>
      <c r="E27" s="18">
        <v>9772.2000000000007</v>
      </c>
      <c r="F27" s="12" t="s">
        <v>441</v>
      </c>
    </row>
    <row r="28" spans="1:6" ht="20" customHeight="1" x14ac:dyDescent="0.3">
      <c r="A28" s="19" t="s">
        <v>233</v>
      </c>
      <c r="B28" s="20" t="s">
        <v>442</v>
      </c>
      <c r="C28" s="19" t="s">
        <v>257</v>
      </c>
      <c r="D28" s="20" t="s">
        <v>443</v>
      </c>
      <c r="E28" s="22">
        <f>SUM(E25:E27)</f>
        <v>27607.3</v>
      </c>
      <c r="F28" s="20" t="s">
        <v>444</v>
      </c>
    </row>
    <row r="29" spans="1:6" ht="22" customHeight="1" x14ac:dyDescent="0.3">
      <c r="A29" s="4" t="s">
        <v>166</v>
      </c>
      <c r="B29" s="5" t="s">
        <v>445</v>
      </c>
      <c r="C29" s="4"/>
      <c r="D29" s="5"/>
      <c r="E29" s="6"/>
      <c r="F29" s="5"/>
    </row>
    <row r="30" spans="1:6" ht="20" customHeight="1" x14ac:dyDescent="0.3">
      <c r="A30" s="7" t="s">
        <v>83</v>
      </c>
      <c r="B30" s="15" t="s">
        <v>446</v>
      </c>
      <c r="C30" s="9" t="s">
        <v>35</v>
      </c>
      <c r="D30" s="8" t="s">
        <v>447</v>
      </c>
      <c r="E30" s="16">
        <v>318.27999999999997</v>
      </c>
      <c r="F30" s="8" t="s">
        <v>448</v>
      </c>
    </row>
    <row r="31" spans="1:6" ht="20" customHeight="1" x14ac:dyDescent="0.3">
      <c r="A31" s="11" t="s">
        <v>88</v>
      </c>
      <c r="B31" s="17" t="s">
        <v>449</v>
      </c>
      <c r="C31" s="13" t="s">
        <v>16</v>
      </c>
      <c r="D31" s="12" t="s">
        <v>450</v>
      </c>
      <c r="E31" s="18">
        <v>5.46</v>
      </c>
      <c r="F31" s="12" t="s">
        <v>451</v>
      </c>
    </row>
    <row r="32" spans="1:6" ht="20" customHeight="1" x14ac:dyDescent="0.3">
      <c r="A32" s="7" t="s">
        <v>92</v>
      </c>
      <c r="B32" s="15" t="s">
        <v>452</v>
      </c>
      <c r="C32" s="9" t="s">
        <v>35</v>
      </c>
      <c r="D32" s="8" t="s">
        <v>453</v>
      </c>
      <c r="E32" s="16">
        <v>35.020000000000003</v>
      </c>
      <c r="F32" s="8" t="s">
        <v>454</v>
      </c>
    </row>
    <row r="33" spans="1:6" ht="20" customHeight="1" x14ac:dyDescent="0.3">
      <c r="A33" s="11" t="s">
        <v>96</v>
      </c>
      <c r="B33" s="17" t="s">
        <v>455</v>
      </c>
      <c r="C33" s="13" t="s">
        <v>143</v>
      </c>
      <c r="D33" s="12" t="s">
        <v>456</v>
      </c>
      <c r="E33" s="18">
        <v>42.52</v>
      </c>
      <c r="F33" s="12" t="s">
        <v>457</v>
      </c>
    </row>
    <row r="34" spans="1:6" ht="20" customHeight="1" x14ac:dyDescent="0.3">
      <c r="A34" s="7" t="s">
        <v>100</v>
      </c>
      <c r="B34" s="15" t="s">
        <v>458</v>
      </c>
      <c r="C34" s="9" t="s">
        <v>257</v>
      </c>
      <c r="D34" s="8" t="s">
        <v>459</v>
      </c>
      <c r="E34" s="16">
        <v>133.16999999999999</v>
      </c>
      <c r="F34" s="8" t="s">
        <v>460</v>
      </c>
    </row>
    <row r="35" spans="1:6" ht="20" customHeight="1" x14ac:dyDescent="0.3">
      <c r="A35" s="11" t="s">
        <v>104</v>
      </c>
      <c r="B35" s="17" t="s">
        <v>461</v>
      </c>
      <c r="C35" s="13" t="s">
        <v>257</v>
      </c>
      <c r="D35" s="12" t="s">
        <v>462</v>
      </c>
      <c r="E35" s="18">
        <v>18.43</v>
      </c>
      <c r="F35" s="12" t="s">
        <v>463</v>
      </c>
    </row>
    <row r="36" spans="1:6" ht="20" customHeight="1" x14ac:dyDescent="0.3">
      <c r="A36" s="7" t="s">
        <v>108</v>
      </c>
      <c r="B36" s="15" t="s">
        <v>464</v>
      </c>
      <c r="C36" s="9" t="s">
        <v>16</v>
      </c>
      <c r="D36" s="8" t="s">
        <v>465</v>
      </c>
      <c r="E36" s="16">
        <v>0.16600000000000001</v>
      </c>
      <c r="F36" s="8" t="s">
        <v>466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workbookViewId="0"/>
  </sheetViews>
  <sheetFormatPr defaultRowHeight="14" x14ac:dyDescent="0.3"/>
  <cols>
    <col min="1" max="1" width="10" customWidth="1"/>
    <col min="2" max="2" width="42" customWidth="1"/>
    <col min="3" max="3" width="10" customWidth="1"/>
    <col min="4" max="4" width="50" customWidth="1"/>
    <col min="5" max="5" width="16" customWidth="1"/>
    <col min="6" max="6" width="25" customWidth="1"/>
  </cols>
  <sheetData>
    <row r="1" spans="1:9" ht="20" customHeight="1" x14ac:dyDescent="0.55000000000000004">
      <c r="A1" s="1" t="s">
        <v>467</v>
      </c>
    </row>
    <row r="2" spans="1:9" ht="14.5" customHeight="1" x14ac:dyDescent="0.35">
      <c r="A2" s="2" t="s">
        <v>468</v>
      </c>
    </row>
    <row r="4" spans="1:9" ht="28" customHeight="1" x14ac:dyDescent="0.3">
      <c r="A4" s="37" t="s">
        <v>2</v>
      </c>
      <c r="B4" s="37" t="s">
        <v>469</v>
      </c>
      <c r="C4" s="37" t="s">
        <v>470</v>
      </c>
      <c r="D4" s="37" t="s">
        <v>471</v>
      </c>
      <c r="E4" s="37" t="s">
        <v>472</v>
      </c>
      <c r="F4" s="37" t="s">
        <v>473</v>
      </c>
      <c r="G4" s="37" t="s">
        <v>474</v>
      </c>
      <c r="H4" s="37" t="s">
        <v>475</v>
      </c>
      <c r="I4" s="37" t="s">
        <v>476</v>
      </c>
    </row>
    <row r="5" spans="1:9" ht="22" customHeight="1" x14ac:dyDescent="0.3">
      <c r="A5" s="38" t="s">
        <v>9</v>
      </c>
      <c r="B5" s="39" t="s">
        <v>477</v>
      </c>
      <c r="C5" s="38"/>
      <c r="D5" s="39"/>
      <c r="E5" s="40"/>
      <c r="F5" s="39"/>
      <c r="G5" s="41"/>
      <c r="H5" s="41"/>
      <c r="I5" s="41"/>
    </row>
    <row r="6" spans="1:9" ht="20" customHeight="1" x14ac:dyDescent="0.3">
      <c r="A6" s="42" t="s">
        <v>13</v>
      </c>
      <c r="B6" s="43" t="s">
        <v>478</v>
      </c>
      <c r="C6" s="44" t="s">
        <v>16</v>
      </c>
      <c r="D6" s="45" t="s">
        <v>479</v>
      </c>
      <c r="E6" s="46">
        <v>184.24</v>
      </c>
      <c r="F6" s="46">
        <v>0</v>
      </c>
      <c r="G6" s="47">
        <f t="shared" ref="G6:G14" si="0">F6-E6</f>
        <v>-184.24</v>
      </c>
      <c r="H6" s="47">
        <f>E6</f>
        <v>184.24</v>
      </c>
      <c r="I6" s="41" t="s">
        <v>480</v>
      </c>
    </row>
    <row r="7" spans="1:9" ht="20" customHeight="1" x14ac:dyDescent="0.3">
      <c r="A7" s="48" t="s">
        <v>19</v>
      </c>
      <c r="B7" s="49" t="s">
        <v>481</v>
      </c>
      <c r="C7" s="50" t="s">
        <v>16</v>
      </c>
      <c r="D7" s="51" t="s">
        <v>479</v>
      </c>
      <c r="E7" s="52">
        <v>0</v>
      </c>
      <c r="F7" s="52">
        <v>184.24</v>
      </c>
      <c r="G7" s="47">
        <f t="shared" si="0"/>
        <v>184.24</v>
      </c>
      <c r="H7" s="47">
        <f>F7</f>
        <v>184.24</v>
      </c>
      <c r="I7" s="41" t="s">
        <v>482</v>
      </c>
    </row>
    <row r="8" spans="1:9" ht="20" customHeight="1" x14ac:dyDescent="0.3">
      <c r="A8" s="53" t="s">
        <v>233</v>
      </c>
      <c r="B8" s="54" t="s">
        <v>483</v>
      </c>
      <c r="C8" s="53" t="s">
        <v>16</v>
      </c>
      <c r="D8" s="54" t="s">
        <v>484</v>
      </c>
      <c r="E8" s="55">
        <v>184.24</v>
      </c>
      <c r="F8" s="55">
        <v>184.24</v>
      </c>
      <c r="G8" s="47">
        <f t="shared" si="0"/>
        <v>0</v>
      </c>
      <c r="H8" s="47">
        <f>E6+F7</f>
        <v>368.48</v>
      </c>
      <c r="I8" s="41" t="s">
        <v>485</v>
      </c>
    </row>
    <row r="9" spans="1:9" ht="20" customHeight="1" x14ac:dyDescent="0.3">
      <c r="A9" s="48" t="s">
        <v>24</v>
      </c>
      <c r="B9" s="49" t="s">
        <v>486</v>
      </c>
      <c r="C9" s="50" t="s">
        <v>16</v>
      </c>
      <c r="D9" s="51" t="s">
        <v>487</v>
      </c>
      <c r="E9" s="52">
        <v>234.92</v>
      </c>
      <c r="F9" s="52">
        <v>0</v>
      </c>
      <c r="G9" s="47">
        <f t="shared" si="0"/>
        <v>-234.92</v>
      </c>
      <c r="H9" s="47">
        <f>E9</f>
        <v>234.92</v>
      </c>
      <c r="I9" s="41" t="s">
        <v>488</v>
      </c>
    </row>
    <row r="10" spans="1:9" ht="20" customHeight="1" x14ac:dyDescent="0.3">
      <c r="A10" s="42" t="s">
        <v>28</v>
      </c>
      <c r="B10" s="43" t="s">
        <v>489</v>
      </c>
      <c r="C10" s="44" t="s">
        <v>16</v>
      </c>
      <c r="D10" s="45" t="s">
        <v>490</v>
      </c>
      <c r="E10" s="46">
        <v>0</v>
      </c>
      <c r="F10" s="46">
        <v>266.79000000000002</v>
      </c>
      <c r="G10" s="47">
        <f t="shared" si="0"/>
        <v>266.79000000000002</v>
      </c>
      <c r="H10" s="47">
        <f>F10</f>
        <v>266.79000000000002</v>
      </c>
      <c r="I10" s="41" t="s">
        <v>491</v>
      </c>
    </row>
    <row r="11" spans="1:9" ht="20" customHeight="1" x14ac:dyDescent="0.3">
      <c r="A11" s="53" t="s">
        <v>233</v>
      </c>
      <c r="B11" s="54" t="s">
        <v>492</v>
      </c>
      <c r="C11" s="53" t="s">
        <v>16</v>
      </c>
      <c r="D11" s="54" t="s">
        <v>493</v>
      </c>
      <c r="E11" s="55">
        <v>234.92</v>
      </c>
      <c r="F11" s="55">
        <v>266.79000000000002</v>
      </c>
      <c r="G11" s="47">
        <f t="shared" si="0"/>
        <v>31.870000000000033</v>
      </c>
      <c r="H11" s="47">
        <f>E9+F10</f>
        <v>501.71000000000004</v>
      </c>
      <c r="I11" s="41" t="s">
        <v>494</v>
      </c>
    </row>
    <row r="12" spans="1:9" ht="20" customHeight="1" x14ac:dyDescent="0.3">
      <c r="A12" s="42" t="s">
        <v>32</v>
      </c>
      <c r="B12" s="43" t="s">
        <v>495</v>
      </c>
      <c r="C12" s="44" t="s">
        <v>16</v>
      </c>
      <c r="D12" s="45" t="s">
        <v>496</v>
      </c>
      <c r="E12" s="46">
        <v>72.510000000000005</v>
      </c>
      <c r="F12" s="46">
        <v>0</v>
      </c>
      <c r="G12" s="47">
        <f t="shared" si="0"/>
        <v>-72.510000000000005</v>
      </c>
      <c r="H12" s="47">
        <f>E12</f>
        <v>72.510000000000005</v>
      </c>
      <c r="I12" s="41" t="s">
        <v>497</v>
      </c>
    </row>
    <row r="13" spans="1:9" ht="20" customHeight="1" x14ac:dyDescent="0.3">
      <c r="A13" s="48" t="s">
        <v>37</v>
      </c>
      <c r="B13" s="49" t="s">
        <v>498</v>
      </c>
      <c r="C13" s="50" t="s">
        <v>16</v>
      </c>
      <c r="D13" s="51" t="s">
        <v>499</v>
      </c>
      <c r="E13" s="52">
        <v>0</v>
      </c>
      <c r="F13" s="52">
        <v>72.510000000000005</v>
      </c>
      <c r="G13" s="47">
        <f t="shared" si="0"/>
        <v>72.510000000000005</v>
      </c>
      <c r="H13" s="47">
        <f>F13</f>
        <v>72.510000000000005</v>
      </c>
      <c r="I13" s="41" t="s">
        <v>500</v>
      </c>
    </row>
    <row r="14" spans="1:9" ht="20" customHeight="1" x14ac:dyDescent="0.3">
      <c r="A14" s="53" t="s">
        <v>233</v>
      </c>
      <c r="B14" s="54" t="s">
        <v>501</v>
      </c>
      <c r="C14" s="53" t="s">
        <v>16</v>
      </c>
      <c r="D14" s="54" t="s">
        <v>502</v>
      </c>
      <c r="E14" s="55">
        <v>72.510000000000005</v>
      </c>
      <c r="F14" s="55">
        <v>72.510000000000005</v>
      </c>
      <c r="G14" s="47">
        <f t="shared" si="0"/>
        <v>0</v>
      </c>
      <c r="H14" s="47">
        <f>E12+F13</f>
        <v>145.02000000000001</v>
      </c>
      <c r="I14" s="41" t="s">
        <v>503</v>
      </c>
    </row>
    <row r="15" spans="1:9" ht="22" customHeight="1" x14ac:dyDescent="0.3">
      <c r="A15" s="38" t="s">
        <v>79</v>
      </c>
      <c r="B15" s="39" t="s">
        <v>504</v>
      </c>
      <c r="C15" s="38"/>
      <c r="D15" s="39"/>
      <c r="E15" s="40"/>
      <c r="F15" s="39"/>
      <c r="G15" s="41"/>
      <c r="H15" s="41"/>
      <c r="I15" s="41"/>
    </row>
    <row r="16" spans="1:9" ht="20" customHeight="1" x14ac:dyDescent="0.3">
      <c r="A16" s="42" t="s">
        <v>42</v>
      </c>
      <c r="B16" s="43" t="s">
        <v>505</v>
      </c>
      <c r="C16" s="44" t="s">
        <v>16</v>
      </c>
      <c r="D16" s="45" t="s">
        <v>506</v>
      </c>
      <c r="E16" s="46">
        <v>8.77</v>
      </c>
      <c r="F16" s="46">
        <v>0</v>
      </c>
      <c r="G16" s="47">
        <f t="shared" ref="G16:G21" si="1">F16-E16</f>
        <v>-8.77</v>
      </c>
      <c r="H16" s="47">
        <f>E16</f>
        <v>8.77</v>
      </c>
      <c r="I16" s="41" t="s">
        <v>507</v>
      </c>
    </row>
    <row r="17" spans="1:9" ht="20" customHeight="1" x14ac:dyDescent="0.3">
      <c r="A17" s="48" t="s">
        <v>46</v>
      </c>
      <c r="B17" s="49" t="s">
        <v>508</v>
      </c>
      <c r="C17" s="50" t="s">
        <v>16</v>
      </c>
      <c r="D17" s="51" t="s">
        <v>506</v>
      </c>
      <c r="E17" s="52">
        <v>0</v>
      </c>
      <c r="F17" s="52">
        <v>8.77</v>
      </c>
      <c r="G17" s="47">
        <f t="shared" si="1"/>
        <v>8.77</v>
      </c>
      <c r="H17" s="47">
        <f>F17</f>
        <v>8.77</v>
      </c>
      <c r="I17" s="41" t="s">
        <v>509</v>
      </c>
    </row>
    <row r="18" spans="1:9" ht="20" customHeight="1" x14ac:dyDescent="0.3">
      <c r="A18" s="53" t="s">
        <v>233</v>
      </c>
      <c r="B18" s="54" t="s">
        <v>510</v>
      </c>
      <c r="C18" s="53" t="s">
        <v>16</v>
      </c>
      <c r="D18" s="54" t="s">
        <v>511</v>
      </c>
      <c r="E18" s="55">
        <v>8.77</v>
      </c>
      <c r="F18" s="55">
        <v>8.77</v>
      </c>
      <c r="G18" s="47">
        <f t="shared" si="1"/>
        <v>0</v>
      </c>
      <c r="H18" s="47">
        <f>E16+F17</f>
        <v>17.54</v>
      </c>
      <c r="I18" s="41" t="s">
        <v>512</v>
      </c>
    </row>
    <row r="19" spans="1:9" ht="20" customHeight="1" x14ac:dyDescent="0.3">
      <c r="A19" s="48" t="s">
        <v>50</v>
      </c>
      <c r="B19" s="49" t="s">
        <v>513</v>
      </c>
      <c r="C19" s="50" t="s">
        <v>35</v>
      </c>
      <c r="D19" s="51" t="s">
        <v>514</v>
      </c>
      <c r="E19" s="52">
        <v>78.400000000000006</v>
      </c>
      <c r="F19" s="52">
        <v>78.400000000000006</v>
      </c>
      <c r="G19" s="47">
        <f t="shared" si="1"/>
        <v>0</v>
      </c>
      <c r="H19" s="47">
        <f>E19+F19</f>
        <v>156.80000000000001</v>
      </c>
      <c r="I19" s="41" t="s">
        <v>515</v>
      </c>
    </row>
    <row r="20" spans="1:9" ht="20" customHeight="1" x14ac:dyDescent="0.3">
      <c r="A20" s="42" t="s">
        <v>54</v>
      </c>
      <c r="B20" s="43" t="s">
        <v>516</v>
      </c>
      <c r="C20" s="44" t="s">
        <v>35</v>
      </c>
      <c r="D20" s="45" t="s">
        <v>517</v>
      </c>
      <c r="E20" s="46">
        <v>309.61</v>
      </c>
      <c r="F20" s="46">
        <v>342.12</v>
      </c>
      <c r="G20" s="47">
        <f t="shared" si="1"/>
        <v>32.509999999999991</v>
      </c>
      <c r="H20" s="47">
        <f>E20+F20</f>
        <v>651.73</v>
      </c>
      <c r="I20" s="41" t="s">
        <v>518</v>
      </c>
    </row>
    <row r="21" spans="1:9" ht="20" customHeight="1" x14ac:dyDescent="0.3">
      <c r="A21" s="48" t="s">
        <v>58</v>
      </c>
      <c r="B21" s="49" t="s">
        <v>519</v>
      </c>
      <c r="C21" s="50" t="s">
        <v>35</v>
      </c>
      <c r="D21" s="51" t="s">
        <v>520</v>
      </c>
      <c r="E21" s="52">
        <v>161.46</v>
      </c>
      <c r="F21" s="52">
        <v>161.46</v>
      </c>
      <c r="G21" s="47">
        <f t="shared" si="1"/>
        <v>0</v>
      </c>
      <c r="H21" s="47">
        <f>E21+F21</f>
        <v>322.92</v>
      </c>
      <c r="I21" s="41" t="s">
        <v>521</v>
      </c>
    </row>
    <row r="22" spans="1:9" ht="22" customHeight="1" x14ac:dyDescent="0.3">
      <c r="A22" s="38" t="s">
        <v>136</v>
      </c>
      <c r="B22" s="39" t="s">
        <v>522</v>
      </c>
      <c r="C22" s="38"/>
      <c r="D22" s="39"/>
      <c r="E22" s="40"/>
      <c r="F22" s="39"/>
      <c r="G22" s="41"/>
      <c r="H22" s="41"/>
      <c r="I22" s="41"/>
    </row>
    <row r="23" spans="1:9" ht="20" customHeight="1" x14ac:dyDescent="0.3">
      <c r="A23" s="48" t="s">
        <v>63</v>
      </c>
      <c r="B23" s="49" t="s">
        <v>523</v>
      </c>
      <c r="C23" s="50" t="s">
        <v>257</v>
      </c>
      <c r="D23" s="51" t="s">
        <v>524</v>
      </c>
      <c r="E23" s="52">
        <v>16177.83</v>
      </c>
      <c r="F23" s="52">
        <v>16177.83</v>
      </c>
      <c r="G23" s="47">
        <f>F23-E23</f>
        <v>0</v>
      </c>
      <c r="H23" s="47">
        <f>E23+F23</f>
        <v>32355.66</v>
      </c>
      <c r="I23" s="41" t="s">
        <v>525</v>
      </c>
    </row>
    <row r="24" spans="1:9" ht="20" customHeight="1" x14ac:dyDescent="0.3">
      <c r="A24" s="42" t="s">
        <v>67</v>
      </c>
      <c r="B24" s="43" t="s">
        <v>526</v>
      </c>
      <c r="C24" s="44" t="s">
        <v>257</v>
      </c>
      <c r="D24" s="45" t="s">
        <v>527</v>
      </c>
      <c r="E24" s="46">
        <v>32558.52</v>
      </c>
      <c r="F24" s="46">
        <v>35186.85</v>
      </c>
      <c r="G24" s="47">
        <f>F24-E24</f>
        <v>2628.3299999999981</v>
      </c>
      <c r="H24" s="47">
        <f>E24+F24</f>
        <v>67745.37</v>
      </c>
      <c r="I24" s="41" t="s">
        <v>528</v>
      </c>
    </row>
    <row r="25" spans="1:9" ht="20" customHeight="1" x14ac:dyDescent="0.3">
      <c r="A25" s="48" t="s">
        <v>71</v>
      </c>
      <c r="B25" s="49" t="s">
        <v>529</v>
      </c>
      <c r="C25" s="50" t="s">
        <v>257</v>
      </c>
      <c r="D25" s="51" t="s">
        <v>530</v>
      </c>
      <c r="E25" s="52">
        <v>44172.23</v>
      </c>
      <c r="F25" s="52">
        <v>44173.5</v>
      </c>
      <c r="G25" s="47">
        <f>F25-E25</f>
        <v>1.2699999999967986</v>
      </c>
      <c r="H25" s="47">
        <f>E25+F25</f>
        <v>88345.73000000001</v>
      </c>
      <c r="I25" s="41" t="s">
        <v>531</v>
      </c>
    </row>
    <row r="26" spans="1:9" ht="20" customHeight="1" x14ac:dyDescent="0.3">
      <c r="A26" s="53" t="s">
        <v>233</v>
      </c>
      <c r="B26" s="54" t="s">
        <v>532</v>
      </c>
      <c r="C26" s="53" t="s">
        <v>257</v>
      </c>
      <c r="D26" s="54" t="s">
        <v>533</v>
      </c>
      <c r="E26" s="55">
        <f>SUM(E23:E25)</f>
        <v>92908.58</v>
      </c>
      <c r="F26" s="55">
        <f>SUM(F23:F25)</f>
        <v>95538.18</v>
      </c>
      <c r="G26" s="47">
        <f>F26-E26</f>
        <v>2629.5999999999913</v>
      </c>
      <c r="H26" s="47">
        <f>E26+F26</f>
        <v>188446.76</v>
      </c>
      <c r="I26" s="41" t="s">
        <v>534</v>
      </c>
    </row>
    <row r="27" spans="1:9" ht="22" customHeight="1" x14ac:dyDescent="0.3">
      <c r="A27" s="38" t="s">
        <v>166</v>
      </c>
      <c r="B27" s="39" t="s">
        <v>535</v>
      </c>
      <c r="C27" s="38"/>
      <c r="D27" s="39"/>
      <c r="E27" s="40"/>
      <c r="F27" s="39"/>
      <c r="G27" s="41"/>
      <c r="H27" s="41"/>
      <c r="I27" s="41"/>
    </row>
    <row r="28" spans="1:9" ht="20" customHeight="1" x14ac:dyDescent="0.3">
      <c r="A28" s="42" t="s">
        <v>75</v>
      </c>
      <c r="B28" s="43" t="s">
        <v>536</v>
      </c>
      <c r="C28" s="44" t="s">
        <v>16</v>
      </c>
      <c r="D28" s="45" t="s">
        <v>537</v>
      </c>
      <c r="E28" s="46">
        <v>0.26100000000000001</v>
      </c>
      <c r="F28" s="45" t="s">
        <v>538</v>
      </c>
      <c r="G28" s="41"/>
      <c r="H28" s="41"/>
      <c r="I28" s="41"/>
    </row>
    <row r="29" spans="1:9" ht="20" customHeight="1" x14ac:dyDescent="0.3">
      <c r="A29" s="48" t="s">
        <v>83</v>
      </c>
      <c r="B29" s="49" t="s">
        <v>539</v>
      </c>
      <c r="C29" s="50" t="s">
        <v>257</v>
      </c>
      <c r="D29" s="51" t="s">
        <v>540</v>
      </c>
      <c r="E29" s="52">
        <v>213.08</v>
      </c>
      <c r="F29" s="51" t="s">
        <v>541</v>
      </c>
      <c r="G29" s="41"/>
      <c r="H29" s="41"/>
      <c r="I29" s="41"/>
    </row>
    <row r="30" spans="1:9" ht="20" customHeight="1" x14ac:dyDescent="0.3">
      <c r="A30" s="42" t="s">
        <v>88</v>
      </c>
      <c r="B30" s="43" t="s">
        <v>461</v>
      </c>
      <c r="C30" s="44" t="s">
        <v>257</v>
      </c>
      <c r="D30" s="45" t="s">
        <v>542</v>
      </c>
      <c r="E30" s="46">
        <v>39.57</v>
      </c>
      <c r="F30" s="45" t="s">
        <v>463</v>
      </c>
      <c r="G30" s="41"/>
      <c r="H30" s="41"/>
      <c r="I30" s="41"/>
    </row>
    <row r="31" spans="1:9" ht="20" customHeight="1" x14ac:dyDescent="0.3">
      <c r="A31" s="48" t="s">
        <v>92</v>
      </c>
      <c r="B31" s="49" t="s">
        <v>543</v>
      </c>
      <c r="C31" s="50" t="s">
        <v>35</v>
      </c>
      <c r="D31" s="51" t="s">
        <v>544</v>
      </c>
      <c r="E31" s="52">
        <v>5.6</v>
      </c>
      <c r="F31" s="51" t="s">
        <v>545</v>
      </c>
      <c r="G31" s="41"/>
      <c r="H31" s="41"/>
      <c r="I31" s="41"/>
    </row>
    <row r="32" spans="1:9" ht="20" customHeight="1" x14ac:dyDescent="0.3">
      <c r="A32" s="42" t="s">
        <v>96</v>
      </c>
      <c r="B32" s="43" t="s">
        <v>546</v>
      </c>
      <c r="C32" s="44" t="s">
        <v>35</v>
      </c>
      <c r="D32" s="45" t="s">
        <v>547</v>
      </c>
      <c r="E32" s="46">
        <v>312.05</v>
      </c>
      <c r="F32" s="45" t="s">
        <v>548</v>
      </c>
      <c r="G32" s="41"/>
      <c r="H32" s="41"/>
      <c r="I32" s="41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/>
  </sheetViews>
  <sheetFormatPr defaultRowHeight="14" x14ac:dyDescent="0.3"/>
  <cols>
    <col min="1" max="1" width="44" customWidth="1"/>
    <col min="2" max="2" width="50" customWidth="1"/>
    <col min="3" max="3" width="15" customWidth="1"/>
    <col min="4" max="4" width="22" customWidth="1"/>
    <col min="5" max="5" width="42" customWidth="1"/>
    <col min="6" max="7" width="21" customWidth="1"/>
    <col min="8" max="8" width="24" customWidth="1"/>
    <col min="9" max="9" width="17" customWidth="1"/>
    <col min="10" max="10" width="18" customWidth="1"/>
  </cols>
  <sheetData>
    <row r="1" spans="1:10" ht="20" customHeight="1" x14ac:dyDescent="0.55000000000000004">
      <c r="A1" s="1" t="s">
        <v>549</v>
      </c>
    </row>
    <row r="2" spans="1:10" ht="14.5" customHeight="1" x14ac:dyDescent="0.35">
      <c r="A2" s="2" t="s">
        <v>550</v>
      </c>
    </row>
    <row r="4" spans="1:10" ht="28" customHeight="1" x14ac:dyDescent="0.3">
      <c r="A4" s="3" t="s">
        <v>2</v>
      </c>
      <c r="B4" s="3" t="s">
        <v>551</v>
      </c>
      <c r="C4" s="3" t="s">
        <v>552</v>
      </c>
      <c r="D4" s="3" t="s">
        <v>553</v>
      </c>
      <c r="E4" s="3" t="s">
        <v>554</v>
      </c>
      <c r="F4" s="3" t="s">
        <v>555</v>
      </c>
      <c r="G4" s="3" t="s">
        <v>556</v>
      </c>
      <c r="H4" s="3" t="s">
        <v>557</v>
      </c>
      <c r="I4" s="3" t="s">
        <v>558</v>
      </c>
      <c r="J4" s="3" t="s">
        <v>559</v>
      </c>
    </row>
    <row r="5" spans="1:10" ht="20" customHeight="1" x14ac:dyDescent="0.3">
      <c r="A5" s="11" t="s">
        <v>13</v>
      </c>
      <c r="B5" s="11" t="s">
        <v>560</v>
      </c>
      <c r="C5" s="23">
        <v>7</v>
      </c>
      <c r="D5" s="23">
        <v>20</v>
      </c>
      <c r="E5" s="13" t="s">
        <v>561</v>
      </c>
      <c r="F5" s="13" t="s">
        <v>562</v>
      </c>
      <c r="G5" s="18">
        <f>C5*D5</f>
        <v>140</v>
      </c>
      <c r="H5" s="18">
        <f>G5*(PI()*0.6^2)*1.02</f>
        <v>161.5029951357441</v>
      </c>
      <c r="I5" s="18">
        <v>18895</v>
      </c>
      <c r="J5" s="18">
        <f>G5*4</f>
        <v>560</v>
      </c>
    </row>
    <row r="6" spans="1:10" ht="20" customHeight="1" x14ac:dyDescent="0.3">
      <c r="A6" s="7" t="s">
        <v>19</v>
      </c>
      <c r="B6" s="7" t="s">
        <v>563</v>
      </c>
      <c r="C6" s="24">
        <v>8</v>
      </c>
      <c r="D6" s="24">
        <v>40</v>
      </c>
      <c r="E6" s="9" t="s">
        <v>564</v>
      </c>
      <c r="F6" s="9" t="s">
        <v>565</v>
      </c>
      <c r="G6" s="16">
        <f>C6*D6</f>
        <v>320</v>
      </c>
      <c r="H6" s="16">
        <f>G6*(PI()*0.6^2)*1.02</f>
        <v>369.14970316741505</v>
      </c>
      <c r="I6" s="16">
        <v>36980</v>
      </c>
      <c r="J6" s="16">
        <f>G6*4</f>
        <v>1280</v>
      </c>
    </row>
    <row r="7" spans="1:10" ht="20" customHeight="1" x14ac:dyDescent="0.3">
      <c r="A7" s="11" t="s">
        <v>24</v>
      </c>
      <c r="B7" s="11" t="s">
        <v>566</v>
      </c>
      <c r="C7" s="23">
        <v>8</v>
      </c>
      <c r="D7" s="23">
        <v>30</v>
      </c>
      <c r="E7" s="13" t="s">
        <v>567</v>
      </c>
      <c r="F7" s="13" t="s">
        <v>568</v>
      </c>
      <c r="G7" s="18">
        <f>C7*D7</f>
        <v>240</v>
      </c>
      <c r="H7" s="18">
        <f>G7*(PI()*0.6^2)*1.02</f>
        <v>276.86227737556129</v>
      </c>
      <c r="I7" s="18">
        <v>27735</v>
      </c>
      <c r="J7" s="18">
        <f>G7*4</f>
        <v>960</v>
      </c>
    </row>
    <row r="8" spans="1:10" ht="20" customHeight="1" x14ac:dyDescent="0.3">
      <c r="A8" s="7" t="s">
        <v>28</v>
      </c>
      <c r="B8" s="7" t="s">
        <v>569</v>
      </c>
      <c r="C8" s="24">
        <v>7</v>
      </c>
      <c r="D8" s="24">
        <v>36</v>
      </c>
      <c r="E8" s="9" t="s">
        <v>570</v>
      </c>
      <c r="F8" s="9" t="s">
        <v>571</v>
      </c>
      <c r="G8" s="16">
        <f>C8*D8</f>
        <v>252</v>
      </c>
      <c r="H8" s="16">
        <f>G8*(PI()*0.6^2)*1.02</f>
        <v>290.70539124433935</v>
      </c>
      <c r="I8" s="16">
        <v>25274</v>
      </c>
      <c r="J8" s="16">
        <f>G8*4</f>
        <v>1008</v>
      </c>
    </row>
    <row r="9" spans="1:10" ht="22" customHeight="1" x14ac:dyDescent="0.3">
      <c r="A9" s="19" t="s">
        <v>233</v>
      </c>
      <c r="B9" s="19" t="s">
        <v>572</v>
      </c>
      <c r="C9" s="25">
        <v>26</v>
      </c>
      <c r="D9" s="22"/>
      <c r="E9" s="19"/>
      <c r="F9" s="19"/>
      <c r="G9" s="21">
        <f>SUM(G5:G8)</f>
        <v>952</v>
      </c>
      <c r="H9" s="21">
        <f>SUM(H5:H8)</f>
        <v>1098.2203669230598</v>
      </c>
      <c r="I9" s="21">
        <f>SUM(I5:I8)</f>
        <v>108884</v>
      </c>
      <c r="J9" s="21">
        <f>SUM(J5:J8)</f>
        <v>3808</v>
      </c>
    </row>
    <row r="12" spans="1:10" ht="16" customHeight="1" x14ac:dyDescent="0.45">
      <c r="A12" s="26" t="s">
        <v>573</v>
      </c>
    </row>
    <row r="14" spans="1:10" ht="20" customHeight="1" x14ac:dyDescent="0.4">
      <c r="A14" s="9" t="s">
        <v>13</v>
      </c>
      <c r="B14" s="8" t="s">
        <v>574</v>
      </c>
      <c r="C14" s="9" t="s">
        <v>16</v>
      </c>
      <c r="D14" s="16">
        <v>1006.54</v>
      </c>
      <c r="E14" s="8" t="s">
        <v>575</v>
      </c>
      <c r="F14" s="27"/>
      <c r="G14" s="27"/>
    </row>
    <row r="15" spans="1:10" ht="20" customHeight="1" x14ac:dyDescent="0.4">
      <c r="A15" s="13" t="s">
        <v>19</v>
      </c>
      <c r="B15" s="12" t="s">
        <v>576</v>
      </c>
      <c r="C15" s="13" t="s">
        <v>16</v>
      </c>
      <c r="D15" s="18">
        <v>30.36</v>
      </c>
      <c r="E15" s="12" t="s">
        <v>577</v>
      </c>
      <c r="F15" s="28"/>
      <c r="G15" s="28"/>
    </row>
    <row r="16" spans="1:10" ht="20" customHeight="1" x14ac:dyDescent="0.4">
      <c r="A16" s="9" t="s">
        <v>24</v>
      </c>
      <c r="B16" s="8" t="s">
        <v>578</v>
      </c>
      <c r="C16" s="9" t="s">
        <v>16</v>
      </c>
      <c r="D16" s="16">
        <v>14.43</v>
      </c>
      <c r="E16" s="8" t="s">
        <v>579</v>
      </c>
      <c r="F16" s="27"/>
      <c r="G16" s="27"/>
    </row>
    <row r="17" spans="1:7" ht="20" customHeight="1" x14ac:dyDescent="0.4">
      <c r="A17" s="13" t="s">
        <v>28</v>
      </c>
      <c r="B17" s="12" t="s">
        <v>580</v>
      </c>
      <c r="C17" s="13" t="s">
        <v>257</v>
      </c>
      <c r="D17" s="18">
        <v>97451.07</v>
      </c>
      <c r="E17" s="12" t="s">
        <v>581</v>
      </c>
      <c r="F17" s="28"/>
      <c r="G17" s="28"/>
    </row>
    <row r="18" spans="1:7" ht="20" customHeight="1" x14ac:dyDescent="0.4">
      <c r="A18" s="9" t="s">
        <v>32</v>
      </c>
      <c r="B18" s="8" t="s">
        <v>582</v>
      </c>
      <c r="C18" s="9" t="s">
        <v>257</v>
      </c>
      <c r="D18" s="16">
        <v>981.74</v>
      </c>
      <c r="E18" s="8" t="s">
        <v>583</v>
      </c>
      <c r="F18" s="27"/>
      <c r="G18" s="27"/>
    </row>
    <row r="19" spans="1:7" ht="20" customHeight="1" x14ac:dyDescent="0.4">
      <c r="A19" s="13" t="s">
        <v>37</v>
      </c>
      <c r="B19" s="12" t="s">
        <v>584</v>
      </c>
      <c r="C19" s="13" t="s">
        <v>257</v>
      </c>
      <c r="D19" s="18">
        <v>10451.36</v>
      </c>
      <c r="E19" s="12" t="s">
        <v>585</v>
      </c>
      <c r="F19" s="28"/>
      <c r="G19" s="28"/>
    </row>
    <row r="20" spans="1:7" ht="20" customHeight="1" x14ac:dyDescent="0.4">
      <c r="A20" s="9" t="s">
        <v>42</v>
      </c>
      <c r="B20" s="8" t="s">
        <v>586</v>
      </c>
      <c r="C20" s="9" t="s">
        <v>143</v>
      </c>
      <c r="D20" s="16">
        <v>2771.99</v>
      </c>
      <c r="E20" s="8" t="s">
        <v>587</v>
      </c>
      <c r="F20" s="27"/>
      <c r="G20" s="27"/>
    </row>
    <row r="21" spans="1:7" ht="20" customHeight="1" x14ac:dyDescent="0.4">
      <c r="A21" s="13" t="s">
        <v>46</v>
      </c>
      <c r="B21" s="12" t="s">
        <v>588</v>
      </c>
      <c r="C21" s="13" t="s">
        <v>143</v>
      </c>
      <c r="D21" s="18">
        <v>903.2</v>
      </c>
      <c r="E21" s="12" t="s">
        <v>589</v>
      </c>
      <c r="F21" s="28"/>
      <c r="G21" s="28"/>
    </row>
    <row r="22" spans="1:7" ht="20" customHeight="1" x14ac:dyDescent="0.4">
      <c r="A22" s="9" t="s">
        <v>50</v>
      </c>
      <c r="B22" s="8" t="s">
        <v>590</v>
      </c>
      <c r="C22" s="9" t="s">
        <v>286</v>
      </c>
      <c r="D22" s="16">
        <v>4608</v>
      </c>
      <c r="E22" s="8" t="s">
        <v>591</v>
      </c>
      <c r="F22" s="27"/>
      <c r="G22" s="27"/>
    </row>
    <row r="23" spans="1:7" ht="20" customHeight="1" x14ac:dyDescent="0.4">
      <c r="A23" s="13" t="s">
        <v>54</v>
      </c>
      <c r="B23" s="12" t="s">
        <v>592</v>
      </c>
      <c r="C23" s="13" t="s">
        <v>182</v>
      </c>
      <c r="D23" s="18">
        <v>208</v>
      </c>
      <c r="E23" s="12" t="s">
        <v>593</v>
      </c>
      <c r="F23" s="28"/>
      <c r="G23" s="2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/>
  </sheetViews>
  <sheetFormatPr defaultRowHeight="14" x14ac:dyDescent="0.3"/>
  <cols>
    <col min="1" max="1" width="10" customWidth="1"/>
    <col min="2" max="2" width="38" customWidth="1"/>
    <col min="3" max="3" width="10" customWidth="1"/>
    <col min="4" max="4" width="44" customWidth="1"/>
    <col min="5" max="5" width="13" customWidth="1"/>
    <col min="6" max="6" width="26" customWidth="1"/>
  </cols>
  <sheetData>
    <row r="1" spans="1:6" ht="20" customHeight="1" x14ac:dyDescent="0.55000000000000004">
      <c r="A1" s="1" t="s">
        <v>594</v>
      </c>
    </row>
    <row r="2" spans="1:6" ht="14.5" customHeight="1" x14ac:dyDescent="0.35">
      <c r="A2" s="2" t="s">
        <v>595</v>
      </c>
    </row>
    <row r="4" spans="1:6" ht="28" customHeight="1" x14ac:dyDescent="0.3">
      <c r="A4" s="3" t="s">
        <v>2</v>
      </c>
      <c r="B4" s="3" t="s">
        <v>211</v>
      </c>
      <c r="C4" s="3" t="s">
        <v>5</v>
      </c>
      <c r="D4" s="3" t="s">
        <v>212</v>
      </c>
      <c r="E4" s="3" t="s">
        <v>6</v>
      </c>
      <c r="F4" s="3" t="s">
        <v>8</v>
      </c>
    </row>
    <row r="5" spans="1:6" ht="22" customHeight="1" x14ac:dyDescent="0.3">
      <c r="A5" s="4" t="s">
        <v>9</v>
      </c>
      <c r="B5" s="5" t="s">
        <v>596</v>
      </c>
      <c r="C5" s="4"/>
      <c r="D5" s="5"/>
      <c r="E5" s="6"/>
      <c r="F5" s="5"/>
    </row>
    <row r="6" spans="1:6" ht="20" customHeight="1" x14ac:dyDescent="0.3">
      <c r="A6" s="7" t="s">
        <v>13</v>
      </c>
      <c r="B6" s="15" t="s">
        <v>597</v>
      </c>
      <c r="C6" s="9" t="s">
        <v>16</v>
      </c>
      <c r="D6" s="8" t="s">
        <v>598</v>
      </c>
      <c r="E6" s="16">
        <v>67.38</v>
      </c>
      <c r="F6" s="8" t="s">
        <v>599</v>
      </c>
    </row>
    <row r="7" spans="1:6" ht="20" customHeight="1" x14ac:dyDescent="0.3">
      <c r="A7" s="11" t="s">
        <v>19</v>
      </c>
      <c r="B7" s="17" t="s">
        <v>600</v>
      </c>
      <c r="C7" s="13" t="s">
        <v>16</v>
      </c>
      <c r="D7" s="12" t="s">
        <v>601</v>
      </c>
      <c r="E7" s="18">
        <v>15.94</v>
      </c>
      <c r="F7" s="12" t="s">
        <v>424</v>
      </c>
    </row>
    <row r="8" spans="1:6" ht="20" customHeight="1" x14ac:dyDescent="0.3">
      <c r="A8" s="7" t="s">
        <v>24</v>
      </c>
      <c r="B8" s="15" t="s">
        <v>602</v>
      </c>
      <c r="C8" s="9" t="s">
        <v>257</v>
      </c>
      <c r="D8" s="8" t="s">
        <v>603</v>
      </c>
      <c r="E8" s="16">
        <v>9533.4</v>
      </c>
      <c r="F8" s="8" t="s">
        <v>604</v>
      </c>
    </row>
    <row r="9" spans="1:6" ht="20" customHeight="1" x14ac:dyDescent="0.3">
      <c r="A9" s="11" t="s">
        <v>28</v>
      </c>
      <c r="B9" s="17" t="s">
        <v>605</v>
      </c>
      <c r="C9" s="13" t="s">
        <v>35</v>
      </c>
      <c r="D9" s="12" t="s">
        <v>606</v>
      </c>
      <c r="E9" s="18">
        <v>6.89</v>
      </c>
      <c r="F9" s="12" t="s">
        <v>607</v>
      </c>
    </row>
    <row r="10" spans="1:6" ht="20" customHeight="1" x14ac:dyDescent="0.3">
      <c r="A10" s="7" t="s">
        <v>32</v>
      </c>
      <c r="B10" s="15" t="s">
        <v>608</v>
      </c>
      <c r="C10" s="9" t="s">
        <v>35</v>
      </c>
      <c r="D10" s="8" t="s">
        <v>609</v>
      </c>
      <c r="E10" s="16">
        <v>34.69</v>
      </c>
      <c r="F10" s="8" t="s">
        <v>610</v>
      </c>
    </row>
    <row r="11" spans="1:6" ht="22" customHeight="1" x14ac:dyDescent="0.3">
      <c r="A11" s="4" t="s">
        <v>79</v>
      </c>
      <c r="B11" s="5" t="s">
        <v>611</v>
      </c>
      <c r="C11" s="4"/>
      <c r="D11" s="5"/>
      <c r="E11" s="6"/>
      <c r="F11" s="5"/>
    </row>
    <row r="12" spans="1:6" ht="20" customHeight="1" x14ac:dyDescent="0.3">
      <c r="A12" s="7" t="s">
        <v>37</v>
      </c>
      <c r="B12" s="15" t="s">
        <v>612</v>
      </c>
      <c r="C12" s="9" t="s">
        <v>182</v>
      </c>
      <c r="D12" s="8" t="s">
        <v>613</v>
      </c>
      <c r="E12" s="16">
        <v>15</v>
      </c>
      <c r="F12" s="8" t="s">
        <v>614</v>
      </c>
    </row>
    <row r="13" spans="1:6" ht="20" customHeight="1" x14ac:dyDescent="0.3">
      <c r="A13" s="11" t="s">
        <v>42</v>
      </c>
      <c r="B13" s="17" t="s">
        <v>615</v>
      </c>
      <c r="C13" s="13" t="s">
        <v>182</v>
      </c>
      <c r="D13" s="12" t="s">
        <v>616</v>
      </c>
      <c r="E13" s="18">
        <v>15</v>
      </c>
      <c r="F13" s="12" t="s">
        <v>617</v>
      </c>
    </row>
    <row r="14" spans="1:6" ht="20" customHeight="1" x14ac:dyDescent="0.3">
      <c r="A14" s="7" t="s">
        <v>46</v>
      </c>
      <c r="B14" s="15" t="s">
        <v>618</v>
      </c>
      <c r="C14" s="9" t="s">
        <v>257</v>
      </c>
      <c r="D14" s="8" t="s">
        <v>619</v>
      </c>
      <c r="E14" s="16">
        <v>1487.68</v>
      </c>
      <c r="F14" s="8" t="s">
        <v>620</v>
      </c>
    </row>
    <row r="15" spans="1:6" ht="20" customHeight="1" x14ac:dyDescent="0.3">
      <c r="A15" s="11" t="s">
        <v>50</v>
      </c>
      <c r="B15" s="17" t="s">
        <v>621</v>
      </c>
      <c r="C15" s="13" t="s">
        <v>286</v>
      </c>
      <c r="D15" s="12" t="s">
        <v>622</v>
      </c>
      <c r="E15" s="18">
        <v>120</v>
      </c>
      <c r="F15" s="12" t="s">
        <v>623</v>
      </c>
    </row>
    <row r="16" spans="1:6" ht="22" customHeight="1" x14ac:dyDescent="0.3">
      <c r="A16" s="4" t="s">
        <v>136</v>
      </c>
      <c r="B16" s="5" t="s">
        <v>624</v>
      </c>
      <c r="C16" s="4"/>
      <c r="D16" s="5"/>
      <c r="E16" s="6"/>
      <c r="F16" s="5"/>
    </row>
    <row r="17" spans="1:6" ht="20" customHeight="1" x14ac:dyDescent="0.3">
      <c r="A17" s="11" t="s">
        <v>54</v>
      </c>
      <c r="B17" s="17" t="s">
        <v>625</v>
      </c>
      <c r="C17" s="13" t="s">
        <v>143</v>
      </c>
      <c r="D17" s="12" t="s">
        <v>626</v>
      </c>
      <c r="E17" s="18">
        <v>24.5</v>
      </c>
      <c r="F17" s="12" t="s">
        <v>627</v>
      </c>
    </row>
    <row r="18" spans="1:6" ht="20" customHeight="1" x14ac:dyDescent="0.3">
      <c r="A18" s="7" t="s">
        <v>58</v>
      </c>
      <c r="B18" s="15" t="s">
        <v>628</v>
      </c>
      <c r="C18" s="9" t="s">
        <v>16</v>
      </c>
      <c r="D18" s="8" t="s">
        <v>629</v>
      </c>
      <c r="E18" s="16">
        <v>4.67</v>
      </c>
      <c r="F18" s="8" t="s">
        <v>630</v>
      </c>
    </row>
    <row r="19" spans="1:6" ht="20" customHeight="1" x14ac:dyDescent="0.3">
      <c r="A19" s="11" t="s">
        <v>63</v>
      </c>
      <c r="B19" s="17" t="s">
        <v>631</v>
      </c>
      <c r="C19" s="13" t="s">
        <v>257</v>
      </c>
      <c r="D19" s="12" t="s">
        <v>632</v>
      </c>
      <c r="E19" s="18">
        <v>1359.8</v>
      </c>
      <c r="F19" s="12" t="s">
        <v>633</v>
      </c>
    </row>
    <row r="20" spans="1:6" ht="20" customHeight="1" x14ac:dyDescent="0.3">
      <c r="A20" s="7" t="s">
        <v>67</v>
      </c>
      <c r="B20" s="15" t="s">
        <v>634</v>
      </c>
      <c r="C20" s="9" t="s">
        <v>257</v>
      </c>
      <c r="D20" s="8" t="s">
        <v>635</v>
      </c>
      <c r="E20" s="16">
        <v>62.23</v>
      </c>
      <c r="F20" s="8" t="s">
        <v>636</v>
      </c>
    </row>
    <row r="21" spans="1:6" ht="22" customHeight="1" x14ac:dyDescent="0.3">
      <c r="A21" s="4" t="s">
        <v>166</v>
      </c>
      <c r="B21" s="5" t="s">
        <v>637</v>
      </c>
      <c r="C21" s="4"/>
      <c r="D21" s="5"/>
      <c r="E21" s="6"/>
      <c r="F21" s="5"/>
    </row>
    <row r="22" spans="1:6" ht="20" customHeight="1" x14ac:dyDescent="0.3">
      <c r="A22" s="7" t="s">
        <v>71</v>
      </c>
      <c r="B22" s="15" t="s">
        <v>638</v>
      </c>
      <c r="C22" s="9" t="s">
        <v>191</v>
      </c>
      <c r="D22" s="8" t="s">
        <v>639</v>
      </c>
      <c r="E22" s="16">
        <v>24</v>
      </c>
      <c r="F22" s="8" t="s">
        <v>640</v>
      </c>
    </row>
    <row r="23" spans="1:6" ht="20" customHeight="1" x14ac:dyDescent="0.3">
      <c r="A23" s="11" t="s">
        <v>75</v>
      </c>
      <c r="B23" s="17" t="s">
        <v>641</v>
      </c>
      <c r="C23" s="13" t="s">
        <v>143</v>
      </c>
      <c r="D23" s="12" t="s">
        <v>642</v>
      </c>
      <c r="E23" s="18">
        <v>39.86</v>
      </c>
      <c r="F23" s="12" t="s">
        <v>643</v>
      </c>
    </row>
    <row r="24" spans="1:6" ht="20" customHeight="1" x14ac:dyDescent="0.3">
      <c r="A24" s="7" t="s">
        <v>83</v>
      </c>
      <c r="B24" s="15" t="s">
        <v>644</v>
      </c>
      <c r="C24" s="9" t="s">
        <v>143</v>
      </c>
      <c r="D24" s="8" t="s">
        <v>645</v>
      </c>
      <c r="E24" s="16">
        <v>129.22999999999999</v>
      </c>
      <c r="F24" s="8" t="s">
        <v>646</v>
      </c>
    </row>
    <row r="25" spans="1:6" ht="20" customHeight="1" x14ac:dyDescent="0.3">
      <c r="A25" s="11" t="s">
        <v>88</v>
      </c>
      <c r="B25" s="17" t="s">
        <v>647</v>
      </c>
      <c r="C25" s="13" t="s">
        <v>191</v>
      </c>
      <c r="D25" s="12" t="s">
        <v>648</v>
      </c>
      <c r="E25" s="18">
        <v>192</v>
      </c>
      <c r="F25" s="12" t="s">
        <v>649</v>
      </c>
    </row>
    <row r="26" spans="1:6" ht="22" customHeight="1" x14ac:dyDescent="0.3">
      <c r="A26" s="4" t="s">
        <v>364</v>
      </c>
      <c r="B26" s="5" t="s">
        <v>650</v>
      </c>
      <c r="C26" s="4"/>
      <c r="D26" s="5"/>
      <c r="E26" s="6"/>
      <c r="F26" s="5"/>
    </row>
    <row r="27" spans="1:6" ht="20" customHeight="1" x14ac:dyDescent="0.3">
      <c r="A27" s="11" t="s">
        <v>92</v>
      </c>
      <c r="B27" s="17" t="s">
        <v>199</v>
      </c>
      <c r="C27" s="13" t="s">
        <v>16</v>
      </c>
      <c r="D27" s="12" t="s">
        <v>651</v>
      </c>
      <c r="E27" s="18">
        <v>104.74</v>
      </c>
      <c r="F27" s="12" t="s">
        <v>652</v>
      </c>
    </row>
    <row r="28" spans="1:6" ht="20" customHeight="1" x14ac:dyDescent="0.3">
      <c r="A28" s="7" t="s">
        <v>96</v>
      </c>
      <c r="B28" s="15" t="s">
        <v>653</v>
      </c>
      <c r="C28" s="9" t="s">
        <v>16</v>
      </c>
      <c r="D28" s="8" t="s">
        <v>654</v>
      </c>
      <c r="E28" s="16">
        <v>44.19</v>
      </c>
      <c r="F28" s="8" t="s">
        <v>655</v>
      </c>
    </row>
    <row r="29" spans="1:6" ht="20" customHeight="1" x14ac:dyDescent="0.3">
      <c r="A29" s="11" t="s">
        <v>100</v>
      </c>
      <c r="B29" s="17" t="s">
        <v>656</v>
      </c>
      <c r="C29" s="13" t="s">
        <v>16</v>
      </c>
      <c r="D29" s="12" t="s">
        <v>657</v>
      </c>
      <c r="E29" s="18">
        <v>4</v>
      </c>
      <c r="F29" s="12" t="s">
        <v>658</v>
      </c>
    </row>
    <row r="30" spans="1:6" ht="20" customHeight="1" x14ac:dyDescent="0.3">
      <c r="A30" s="7" t="s">
        <v>104</v>
      </c>
      <c r="B30" s="15" t="s">
        <v>659</v>
      </c>
      <c r="C30" s="9" t="s">
        <v>16</v>
      </c>
      <c r="D30" s="8" t="s">
        <v>660</v>
      </c>
      <c r="E30" s="16">
        <v>115.88</v>
      </c>
      <c r="F30" s="8" t="s">
        <v>661</v>
      </c>
    </row>
    <row r="31" spans="1:6" ht="20" customHeight="1" x14ac:dyDescent="0.3">
      <c r="A31" s="11" t="s">
        <v>108</v>
      </c>
      <c r="B31" s="17" t="s">
        <v>662</v>
      </c>
      <c r="C31" s="13" t="s">
        <v>35</v>
      </c>
      <c r="D31" s="12" t="s">
        <v>663</v>
      </c>
      <c r="E31" s="18">
        <v>194.03</v>
      </c>
      <c r="F31" s="12" t="s">
        <v>664</v>
      </c>
    </row>
    <row r="32" spans="1:6" ht="20" customHeight="1" x14ac:dyDescent="0.3">
      <c r="A32" s="7" t="s">
        <v>112</v>
      </c>
      <c r="B32" s="15" t="s">
        <v>665</v>
      </c>
      <c r="C32" s="9" t="s">
        <v>143</v>
      </c>
      <c r="D32" s="8" t="s">
        <v>666</v>
      </c>
      <c r="E32" s="16">
        <v>21.4</v>
      </c>
      <c r="F32" s="8" t="s">
        <v>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RowHeight="14" x14ac:dyDescent="0.3"/>
  <cols>
    <col min="1" max="1" width="10" customWidth="1"/>
    <col min="2" max="2" width="32" customWidth="1"/>
    <col min="3" max="3" width="28" customWidth="1"/>
    <col min="4" max="4" width="25" customWidth="1"/>
    <col min="5" max="5" width="24" customWidth="1"/>
    <col min="6" max="6" width="25" customWidth="1"/>
    <col min="7" max="7" width="50" customWidth="1"/>
  </cols>
  <sheetData>
    <row r="1" spans="1:7" ht="20" customHeight="1" x14ac:dyDescent="0.55000000000000004">
      <c r="A1" s="1" t="s">
        <v>668</v>
      </c>
    </row>
    <row r="2" spans="1:7" ht="14.5" customHeight="1" x14ac:dyDescent="0.35">
      <c r="A2" s="2" t="s">
        <v>669</v>
      </c>
    </row>
    <row r="4" spans="1:7" ht="28" customHeight="1" x14ac:dyDescent="0.3">
      <c r="A4" s="3" t="s">
        <v>2</v>
      </c>
      <c r="B4" s="3" t="s">
        <v>670</v>
      </c>
      <c r="C4" s="3" t="s">
        <v>671</v>
      </c>
      <c r="D4" s="3" t="s">
        <v>672</v>
      </c>
      <c r="E4" s="3" t="s">
        <v>673</v>
      </c>
      <c r="F4" s="3" t="s">
        <v>674</v>
      </c>
      <c r="G4" s="3" t="s">
        <v>675</v>
      </c>
    </row>
    <row r="5" spans="1:7" ht="22" customHeight="1" x14ac:dyDescent="0.3">
      <c r="A5" s="11" t="s">
        <v>13</v>
      </c>
      <c r="B5" s="17" t="s">
        <v>676</v>
      </c>
      <c r="C5" s="13" t="s">
        <v>677</v>
      </c>
      <c r="D5" s="13" t="s">
        <v>678</v>
      </c>
      <c r="E5" s="13" t="s">
        <v>679</v>
      </c>
      <c r="F5" s="13" t="s">
        <v>680</v>
      </c>
      <c r="G5" s="12" t="s">
        <v>681</v>
      </c>
    </row>
    <row r="6" spans="1:7" ht="22" customHeight="1" x14ac:dyDescent="0.3">
      <c r="A6" s="7" t="s">
        <v>19</v>
      </c>
      <c r="B6" s="15" t="s">
        <v>682</v>
      </c>
      <c r="C6" s="9" t="s">
        <v>683</v>
      </c>
      <c r="D6" s="9" t="s">
        <v>684</v>
      </c>
      <c r="E6" s="9" t="s">
        <v>685</v>
      </c>
      <c r="F6" s="9" t="s">
        <v>680</v>
      </c>
      <c r="G6" s="8" t="s">
        <v>686</v>
      </c>
    </row>
    <row r="7" spans="1:7" ht="22" customHeight="1" x14ac:dyDescent="0.3">
      <c r="A7" s="11" t="s">
        <v>24</v>
      </c>
      <c r="B7" s="17" t="s">
        <v>687</v>
      </c>
      <c r="C7" s="13" t="s">
        <v>688</v>
      </c>
      <c r="D7" s="13" t="s">
        <v>689</v>
      </c>
      <c r="E7" s="13" t="s">
        <v>690</v>
      </c>
      <c r="F7" s="13" t="s">
        <v>680</v>
      </c>
      <c r="G7" s="12" t="s">
        <v>691</v>
      </c>
    </row>
    <row r="8" spans="1:7" ht="22" customHeight="1" x14ac:dyDescent="0.3">
      <c r="A8" s="7" t="s">
        <v>28</v>
      </c>
      <c r="B8" s="15" t="s">
        <v>692</v>
      </c>
      <c r="C8" s="9" t="s">
        <v>693</v>
      </c>
      <c r="D8" s="9" t="s">
        <v>694</v>
      </c>
      <c r="E8" s="9" t="s">
        <v>695</v>
      </c>
      <c r="F8" s="9" t="s">
        <v>680</v>
      </c>
      <c r="G8" s="8" t="s">
        <v>696</v>
      </c>
    </row>
    <row r="9" spans="1:7" ht="22" customHeight="1" x14ac:dyDescent="0.3">
      <c r="A9" s="11" t="s">
        <v>32</v>
      </c>
      <c r="B9" s="17" t="s">
        <v>697</v>
      </c>
      <c r="C9" s="13" t="s">
        <v>698</v>
      </c>
      <c r="D9" s="13" t="s">
        <v>699</v>
      </c>
      <c r="E9" s="13" t="s">
        <v>700</v>
      </c>
      <c r="F9" s="13" t="s">
        <v>680</v>
      </c>
      <c r="G9" s="12" t="s">
        <v>701</v>
      </c>
    </row>
    <row r="10" spans="1:7" ht="22" customHeight="1" x14ac:dyDescent="0.3">
      <c r="A10" s="7" t="s">
        <v>37</v>
      </c>
      <c r="B10" s="15" t="s">
        <v>702</v>
      </c>
      <c r="C10" s="9" t="s">
        <v>703</v>
      </c>
      <c r="D10" s="9" t="s">
        <v>704</v>
      </c>
      <c r="E10" s="9" t="s">
        <v>705</v>
      </c>
      <c r="F10" s="9" t="s">
        <v>680</v>
      </c>
      <c r="G10" s="8" t="s">
        <v>706</v>
      </c>
    </row>
    <row r="11" spans="1:7" ht="22" customHeight="1" x14ac:dyDescent="0.3">
      <c r="A11" s="29" t="s">
        <v>42</v>
      </c>
      <c r="B11" s="30" t="s">
        <v>707</v>
      </c>
      <c r="C11" s="29" t="s">
        <v>708</v>
      </c>
      <c r="D11" s="29" t="s">
        <v>709</v>
      </c>
      <c r="E11" s="29" t="s">
        <v>710</v>
      </c>
      <c r="F11" s="31" t="s">
        <v>711</v>
      </c>
      <c r="G11" s="32" t="s">
        <v>712</v>
      </c>
    </row>
    <row r="12" spans="1:7" ht="22" customHeight="1" x14ac:dyDescent="0.3">
      <c r="A12" s="7" t="s">
        <v>46</v>
      </c>
      <c r="B12" s="15" t="s">
        <v>713</v>
      </c>
      <c r="C12" s="9" t="s">
        <v>714</v>
      </c>
      <c r="D12" s="9" t="s">
        <v>715</v>
      </c>
      <c r="E12" s="9" t="s">
        <v>716</v>
      </c>
      <c r="F12" s="9" t="s">
        <v>680</v>
      </c>
      <c r="G12" s="8" t="s">
        <v>717</v>
      </c>
    </row>
    <row r="13" spans="1:7" ht="22" customHeight="1" x14ac:dyDescent="0.3">
      <c r="A13" s="11" t="s">
        <v>50</v>
      </c>
      <c r="B13" s="17" t="s">
        <v>718</v>
      </c>
      <c r="C13" s="13" t="s">
        <v>719</v>
      </c>
      <c r="D13" s="13" t="s">
        <v>720</v>
      </c>
      <c r="E13" s="13" t="s">
        <v>721</v>
      </c>
      <c r="F13" s="13" t="s">
        <v>680</v>
      </c>
      <c r="G13" s="12" t="s">
        <v>124</v>
      </c>
    </row>
    <row r="14" spans="1:7" ht="22" customHeight="1" x14ac:dyDescent="0.3">
      <c r="A14" s="7" t="s">
        <v>54</v>
      </c>
      <c r="B14" s="15" t="s">
        <v>722</v>
      </c>
      <c r="C14" s="9" t="s">
        <v>723</v>
      </c>
      <c r="D14" s="9" t="s">
        <v>724</v>
      </c>
      <c r="E14" s="9" t="s">
        <v>725</v>
      </c>
      <c r="F14" s="9" t="s">
        <v>680</v>
      </c>
      <c r="G14" s="8" t="s">
        <v>726</v>
      </c>
    </row>
    <row r="15" spans="1:7" ht="22" customHeight="1" x14ac:dyDescent="0.3">
      <c r="A15" s="11" t="s">
        <v>58</v>
      </c>
      <c r="B15" s="17" t="s">
        <v>727</v>
      </c>
      <c r="C15" s="13" t="s">
        <v>728</v>
      </c>
      <c r="D15" s="13" t="s">
        <v>729</v>
      </c>
      <c r="E15" s="13" t="s">
        <v>730</v>
      </c>
      <c r="F15" s="13" t="s">
        <v>731</v>
      </c>
      <c r="G15" s="12" t="s">
        <v>732</v>
      </c>
    </row>
    <row r="16" spans="1:7" ht="22" customHeight="1" x14ac:dyDescent="0.3">
      <c r="A16" s="7" t="s">
        <v>63</v>
      </c>
      <c r="B16" s="15" t="s">
        <v>733</v>
      </c>
      <c r="C16" s="9" t="s">
        <v>734</v>
      </c>
      <c r="D16" s="9" t="s">
        <v>729</v>
      </c>
      <c r="E16" s="9" t="s">
        <v>730</v>
      </c>
      <c r="F16" s="9" t="s">
        <v>735</v>
      </c>
      <c r="G16" s="8" t="s">
        <v>736</v>
      </c>
    </row>
    <row r="17" spans="1:7" ht="22" customHeight="1" x14ac:dyDescent="0.3">
      <c r="A17" s="11" t="s">
        <v>67</v>
      </c>
      <c r="B17" s="17" t="s">
        <v>737</v>
      </c>
      <c r="C17" s="13" t="s">
        <v>738</v>
      </c>
      <c r="D17" s="13" t="s">
        <v>739</v>
      </c>
      <c r="E17" s="13" t="s">
        <v>740</v>
      </c>
      <c r="F17" s="13" t="s">
        <v>741</v>
      </c>
      <c r="G17" s="12" t="s">
        <v>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4" x14ac:dyDescent="0.3"/>
  <cols>
    <col min="1" max="1" width="12" customWidth="1"/>
    <col min="2" max="2" width="28" customWidth="1"/>
    <col min="3" max="3" width="42" customWidth="1"/>
    <col min="4" max="4" width="25" customWidth="1"/>
    <col min="5" max="5" width="45" customWidth="1"/>
    <col min="6" max="6" width="42" customWidth="1"/>
    <col min="7" max="7" width="40" customWidth="1"/>
  </cols>
  <sheetData>
    <row r="1" spans="1:7" ht="20" customHeight="1" x14ac:dyDescent="0.55000000000000004">
      <c r="A1" s="1" t="s">
        <v>743</v>
      </c>
    </row>
    <row r="2" spans="1:7" ht="14.5" customHeight="1" x14ac:dyDescent="0.35">
      <c r="A2" s="2" t="s">
        <v>744</v>
      </c>
    </row>
    <row r="4" spans="1:7" ht="28" customHeight="1" x14ac:dyDescent="0.3">
      <c r="A4" s="3" t="s">
        <v>745</v>
      </c>
      <c r="B4" s="3" t="s">
        <v>746</v>
      </c>
      <c r="C4" s="3" t="s">
        <v>747</v>
      </c>
      <c r="D4" s="3" t="s">
        <v>748</v>
      </c>
      <c r="E4" s="3" t="s">
        <v>749</v>
      </c>
      <c r="F4" s="3" t="s">
        <v>750</v>
      </c>
      <c r="G4" s="3" t="s">
        <v>751</v>
      </c>
    </row>
    <row r="5" spans="1:7" ht="110" customHeight="1" x14ac:dyDescent="0.3">
      <c r="A5" s="11" t="s">
        <v>752</v>
      </c>
      <c r="B5" s="11" t="s">
        <v>138</v>
      </c>
      <c r="C5" s="33" t="s">
        <v>753</v>
      </c>
      <c r="D5" s="34" t="s">
        <v>754</v>
      </c>
      <c r="E5" s="33" t="s">
        <v>755</v>
      </c>
      <c r="F5" s="17" t="s">
        <v>756</v>
      </c>
      <c r="G5" s="33" t="s">
        <v>757</v>
      </c>
    </row>
    <row r="6" spans="1:7" ht="110" customHeight="1" x14ac:dyDescent="0.3">
      <c r="A6" s="7" t="s">
        <v>758</v>
      </c>
      <c r="B6" s="7" t="s">
        <v>759</v>
      </c>
      <c r="C6" s="35" t="s">
        <v>760</v>
      </c>
      <c r="D6" s="36" t="s">
        <v>761</v>
      </c>
      <c r="E6" s="35" t="s">
        <v>762</v>
      </c>
      <c r="F6" s="15" t="s">
        <v>763</v>
      </c>
      <c r="G6" s="35" t="s">
        <v>764</v>
      </c>
    </row>
    <row r="7" spans="1:7" ht="110" customHeight="1" x14ac:dyDescent="0.3">
      <c r="A7" s="11" t="s">
        <v>765</v>
      </c>
      <c r="B7" s="11" t="s">
        <v>766</v>
      </c>
      <c r="C7" s="33" t="s">
        <v>767</v>
      </c>
      <c r="D7" s="34" t="s">
        <v>768</v>
      </c>
      <c r="E7" s="33" t="s">
        <v>769</v>
      </c>
      <c r="F7" s="17" t="s">
        <v>770</v>
      </c>
      <c r="G7" s="33" t="s">
        <v>771</v>
      </c>
    </row>
    <row r="8" spans="1:7" ht="110" customHeight="1" x14ac:dyDescent="0.3">
      <c r="A8" s="7" t="s">
        <v>772</v>
      </c>
      <c r="B8" s="7" t="s">
        <v>773</v>
      </c>
      <c r="C8" s="35" t="s">
        <v>774</v>
      </c>
      <c r="D8" s="36" t="s">
        <v>775</v>
      </c>
      <c r="E8" s="35" t="s">
        <v>776</v>
      </c>
      <c r="F8" s="15" t="s">
        <v>777</v>
      </c>
      <c r="G8" s="35" t="s">
        <v>778</v>
      </c>
    </row>
    <row r="9" spans="1:7" ht="110" customHeight="1" x14ac:dyDescent="0.3">
      <c r="A9" s="11" t="s">
        <v>779</v>
      </c>
      <c r="B9" s="11" t="s">
        <v>780</v>
      </c>
      <c r="C9" s="33" t="s">
        <v>781</v>
      </c>
      <c r="D9" s="34" t="s">
        <v>782</v>
      </c>
      <c r="E9" s="33" t="s">
        <v>783</v>
      </c>
      <c r="F9" s="17" t="s">
        <v>784</v>
      </c>
      <c r="G9" s="33" t="s">
        <v>785</v>
      </c>
    </row>
    <row r="10" spans="1:7" ht="110" customHeight="1" x14ac:dyDescent="0.3">
      <c r="A10" s="7" t="s">
        <v>786</v>
      </c>
      <c r="B10" s="7" t="s">
        <v>787</v>
      </c>
      <c r="C10" s="35" t="s">
        <v>788</v>
      </c>
      <c r="D10" s="36" t="s">
        <v>789</v>
      </c>
      <c r="E10" s="35" t="s">
        <v>790</v>
      </c>
      <c r="F10" s="15" t="s">
        <v>791</v>
      </c>
      <c r="G10" s="35" t="s">
        <v>792</v>
      </c>
    </row>
    <row r="11" spans="1:7" ht="110" customHeight="1" x14ac:dyDescent="0.3">
      <c r="A11" s="11" t="s">
        <v>793</v>
      </c>
      <c r="B11" s="11" t="s">
        <v>794</v>
      </c>
      <c r="C11" s="33" t="s">
        <v>795</v>
      </c>
      <c r="D11" s="34" t="s">
        <v>796</v>
      </c>
      <c r="E11" s="33" t="s">
        <v>797</v>
      </c>
      <c r="F11" s="17" t="s">
        <v>798</v>
      </c>
      <c r="G11" s="33" t="s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TONG_HOP_TOAN_CAU</vt:lpstr>
      <vt:lpstr>DAM_SUPER_T_38.2M</vt:lpstr>
      <vt:lpstr>DAM_NGANG_BAN_MAT_CAU</vt:lpstr>
      <vt:lpstr>MO_M1_M2</vt:lpstr>
      <vt:lpstr>TRU_T1_T2</vt:lpstr>
      <vt:lpstr>COC_KHOAN_NHOI_D1200</vt:lpstr>
      <vt:lpstr>PHU_TRO_TU_NON_BAN_QUA_DO</vt:lpstr>
      <vt:lpstr>DOI_SOAT_CAD_RED_FLAG</vt:lpstr>
      <vt:lpstr>CAU_THANH_LIEN_KET_HE_THONG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2026-10-09T14:13:24Z</dcterms:created>
  <dcterms:modified xsi:type="dcterms:W3CDTF">2026-10-10T09:32:15Z</dcterms:modified>
</cp:coreProperties>
</file>