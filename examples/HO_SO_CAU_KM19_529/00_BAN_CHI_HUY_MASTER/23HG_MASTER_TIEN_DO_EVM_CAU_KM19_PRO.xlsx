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A7A2110BF42D65B7F9B298DA41CDAFD34E8B02F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GAY_NGHI_LE" sheetId="1" r:id="rId1"/>
    <sheet name="DB_DINH_MUC" sheetId="2" r:id="rId2"/>
    <sheet name="BOQ_TIEN_DO" sheetId="3" r:id="rId3"/>
    <sheet name="TIEN_DO" sheetId="4" r:id="rId4"/>
    <sheet name="EVM_5D_QUAN_TRI" sheetId="5" r:id="rId5"/>
    <sheet name="HUY_DONG_XMTB" sheetId="6" r:id="rId6"/>
    <sheet name="TIEN_DO_GIAI_NGAN" sheetId="7" r:id="rId7"/>
    <sheet name="KE_HOACH_QLCL" sheetId="8" r:id="rId8"/>
    <sheet name="HUONG_DA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8" l="1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D11" i="7"/>
  <c r="F10" i="7"/>
  <c r="G10" i="7" s="1"/>
  <c r="F9" i="7"/>
  <c r="F8" i="7"/>
  <c r="F7" i="7"/>
  <c r="F6" i="7"/>
  <c r="G6" i="7" s="1"/>
  <c r="L18" i="6"/>
  <c r="K18" i="6"/>
  <c r="K19" i="6" s="1"/>
  <c r="K17" i="6"/>
  <c r="L17" i="6" s="1"/>
  <c r="K16" i="6"/>
  <c r="L16" i="6" s="1"/>
  <c r="K15" i="6"/>
  <c r="L15" i="6" s="1"/>
  <c r="K14" i="6"/>
  <c r="L14" i="6" s="1"/>
  <c r="K13" i="6"/>
  <c r="L13" i="6" s="1"/>
  <c r="K12" i="6"/>
  <c r="L12" i="6" s="1"/>
  <c r="K11" i="6"/>
  <c r="L11" i="6" s="1"/>
  <c r="K10" i="6"/>
  <c r="L10" i="6" s="1"/>
  <c r="K9" i="6"/>
  <c r="L9" i="6" s="1"/>
  <c r="K8" i="6"/>
  <c r="L8" i="6" s="1"/>
  <c r="K7" i="6"/>
  <c r="L7" i="6" s="1"/>
  <c r="K6" i="6"/>
  <c r="L6" i="6" s="1"/>
  <c r="K5" i="6"/>
  <c r="L5" i="6" s="1"/>
  <c r="L19" i="6" s="1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G37" i="3" s="1"/>
  <c r="G38" i="3" l="1"/>
  <c r="G39" i="3" s="1"/>
  <c r="F11" i="7"/>
  <c r="G40" i="3" l="1"/>
  <c r="G41" i="3" s="1"/>
  <c r="G5" i="7" l="1"/>
  <c r="C5" i="5"/>
  <c r="C8" i="5" l="1"/>
  <c r="C7" i="5"/>
  <c r="C6" i="5"/>
  <c r="E7" i="7"/>
  <c r="E9" i="7"/>
  <c r="G9" i="7" s="1"/>
  <c r="E8" i="7"/>
  <c r="G8" i="7" s="1"/>
  <c r="E11" i="7" l="1"/>
  <c r="G7" i="7"/>
  <c r="G11" i="7" s="1"/>
  <c r="C12" i="5"/>
  <c r="C13" i="5" s="1"/>
  <c r="C11" i="5"/>
  <c r="C10" i="5"/>
  <c r="C9" i="5"/>
  <c r="C14" i="5" l="1"/>
  <c r="C15" i="5"/>
</calcChain>
</file>

<file path=xl/sharedStrings.xml><?xml version="1.0" encoding="utf-8"?>
<sst xmlns="http://schemas.openxmlformats.org/spreadsheetml/2006/main" count="673" uniqueCount="527">
  <si>
    <t>LỊCH THỜI TIẾT MÙA MƯA &amp; CÁC NGÀY NGHỈ LỄ CÔNG TRÌNH CẦU KM19+529.080 – 23HG SYSTEM</t>
  </si>
  <si>
    <t>Lịch công trường chuẩn: 6 ngày/tuần (Nghỉ Chủ nhật). Tuân thủ Bộ luật Lao động 2019 &amp; TCVN 8819:2011</t>
  </si>
  <si>
    <t>I. DANH MỤC CÁC NGÀY NGHỈ LỄ CHÍNH THỨC TRONG THỜI GIAN THI CÔNG CẦU KM19 (10/2026 - 03/2027)</t>
  </si>
  <si>
    <t>STT</t>
  </si>
  <si>
    <t>Thời Gian</t>
  </si>
  <si>
    <t>Nội Dung Ngày Nghỉ Lễ / Sự Kiện</t>
  </si>
  <si>
    <t>Số Ngày Nghỉ</t>
  </si>
  <si>
    <t>Hệ Số Năng Suất K_tt</t>
  </si>
  <si>
    <t>Quy Định Điều Hành Công Trường</t>
  </si>
  <si>
    <t>01/01/2027</t>
  </si>
  <si>
    <t>Nghỉ Tết Dương Lịch 2027</t>
  </si>
  <si>
    <t>Nghỉ lễ 1 ngày, trực ban bảo vệ công trường 24/24</t>
  </si>
  <si>
    <t>05/02/2027 - 12/02/2027</t>
  </si>
  <si>
    <t>Nghỉ Tết Nguyên Đán Đinh Mùi 2027 (29 Tết - Mùng 6 Tết)</t>
  </si>
  <si>
    <t>Dừng thi công hiện trường, niêm phong kho vật tư &amp; bãi đúc dầm</t>
  </si>
  <si>
    <t>Chủ nhật hàng tuần</t>
  </si>
  <si>
    <t>Nghỉ Chủ Nhật hàng tuần theo Luật Lao động</t>
  </si>
  <si>
    <t>Nghỉ ngơi, bảo dưỡng máy móc thiết bị (Bauer BG25, Kobelco CKE500)</t>
  </si>
  <si>
    <t>II. ĐIỀU KIỆN KHÍ HẬU VÙNG NÚI TÂY BẮC &amp; QUY ĐỊNH MÙA KHÔ / MÙA MƯA (TCVN 8819:2011)</t>
  </si>
  <si>
    <t>Khung Thời Gian</t>
  </si>
  <si>
    <t>Đặc Điểm Thời Tiết Khí Hậu</t>
  </si>
  <si>
    <t>Hạng Mục Cho Phép Thi Công</t>
  </si>
  <si>
    <t>Hạng Mục TUYỆT ĐỐI CẤM Thi Công</t>
  </si>
  <si>
    <t>Tháng 10/2026 - Tháng 03/2027</t>
  </si>
  <si>
    <t>Mùa khô cao điểm vùng Tây Bắc (Ít mưa, nền nhiệt 15-28°C)</t>
  </si>
  <si>
    <t>Tổng lực thi công toàn diện: Cọc khoan nhồi hang Karst, bệ móng, thân trụ T1, T2 cao 25.5m, đúc &amp; lao 15 dầm Super-T, thảm BTN C16 mặt cầu</t>
  </si>
  <si>
    <t>Nghiêm cấm thảm BTN khi trời mưa hoặc mặt cầu ẩm ướt (TCVN 8819:2011 Điều 8.2)</t>
  </si>
  <si>
    <t>CƠ SỞ DỮ LIỆU ĐỊNH MỨC NĂNG SUẤT CA MÁY &amp; HAO PHÍ CẦU KM19+529.080 – 23HG SYSTEM</t>
  </si>
  <si>
    <t>Chuẩn hóa theo Thông tư 38/2026/TT-BXD, Thông tư 12/2021/TT-BXD &amp; QCKT Việt Nam</t>
  </si>
  <si>
    <t>Mã Máy</t>
  </si>
  <si>
    <t>Chủng Loại Xe Máy Thiết Bị Thi Công</t>
  </si>
  <si>
    <t>Thông Số Kỹ Thuật / Model</t>
  </si>
  <si>
    <t>Định Mức Dầu (lít/ca)</t>
  </si>
  <si>
    <t>Năng Suất 1 Ca Máy</t>
  </si>
  <si>
    <t>Nhiệm Vụ Kỹ Thuật Trên Công Trường Cầu Km19</t>
  </si>
  <si>
    <t>MK</t>
  </si>
  <si>
    <t>Máy khoan cọc nhồi D1200</t>
  </si>
  <si>
    <t>Bauer BG25 / Lực xoay 245 kNm</t>
  </si>
  <si>
    <t>8.5 - 16.8 m/ca</t>
  </si>
  <si>
    <t>Khoan hang Karst 26 cọc D1200 ngàm đá M1, M2, T1, T2</t>
  </si>
  <si>
    <t>CX</t>
  </si>
  <si>
    <t>Cần cẩu bánh xích 50 tấn</t>
  </si>
  <si>
    <t>Kobelco CKE500 / Cần 38m</t>
  </si>
  <si>
    <t>Phục vụ 24/24</t>
  </si>
  <si>
    <t>Hạ lồng thép cọc D1200, lắp ván khuôn &amp; đà giáo leo thân trụ T1, T2</t>
  </si>
  <si>
    <t>CL</t>
  </si>
  <si>
    <t>Cần cẩu bánh lốp 25 tấn</t>
  </si>
  <si>
    <t>Kato KR250 / 4 đoạn cần</t>
  </si>
  <si>
    <t>Phục vụ bãi đúc</t>
  </si>
  <si>
    <t>Phục vụ bãi đúc dầm Super-T, bốc dỡ cốt thép, ván khuôn đúc sẵn</t>
  </si>
  <si>
    <t>MD</t>
  </si>
  <si>
    <t>Máy đào bánh xích 1.25 m3</t>
  </si>
  <si>
    <t>Komatsu PC200-8 / Kèm búa đập đá</t>
  </si>
  <si>
    <t>130 - 250 m3/ca</t>
  </si>
  <si>
    <t>Đào ngàm đá hố móng bệ trụ, phá đầu 26 cọc nhồi nhô 1.0m</t>
  </si>
  <si>
    <t>OT</t>
  </si>
  <si>
    <t>Ô tô tự đổ 15 tấn</t>
  </si>
  <si>
    <t>Howo 371HP 3 chân</t>
  </si>
  <si>
    <t>12 - 16 chuyến/ca</t>
  </si>
  <si>
    <t>Vận chuyển đất đá ngàm móng ra bãi thải cự ly 5km</t>
  </si>
  <si>
    <t>XB</t>
  </si>
  <si>
    <t>Xe bồn vận chuyển bê tông 9 m3</t>
  </si>
  <si>
    <t>Hino / Hyundai Trộn xoay</t>
  </si>
  <si>
    <t>6 - 8 chuyến/ca</t>
  </si>
  <si>
    <t>Vận chuyển bê tông C30 cọc, bệ móng, thân mố trụ và C45 dầm Super-T</t>
  </si>
  <si>
    <t>BM</t>
  </si>
  <si>
    <t>Xe bơm bê tông cần 42m</t>
  </si>
  <si>
    <t>Putzmeister BSF 42-5</t>
  </si>
  <si>
    <t>35 - 50 m3/h</t>
  </si>
  <si>
    <t>Bơm cao áp bê tông thân trụ T1, T2 (H=23.35m - 25.45m), xà mũ, dầm ngang</t>
  </si>
  <si>
    <t>MN</t>
  </si>
  <si>
    <t>Máy nén khí 7.5 m3/phút</t>
  </si>
  <si>
    <t>Airman PDS265S áp lực cao</t>
  </si>
  <si>
    <t>Phục vụ thổi rửa</t>
  </si>
  <si>
    <t>Thổi rửa đáy 26 hố khoan cọc nhồi &amp; đục tỉa bê tông đầu cọc</t>
  </si>
  <si>
    <t>MH</t>
  </si>
  <si>
    <t>Máy phát hàn điện 500A</t>
  </si>
  <si>
    <t>Denyo DCW-480ESW / 2 kìm hàn</t>
  </si>
  <si>
    <t>Hàn lồng thép cọc</t>
  </si>
  <si>
    <t>Gia công nối lồng thép cọc D1200, hàn khung sườn dầm Super-T</t>
  </si>
  <si>
    <t>TT</t>
  </si>
  <si>
    <t>Trạm trộn BTXM 60 m3/h</t>
  </si>
  <si>
    <t>Sicoma Italy 2 trục ngang</t>
  </si>
  <si>
    <t>40 - 55 m3/h</t>
  </si>
  <si>
    <t>Sản xuất toàn bộ 2,348 m3 BTXM C10-C45 tại hiện trường</t>
  </si>
  <si>
    <t>GL</t>
  </si>
  <si>
    <t>Giá lao dầm Super-T 78.88T</t>
  </si>
  <si>
    <t>Hệ dầm kép ray P43 tời kéo</t>
  </si>
  <si>
    <t>1.5 - 2 phiến/ngày</t>
  </si>
  <si>
    <t>Vận chuyển &amp; lao lắp an toàn 15 phiến dầm Super-T 38.2m</t>
  </si>
  <si>
    <t>LU</t>
  </si>
  <si>
    <t>Máy lu rung tự hành 14-25T</t>
  </si>
  <si>
    <t>Hamm 3411 lực rung 25 tấn</t>
  </si>
  <si>
    <t>400 m3/ca</t>
  </si>
  <si>
    <t>Đầm lèn K98 nền đường đầu cầu mố M1, M2</t>
  </si>
  <si>
    <t>XT</t>
  </si>
  <si>
    <t>Xe téc cấp dầu lưu động 9 m3</t>
  </si>
  <si>
    <t>Isuzu téc bồn gắn đồng hồ đo</t>
  </si>
  <si>
    <t>Cấp phát 24/24</t>
  </si>
  <si>
    <t>Tiếp nhiên liệu diezel tại chỗ cho máy khoan Bauer, cẩu xích, máy đào</t>
  </si>
  <si>
    <t>MP</t>
  </si>
  <si>
    <t>Máy phát điện 3 pha 250kVA</t>
  </si>
  <si>
    <t>Cummins Diesel dự phòng</t>
  </si>
  <si>
    <t>Phát điện 24/24</t>
  </si>
  <si>
    <t>Cung cấp nguồn điện 3 pha liên tục cho trạm trộn, kích căng kéo và bãi đúc</t>
  </si>
  <si>
    <t>BẢNG TIÊN LƯỢNG KHỐI LƯỢNG (BOQ), ĐỊNH MỨC CA MÁY &amp; CHI PHÍ DỰ TOÁN G_XD CẦU KM19+529.080</t>
  </si>
  <si>
    <t>Dự án: Cao tốc Tuyên Quang - Hà Giang (Gói 09-XL) | Tiêu chuẩn: Thông tư 38/2026/TT-BXD, TT 36/2026 &amp; TCVN</t>
  </si>
  <si>
    <t>Mã WBS</t>
  </si>
  <si>
    <t>Nội Dung Hạng Mục Công Tác Xây Lắp</t>
  </si>
  <si>
    <t>Đơn Vị</t>
  </si>
  <si>
    <t>Khối Lượng Thiết Kế</t>
  </si>
  <si>
    <t>Đơn Giá Trực Tiếp (VNĐ)</t>
  </si>
  <si>
    <t>Thành Tiền Trực Tiếp T (VNĐ)</t>
  </si>
  <si>
    <t>Năng Suất Định Mức / Ca</t>
  </si>
  <si>
    <t>Số Ca Máy Dự Kiến</t>
  </si>
  <si>
    <t>Thiết Bị Chủ Lực</t>
  </si>
  <si>
    <t>1.1</t>
  </si>
  <si>
    <t>Bàn giao tim mốc VN2000 &amp; định vị tọa độ mố trụ cầu</t>
  </si>
  <si>
    <t>Điểm</t>
  </si>
  <si>
    <t>Máy toàn đạc Leica TS06</t>
  </si>
  <si>
    <t>1.2</t>
  </si>
  <si>
    <t>Rà phá bom mìn, dọn dẹp mặt bằng &amp; dựng lán trại</t>
  </si>
  <si>
    <t>m2</t>
  </si>
  <si>
    <t>Máy xúc PC200 + Ô tô 15T</t>
  </si>
  <si>
    <t>1.3</t>
  </si>
  <si>
    <t>Thi công đường công vụ nhánh 6 &amp; 6A tiếp cận mố trụ</t>
  </si>
  <si>
    <t>m3</t>
  </si>
  <si>
    <t>Máy xúc PC200 + Lu rung Hamm</t>
  </si>
  <si>
    <t>1.4</t>
  </si>
  <si>
    <t>Xây dựng bãi đúc dầm Super-T, bệ đúc &amp; trạm trộn 60m3/h</t>
  </si>
  <si>
    <t>Hệ</t>
  </si>
  <si>
    <t>Cần cẩu lốp 25T + Máy xúc</t>
  </si>
  <si>
    <t>2.1</t>
  </si>
  <si>
    <t>Khoan thăm dò hang Karst sâu 5m vào đá liền khối (26 lỗ)</t>
  </si>
  <si>
    <t>Lỗ</t>
  </si>
  <si>
    <t>Máy khoan đá Bauer BG25</t>
  </si>
  <si>
    <t>2.2</t>
  </si>
  <si>
    <t>Khoan cọc nhồi D1200 Mố M1 (3 cọc L=20m) &amp; đổ BT C30</t>
  </si>
  <si>
    <t>m</t>
  </si>
  <si>
    <t>Bauer BG25 + Cẩu 50T + Xe bồn</t>
  </si>
  <si>
    <t>2.3</t>
  </si>
  <si>
    <t>Khoan cọc nhồi D1200 Trụ T1 (8 cọc L=40m) &amp; đổ BT C30</t>
  </si>
  <si>
    <t>2 Máy khoan Bauer + Cẩu 50T</t>
  </si>
  <si>
    <t>2.4</t>
  </si>
  <si>
    <t>Khoan cọc nhồi D1200 Trụ T2 (8 cọc L=30m) &amp; đổ BT C30</t>
  </si>
  <si>
    <t>2.5</t>
  </si>
  <si>
    <t>Khoan cọc nhồi D1200 Mố M2 (7 cọc L=36m) &amp; đổ BT C30</t>
  </si>
  <si>
    <t>2.6</t>
  </si>
  <si>
    <t>Thí nghiệm siêu âm 156 mặt cắt cọc, PDA &amp; nén tĩnh</t>
  </si>
  <si>
    <t>Gói</t>
  </si>
  <si>
    <t>Hệ thống siêu âm cọc đa kênh</t>
  </si>
  <si>
    <t>3.1</t>
  </si>
  <si>
    <t>Đào hố móng ngàm đá, đập đầu 26 cọc &amp; đổ BT lót C10 (42.15 m3)</t>
  </si>
  <si>
    <t>Cọc</t>
  </si>
  <si>
    <t>Máy đào PC200 búa đập đá</t>
  </si>
  <si>
    <t>3.2</t>
  </si>
  <si>
    <t>Cốt thép, ván khuôn &amp; đổ bê tông bệ móng mố M1, M2 (173.2 m3)</t>
  </si>
  <si>
    <t>Cẩu 25T + Bơm 42m + Xe bồn</t>
  </si>
  <si>
    <t>3.3.1</t>
  </si>
  <si>
    <t>Cốt thép, VK &amp; đổ BT bệ trụ T1 (11.6x8.0x2.0m Không vát, 184.243 m3)</t>
  </si>
  <si>
    <t>Cẩu xích 50T + Bơm 42m</t>
  </si>
  <si>
    <t>3.3.2</t>
  </si>
  <si>
    <t>Cốt thép, VK &amp; đổ BT bệ trụ T2 (11.6x8.0x2.0m Không vát, 184.243 m3)</t>
  </si>
  <si>
    <t>3.4.1</t>
  </si>
  <si>
    <t>Thi công thân đặc trụ T1 (H=23.35m, 3 đốt vát, 234.922 m3) BT C30</t>
  </si>
  <si>
    <t>Cẩu xích 50T + Đà giáo leo</t>
  </si>
  <si>
    <t>3.4.2</t>
  </si>
  <si>
    <t>Thi công thân đặc trụ T2 (H=25.45m, 3 đốt vát, 266.791 m3) BT C30</t>
  </si>
  <si>
    <t>3.5</t>
  </si>
  <si>
    <t>Thi công thân mố chân dê M1 &amp; mố chữ U M2 BT C30 (138.4 m3)</t>
  </si>
  <si>
    <t>Cẩu lốp 25T + Bơm 42m</t>
  </si>
  <si>
    <t>3.6.1</t>
  </si>
  <si>
    <t>Thi công xà mũ trụ T1, đá kê gối &amp; khối chống xô (128.851 m3)</t>
  </si>
  <si>
    <t>Cẩu 50T + Ván khuôn dầm đỡ</t>
  </si>
  <si>
    <t>3.6.2</t>
  </si>
  <si>
    <t>Thi công xà mũ trụ T2, đá kê gối &amp; khối chống xô (145.026 m3)</t>
  </si>
  <si>
    <t>4.1</t>
  </si>
  <si>
    <t>Cốt thép, luồn cáp DUL 15 phiến dầm Super-T tại bãi đúc (15 phiến)</t>
  </si>
  <si>
    <t>Phiến</t>
  </si>
  <si>
    <t>Dàn cắt uốn CNC + Cẩu 25T</t>
  </si>
  <si>
    <t>4.2</t>
  </si>
  <si>
    <t>Đổ bê tông C45 15 phiến dầm Super-T L=38.2m bãi đúc (434.8 m3)</t>
  </si>
  <si>
    <t>Trạm trộn 60m3/h + Cẩu 25T</t>
  </si>
  <si>
    <t>4.3</t>
  </si>
  <si>
    <t>Căng kéo cáp DUL 15.2mm &amp; bơm vữa ống gen dầm (15 phiến)</t>
  </si>
  <si>
    <t>Bơm kích thủy lực 250T</t>
  </si>
  <si>
    <t>4.4</t>
  </si>
  <si>
    <t>Lắp đặt 30 gối chậu cao su đơn/song hướng mố trụ (30 cái)</t>
  </si>
  <si>
    <t>Cái</t>
  </si>
  <si>
    <t>Cần cẩu lốp 25T + Kích căn</t>
  </si>
  <si>
    <t>4.5</t>
  </si>
  <si>
    <t>Lắp đường ray P43, vận chuyển &amp; lao lắp 15 dầm Super-T</t>
  </si>
  <si>
    <t>Giá lao dầm ray P43 78.88T</t>
  </si>
  <si>
    <t>5.1</t>
  </si>
  <si>
    <t>Đổ bê tông dầm ngang mố trụ &amp; bản liên tục nhiệt C35 (78.5 m3)</t>
  </si>
  <si>
    <t>Xe bơm cần 42m + Xe bồn</t>
  </si>
  <si>
    <t>5.2</t>
  </si>
  <si>
    <t>Lắp 510 tấm ván khuôn đúc sẵn &amp; cốt thép bản mặt cầu (510 tấm)</t>
  </si>
  <si>
    <t>Tấm</t>
  </si>
  <si>
    <t>Cần cẩu lốp 25T bốc dỡ</t>
  </si>
  <si>
    <t>5.3</t>
  </si>
  <si>
    <t>Đổ bê tông bản mặt cầu tại chỗ C35 (dày 180mm, 235.6 m3)</t>
  </si>
  <si>
    <t>Xe bơm cần 42m + 3 Xe bồn</t>
  </si>
  <si>
    <t>5.4</t>
  </si>
  <si>
    <t>Đổ bê tông bản quá độ C25 &amp; đắp K98 đường đầu cầu (2 bản)</t>
  </si>
  <si>
    <t>Bản</t>
  </si>
  <si>
    <t>Máy xúc PC200 + Lu rung</t>
  </si>
  <si>
    <t>5.5</t>
  </si>
  <si>
    <t>Lắp khe co giãn răng lược thép &amp; ống thoát nước PVC (2 bộ)</t>
  </si>
  <si>
    <t>Bộ</t>
  </si>
  <si>
    <t>Máy phát hàn + Cẩu nhẹ</t>
  </si>
  <si>
    <t>5.6</t>
  </si>
  <si>
    <t>Đổ bê tông gờ lan can C25 &amp; lắp dựng tay vịn thép (260.8 m)</t>
  </si>
  <si>
    <t>Xe bồn 9m3 + Máy phát hàn</t>
  </si>
  <si>
    <t>5.7</t>
  </si>
  <si>
    <t>Chống thấm &amp; thảm bê tông nhựa C16 mặt cầu dày 7cm (1,620 m2)</t>
  </si>
  <si>
    <t>Xe tưới nhựa + Máy rải Vogele</t>
  </si>
  <si>
    <t>5.8</t>
  </si>
  <si>
    <t>Thử tải kiểm định động học &amp; nghiệm thu thông xe hoàn thành</t>
  </si>
  <si>
    <t>Đoàn xe thử tải 3 trục 30T</t>
  </si>
  <si>
    <t>TỔNG CHI PHÍ TRỰC TIẾP (T) CẦU KM19+529.080</t>
  </si>
  <si>
    <t>Chi phí gián tiếp (GT = 7.3% * T)</t>
  </si>
  <si>
    <t>Thu nhập chịu thuế tính trước (TL = 5.5% * (T + GT))</t>
  </si>
  <si>
    <t>Thuế giá trị gia tăng (VAT = 10% * (T + GT + TL))</t>
  </si>
  <si>
    <t>TỔNG DỰ TOÁN XÂY LẮP G_XD CẦU KM19+529.080 (SAU THUẾ)</t>
  </si>
  <si>
    <t>• HỆ THỐNG QUẢN LÝ TIẾN ĐỘ THI CÔNG &amp; MẠNG CPM TỰ ĐỘNG – 23HG SYSTEM</t>
  </si>
  <si>
    <t>DỰ ÁN: CAO TỐC TUYÊN QUANG - HÀ GIANG (GÓI 09-XL) — CẦU KM19+529.080 (3 NHỊP DẦM SUPER-T L=38.2M)</t>
  </si>
  <si>
    <t>BẮT ĐẦU:</t>
  </si>
  <si>
    <t>KẾT THÚC:</t>
  </si>
  <si>
    <t>Ngày kiểm soát (Data Date):</t>
  </si>
  <si>
    <t>Lịch thi công:</t>
  </si>
  <si>
    <t>6 ngày/tuần (Nghỉ CN &amp; Lễ)</t>
  </si>
  <si>
    <t>Chế độ CPM:</t>
  </si>
  <si>
    <t>Tự động (Forward/Backward Pass)</t>
  </si>
  <si>
    <t>Nội Dung Hạng Mục Công Việc</t>
  </si>
  <si>
    <t>Loại</t>
  </si>
  <si>
    <t>Công Tác Tiền Nhiệm (Predecessors)</t>
  </si>
  <si>
    <t>Thời Lượng (Work Days)</t>
  </si>
  <si>
    <t>Hệ Số Mưa K_tt</t>
  </si>
  <si>
    <t>Khởi Công (ES)</t>
  </si>
  <si>
    <t>Hoàn Thành (EF)</t>
  </si>
  <si>
    <t>Ngày Lịch (Cal Days)</t>
  </si>
  <si>
    <t>Dự Trữ TF</t>
  </si>
  <si>
    <t>Đường Găng</t>
  </si>
  <si>
    <t>% Hoàn Thành (Tại Data Date)</t>
  </si>
  <si>
    <t>T10/W1</t>
  </si>
  <si>
    <t>T10/W2</t>
  </si>
  <si>
    <t>T10/W3</t>
  </si>
  <si>
    <t>T10/W4</t>
  </si>
  <si>
    <t>T10/W5</t>
  </si>
  <si>
    <t>T11/W1</t>
  </si>
  <si>
    <t>T11/W2</t>
  </si>
  <si>
    <t>T11/W3</t>
  </si>
  <si>
    <t>T11/W4</t>
  </si>
  <si>
    <t>T12/W1</t>
  </si>
  <si>
    <t>T12/W2</t>
  </si>
  <si>
    <t>T12/W3</t>
  </si>
  <si>
    <t>T12/W4</t>
  </si>
  <si>
    <t>T12/W5</t>
  </si>
  <si>
    <t>T01/W1</t>
  </si>
  <si>
    <t>T01/W2</t>
  </si>
  <si>
    <t>T01/W3</t>
  </si>
  <si>
    <t>T01/W4</t>
  </si>
  <si>
    <t>T02/W1</t>
  </si>
  <si>
    <t>T02/W2</t>
  </si>
  <si>
    <t>T02/W3</t>
  </si>
  <si>
    <t>T02/W4</t>
  </si>
  <si>
    <t>T03/W1</t>
  </si>
  <si>
    <t>T03/W2</t>
  </si>
  <si>
    <t>T03/W3</t>
  </si>
  <si>
    <t>1</t>
  </si>
  <si>
    <t>CÔNG TÁC CHUẨN BỊ &amp; PHỤ TRỢ THI CÔNG CÔNG TRƯỜNG</t>
  </si>
  <si>
    <t>Summary</t>
  </si>
  <si>
    <t>GANG</t>
  </si>
  <si>
    <t xml:space="preserve">   Bàn giao tim mốc VN2000 &amp; định vị mố trụ cầu</t>
  </si>
  <si>
    <t>Task</t>
  </si>
  <si>
    <t xml:space="preserve">   Rà phá bom mìn, dọn dẹp mặt bằng &amp; dựng lán trại</t>
  </si>
  <si>
    <t>1.1FS</t>
  </si>
  <si>
    <t xml:space="preserve">   Thi công đường công vụ nhánh 6 &amp; 6A tiếp cận mố trụ</t>
  </si>
  <si>
    <t>1.2FS</t>
  </si>
  <si>
    <t xml:space="preserve">   Xây dựng bãi đúc dầm Super-T, bệ đúc &amp; trạm trộn 60m3/h</t>
  </si>
  <si>
    <t>1.3SS+3</t>
  </si>
  <si>
    <t>2</t>
  </si>
  <si>
    <t>THI CÔNG CỌC KHOAN NHỒI D1200MM (26 CỌC TOÀN CẦU)</t>
  </si>
  <si>
    <t xml:space="preserve">   Khoan thăm dò hang Karst sâu 5m vào đá liền khối (26 lỗ)</t>
  </si>
  <si>
    <t>1.3FS</t>
  </si>
  <si>
    <t xml:space="preserve">   Khoan cọc nhồi D1200 Mố M1 (3 cọc L=20m) &amp; đổ BT C30</t>
  </si>
  <si>
    <t>2.1FS</t>
  </si>
  <si>
    <t xml:space="preserve">   Khoan cọc nhồi D1200 Trụ T1 (8 cọc L=40m) &amp; đổ BT C30</t>
  </si>
  <si>
    <t>2.2SS+3</t>
  </si>
  <si>
    <t xml:space="preserve">   Khoan cọc nhồi D1200 Trụ T2 (8 cọc L=30m) &amp; đổ BT C30</t>
  </si>
  <si>
    <t>2.3SS+6</t>
  </si>
  <si>
    <t xml:space="preserve">   Khoan cọc nhồi D1200 Mố M2 (7 cọc L=36m) &amp; đổ BT C30</t>
  </si>
  <si>
    <t>2.4SS+5</t>
  </si>
  <si>
    <t xml:space="preserve">   Thí nghiệm siêu âm 156 mặt cắt cọc, PDA &amp; nén tĩnh</t>
  </si>
  <si>
    <t>2.5FS</t>
  </si>
  <si>
    <t>3</t>
  </si>
  <si>
    <t>KẾT CẤU PHẦN DƯỚI (MỐ M1, M2 &amp; TRỤ T1, T2 ĐÃ TÁCH BẠCH)</t>
  </si>
  <si>
    <t xml:space="preserve">   Đào hố móng ngàm đá, đập đầu 26 cọc &amp; đổ BT lót C10 (42.15 m3)</t>
  </si>
  <si>
    <t>2.6FS</t>
  </si>
  <si>
    <t xml:space="preserve">   Cốt thép, ván khuôn &amp; đổ bê tông bệ móng mố M1, M2 (173.2 m3)</t>
  </si>
  <si>
    <t>3.1FS</t>
  </si>
  <si>
    <t xml:space="preserve">      Cốt thép, ván khuôn &amp; đổ BT bệ trụ T1 (11.6x8.0x2.0m Zero-vát, 184.2 m3)</t>
  </si>
  <si>
    <t>3.1FS+2</t>
  </si>
  <si>
    <t xml:space="preserve">      Cốt thép, ván khuôn &amp; đổ BT bệ trụ T2 (11.6x8.0x2.0m Zero-vát, 184.2 m3)</t>
  </si>
  <si>
    <t>3.3.1SS+4</t>
  </si>
  <si>
    <t xml:space="preserve">      Thi công thân đặc trụ T1 (H=23.35m, 3 đốt vát, 234.9 m3)</t>
  </si>
  <si>
    <t>3.3.1FS</t>
  </si>
  <si>
    <t xml:space="preserve">      Thi công thân đặc trụ T2 (H=25.45m, 3 đốt vát, 266.8 m3)</t>
  </si>
  <si>
    <t>3.3.2FS</t>
  </si>
  <si>
    <t xml:space="preserve">   Thi công thân mố chân dê M1 &amp; mố chữ U M2 BT C30 (138.4 m3)</t>
  </si>
  <si>
    <t>3.2FS+1</t>
  </si>
  <si>
    <t xml:space="preserve">      Thi công xà mũ trụ T1, đá kê gối &amp; ụ chống xô (128.9 m3)</t>
  </si>
  <si>
    <t>3.4.1FS</t>
  </si>
  <si>
    <t xml:space="preserve">      Thi công xà mũ trụ T2, đá kê gối &amp; ụ chống xô (145.0 m3)</t>
  </si>
  <si>
    <t>3.4.2FS</t>
  </si>
  <si>
    <t>4</t>
  </si>
  <si>
    <t>CHẾ TẠO &amp; LAO LẮP DẦM SUPER-T L=38.2M (15 PHIẾN)</t>
  </si>
  <si>
    <t xml:space="preserve">   Cốt thép, luồn cáp DUL 15 phiến dầm Super-T tại bãi đúc (15 phiến)</t>
  </si>
  <si>
    <t>1.4FS+25</t>
  </si>
  <si>
    <t xml:space="preserve">   Đổ bê tông C45 15 phiến dầm Super-T L=38.2m bãi đúc (434.8 m3)</t>
  </si>
  <si>
    <t>4.1SS+18</t>
  </si>
  <si>
    <t xml:space="preserve">   Căng kéo cáp DUL 15.2mm &amp; bơm vữa ống gen dầm (15 phiến)</t>
  </si>
  <si>
    <t>4.2FS</t>
  </si>
  <si>
    <t xml:space="preserve">   Lắp đặt 30 gối chậu cao su đơn/song hướng mố trụ (30 cái)</t>
  </si>
  <si>
    <t>3.6.1FS, 3.6.2FS</t>
  </si>
  <si>
    <t xml:space="preserve">   Lắp đường ray P43, vận chuyển &amp; lao lắp 15 dầm Super-T (15 phiến)</t>
  </si>
  <si>
    <t>4.3FS, 4.4FS</t>
  </si>
  <si>
    <t>5</t>
  </si>
  <si>
    <t>BẢN MẶT CẦU &amp; HOÀN THIỆN TOÀN CẦU</t>
  </si>
  <si>
    <t xml:space="preserve">   Đổ bê tông dầm ngang mố trụ &amp; bản liên tục nhiệt C35 (78.5 m3)</t>
  </si>
  <si>
    <t>4.5FS</t>
  </si>
  <si>
    <t xml:space="preserve">   Lắp 510 tấm ván khuôn đúc sẵn &amp; cốt thép bản mặt cầu (510 tấm)</t>
  </si>
  <si>
    <t>5.1FS</t>
  </si>
  <si>
    <t xml:space="preserve">   Đổ bê tông bản mặt cầu tại chỗ C35 (dày 180mm, 235.6 m3)</t>
  </si>
  <si>
    <t>5.2FS</t>
  </si>
  <si>
    <t xml:space="preserve">   Đổ bê tông bản quá độ C25 &amp; đắp K98 đường đầu cầu (2 bản)</t>
  </si>
  <si>
    <t>5.3SS+2, 3.5FS+20</t>
  </si>
  <si>
    <t xml:space="preserve">   Lắp khe co giãn răng lược thép &amp; ống thoát nước PVC (2 bộ)</t>
  </si>
  <si>
    <t>5.3FS+1</t>
  </si>
  <si>
    <t xml:space="preserve">   Đổ bê tông gờ lan can C25 &amp; lắp dựng tay vịn thép (260.8 m)</t>
  </si>
  <si>
    <t xml:space="preserve">   Chống thấm &amp; thảm bê tông nhựa C16 mặt cầu dày 7cm (1,620 m2)</t>
  </si>
  <si>
    <t>5.5FS, 5.6FS</t>
  </si>
  <si>
    <t xml:space="preserve">   NGHIỆM THU HOÀN THÀNH CÔNG TRÌNH BÀN GIAO THÔNG XE CẦU KM19</t>
  </si>
  <si>
    <t>Milestone</t>
  </si>
  <si>
    <t>5.7FS</t>
  </si>
  <si>
    <t>HỆ THỐNG QUẢN TRỊ GIÁ TRỊ THU ĐƯỢC (EVM 5D) &amp; ĐƯỜNG CƠ SỞ BASELINE CẦU KM19+529.080</t>
  </si>
  <si>
    <t>Kiểm soát Tiến độ - Chi phí (PV, EV, AC, SV, CV, SPI, CPI) theo chuẩn PMI &amp; Nghị định 206/2026/NĐ-CP</t>
  </si>
  <si>
    <t>CHỈ SỐ QUẢN TRỊ</t>
  </si>
  <si>
    <t>GIÁ TRỊ TÍNH TOÁN</t>
  </si>
  <si>
    <t>GIẢI NGHĨA KỸ THUẬT &amp; QUẢN TRỊ 5D</t>
  </si>
  <si>
    <t>TỔNG DỰ TOÁN (BAC)</t>
  </si>
  <si>
    <t>Tổng dự toán xây lắp G_XD phê duyệt sau thuế</t>
  </si>
  <si>
    <t>KẾ HOẠCH TÍCH LŨY (PV)</t>
  </si>
  <si>
    <t>Giá trị công việc theo kế hoạch tại Data Date 15/12/2026</t>
  </si>
  <si>
    <t>GIÁ TRỊ ĐẠT ĐƯỢC (EV)</t>
  </si>
  <si>
    <t>Khối lượng thực tế hoàn thành đã nghiệm thu KCS</t>
  </si>
  <si>
    <t>CHI PHÍ THỰC TẾ (AC)</t>
  </si>
  <si>
    <t>Tổng chi phí vật tư, nhân công, ca máy đã giải ngân</t>
  </si>
  <si>
    <t>CHÊNH LỆCH TIẾN ĐỘ (SV = EV - PV)</t>
  </si>
  <si>
    <t>Giá trị dương: Tiến độ thi công đang vượt trước kế hoạch</t>
  </si>
  <si>
    <t>CHÊNH LỆCH CHI PHÍ (CV = EV - AC)</t>
  </si>
  <si>
    <t>Giá trị dương: Tiết kiệm chi phí, không vượt ngân sách</t>
  </si>
  <si>
    <t>CHỈ SỐ HIỆU SUẤT TIẾN ĐỘ (SPI = EV/PV)</t>
  </si>
  <si>
    <t>SPI &gt;= 1.0: Đạt và vượt tiến độ yêu cầu</t>
  </si>
  <si>
    <t>CHỈ SỐ HIỆU SUẤT CHI PHÍ (CPI = EV/AC)</t>
  </si>
  <si>
    <t>CPI &gt;= 1.0: Quản trị chi phí đạt hiệu quả cao</t>
  </si>
  <si>
    <t>DỰ BÁO HOÀN THÀNH (EAC = BAC/CPI)</t>
  </si>
  <si>
    <t>Dự báo tổng chi phí khi hoàn thành công trình</t>
  </si>
  <si>
    <t>CHI PHÍ CÒN LẠI (ETC = EAC - AC)</t>
  </si>
  <si>
    <t>Dự toán chi phí cần thiết để thi công nốt phần còn lại</t>
  </si>
  <si>
    <t>CHÊNH LỆCH KHI XONG (VAC = BAC - EAC)</t>
  </si>
  <si>
    <t>Giá trị dương: Dự kiến hoàn thành dưới ngân sách</t>
  </si>
  <si>
    <t>KẾ HOẠCH HUY ĐỘNG &amp; CÂN BẰNG TÀI NGUYÊN XE MÁY THIẾT BỊ CẦU KM19+529.080</t>
  </si>
  <si>
    <t>Kiểm soát đỉnh tải thiết bị - Khớp năng suất định mức ca máy theo Thông tư 38/2026/TT-BXD</t>
  </si>
  <si>
    <t>Mã</t>
  </si>
  <si>
    <t>Chủng Loại Xe Máy Thiết Bị</t>
  </si>
  <si>
    <t>Định Mức Dầu</t>
  </si>
  <si>
    <t>T10/26</t>
  </si>
  <si>
    <t>T11/26</t>
  </si>
  <si>
    <t>T12/26</t>
  </si>
  <si>
    <t>T01/27</t>
  </si>
  <si>
    <t>T02/27</t>
  </si>
  <si>
    <t>T03/27</t>
  </si>
  <si>
    <t>Tổng Ca Máy</t>
  </si>
  <si>
    <t>Tổng Nhiên Liệu (Lít)</t>
  </si>
  <si>
    <t>Máy khoan cọc nhồi D1200 Bauer BG25</t>
  </si>
  <si>
    <t>Cần cẩu bánh xích 50T Kobelco CKE500</t>
  </si>
  <si>
    <t>Cần cẩu bánh lốp 25T Kato KR250</t>
  </si>
  <si>
    <t>Máy đào bánh xích 1.25m3 Komatsu PC200</t>
  </si>
  <si>
    <t>Ô tô tự đổ 15 tấn Howo 371HP</t>
  </si>
  <si>
    <t>Xe bồn vận chuyển bê tông 9m3</t>
  </si>
  <si>
    <t>Xe bơm bê tông cần 42m Putzmeister</t>
  </si>
  <si>
    <t>Máy nén khí 7.5m3/phút Airman PDS265</t>
  </si>
  <si>
    <t>Máy phát hàn điện 500A Denyo 500A</t>
  </si>
  <si>
    <t>Trạm trộn BTXM 60m3/h Sicoma</t>
  </si>
  <si>
    <t>Giá lao dầm Super-T 78.88T ray P43</t>
  </si>
  <si>
    <t>Máy lu rung 14-25T Hamm 3411</t>
  </si>
  <si>
    <t>Xe téc cấp dầu lưu động 9m3</t>
  </si>
  <si>
    <t>Máy phát điện 3 pha công nghiệp 250kVA</t>
  </si>
  <si>
    <t>TỔNG CỘNG TOÀN CÔNG TRƯỜNG CẦU KM19</t>
  </si>
  <si>
    <t>KẾ HOẠCH DÒNG TIỀN &amp; TIẾN ĐỘ GIẢI NGÂN (S-CURVE TÀI CHÍNH) CẦU KM19+529.080</t>
  </si>
  <si>
    <t>Tuân thủ Nghị định 206/2026/NĐ-CP: Tạm ứng 20%, thu hồi tạm ứng theo lũy tiến, bảo hành 5%</t>
  </si>
  <si>
    <t>Kỳ TT</t>
  </si>
  <si>
    <t>Nội Dung Nghiệm Thu Trọng Tâm Cầu Km19</t>
  </si>
  <si>
    <t>Giá Trị Hoàn Thành (VNĐ)</t>
  </si>
  <si>
    <t>Khấu Trừ Tạm Ứng (VNĐ)</t>
  </si>
  <si>
    <t>Giữ Lại Bảo Hành 5% (VNĐ)</t>
  </si>
  <si>
    <t>Thực Nhận Kỳ Này (VNĐ)</t>
  </si>
  <si>
    <t>T10/2026</t>
  </si>
  <si>
    <t>TẠM ỨNG HỢP ĐỒNG 20% (Theo Nghị định 206/2026/NĐ-CP)</t>
  </si>
  <si>
    <t>T11/2026</t>
  </si>
  <si>
    <t>Nghiệm thu chuẩn bị, đường công vụ &amp; cọc M1, T1</t>
  </si>
  <si>
    <t>T12/2026</t>
  </si>
  <si>
    <t>Nghiệm thu cọc T2, M2 &amp; bệ mố trụ M1, M2, T1, T2</t>
  </si>
  <si>
    <t>T01/2027</t>
  </si>
  <si>
    <t>Nghiệm thu thân trụ T1, T2, xà mũ &amp; đúc 15 dầm Super-T</t>
  </si>
  <si>
    <t>T02/2027</t>
  </si>
  <si>
    <t>Nghiệm thu lao dầm, dầm ngang, bản mặt cầu C35</t>
  </si>
  <si>
    <t>T03/2027</t>
  </si>
  <si>
    <t>Nghiệm thu bản quá độ, gờ lan can, thảm BTN &amp; bàn giao</t>
  </si>
  <si>
    <t>TỔNG CỘNG GIÁ TRỊ GIẢI NGÂN</t>
  </si>
  <si>
    <t>KẾ HOẠCH NGHIỆM THU &amp; QUẢN LÝ CHẤT LƯỢNG (AEC-QLCL) CẦU KM19+529.080 – 23HG SYSTEM</t>
  </si>
  <si>
    <t>Tuân thủ Luật Xây dựng 135/2025/QH15, Nghị định 207/2026/NĐ-CP &amp; Thông tư 32/2026/TT-BXD</t>
  </si>
  <si>
    <t>Mã Biên Bản</t>
  </si>
  <si>
    <t>Tên Công Việc Nghiệm Thu (NĐ 207/2026/NĐ-CP)</t>
  </si>
  <si>
    <t>Cấu Kiện / Bộ Phận Công Trình</t>
  </si>
  <si>
    <t>Ngày Bắt Đầu</t>
  </si>
  <si>
    <t>Ngày Hoàn Thành</t>
  </si>
  <si>
    <t>Quy Chuẩn / Tiêu Chuẩn Áp Dụng</t>
  </si>
  <si>
    <t>Hồ Sơ &amp; Chứng Chỉ Đính Kèm</t>
  </si>
  <si>
    <t>NT-01</t>
  </si>
  <si>
    <t>Nghiệm thu tim mốc định vị &amp; mặt bằng thi công mố trụ</t>
  </si>
  <si>
    <t>Toàn cầu (WBS 1.1 - 1.2)</t>
  </si>
  <si>
    <t>TCVN 9394:2012</t>
  </si>
  <si>
    <t>Biên bản bàn giao mốc mạ vàng VN2000</t>
  </si>
  <si>
    <t>NT-02</t>
  </si>
  <si>
    <t>Nghiệm thu lỗ khoan thăm dò địa chất hang Karst</t>
  </si>
  <si>
    <t>26 vị trí cọc (WBS 2.1)</t>
  </si>
  <si>
    <t>TCVN 9361:2012</t>
  </si>
  <si>
    <t>Hình trụ hố khoan, mẫu đá lõi ngậm</t>
  </si>
  <si>
    <t>NT-03</t>
  </si>
  <si>
    <t>Nghiệm thu thổi rửa hố khoan &amp; lồng thép cọc D1200 M1, T1</t>
  </si>
  <si>
    <t>Cọc M1 (3 cọc) &amp; T1 (8 cọc)</t>
  </si>
  <si>
    <t>TCVN 10304:2014</t>
  </si>
  <si>
    <t>Chứng chỉ thép CB400, phiếu đo mùn lắng</t>
  </si>
  <si>
    <t>NT-04</t>
  </si>
  <si>
    <t>Nghiệm thu bê tông cọc khoan nhồi D1200 Trụ T2, M2</t>
  </si>
  <si>
    <t>Cọc T2 (8 cọc) &amp; M2 (7 cọc)</t>
  </si>
  <si>
    <t>Phiếu xuất xưởng BT C30, tổ mẫu R28</t>
  </si>
  <si>
    <t>NT-05</t>
  </si>
  <si>
    <t>Nghiệm thu toàn diện chất lượng cọc nhồi (Siêu âm + PDA)</t>
  </si>
  <si>
    <t>Toàn bộ 26 cọc nhồi (WBS 2.6)</t>
  </si>
  <si>
    <t>ASTM D4945 / TCVN</t>
  </si>
  <si>
    <t>Biểu đồ biến dạng sóng PDA, sóng siêu âm</t>
  </si>
  <si>
    <t>NT-06</t>
  </si>
  <si>
    <t>Nghiệm thu đào ngàm đá hố móng &amp; đổ bê tông lót C10</t>
  </si>
  <si>
    <t>Bệ mố M1, M2 &amp; Trụ T1, T2</t>
  </si>
  <si>
    <t>TCVN 4447:2012</t>
  </si>
  <si>
    <t>Biên bản ngàm đá vôi 0.5m, cao độ đáy</t>
  </si>
  <si>
    <t>NT-07</t>
  </si>
  <si>
    <t>Nghiệm thu cốt thép &amp; ván khuôn bệ trụ T1 (11.6x8.0x2.0m)</t>
  </si>
  <si>
    <t>Bệ trụ T1 (Zero-vát, 184.2 m3)</t>
  </si>
  <si>
    <t>TCVN 4453:1995</t>
  </si>
  <si>
    <t>Biên bản nghiệm thu Zero-vát bệ T1</t>
  </si>
  <si>
    <t>NT-08</t>
  </si>
  <si>
    <t>Nghiệm thu cốt thép &amp; ván khuôn bệ trụ T2 (11.6x8.0x2.0m)</t>
  </si>
  <si>
    <t>Bệ trụ T2 (Zero-vát, 184.2 m3)</t>
  </si>
  <si>
    <t>Biên bản nghiệm thu Zero-vát bệ T2</t>
  </si>
  <si>
    <t>NT-09</t>
  </si>
  <si>
    <t>Nghiệm thu đổ bê tông C30 thân trụ T1 (H=23.35m, 3 đốt vát)</t>
  </si>
  <si>
    <t>Thân đặc trụ T1 (WBS 3.4.1)</t>
  </si>
  <si>
    <t>Kiểm tra độ thẳng đứng quả dọi laser</t>
  </si>
  <si>
    <t>NT-10</t>
  </si>
  <si>
    <t>Nghiệm thu đổ bê tông C30 thân trụ T2 (H=25.45m, 3 đốt vát)</t>
  </si>
  <si>
    <t>Thân đặc trụ T2 (WBS 3.4.2)</t>
  </si>
  <si>
    <t>NT-11</t>
  </si>
  <si>
    <t>Nghiệm thu xà mũ trụ T1, T2 &amp; đá kê gối cao su</t>
  </si>
  <si>
    <t>Đỉnh trụ T1, T2 (WBS 3.6)</t>
  </si>
  <si>
    <t>Cao độ đá kê sai số &lt;= 2mm</t>
  </si>
  <si>
    <t>NT-12</t>
  </si>
  <si>
    <t>Nghiệm thu cốt thép, luồn cáp &amp; đổ BT C45 15 dầm Super-T</t>
  </si>
  <si>
    <t>Bãi đúc dầm hiện trường</t>
  </si>
  <si>
    <t>TCVN 9114:2012</t>
  </si>
  <si>
    <t>Cáp DUL 15.2mm, chứng chỉ xuất xưởng</t>
  </si>
  <si>
    <t>NT-13</t>
  </si>
  <si>
    <t>Nghiệm thu căng kéo cáp DUL &amp; bơm vữa không co ống gen</t>
  </si>
  <si>
    <t>15 phiến dầm Super-T (WBS 4.3)</t>
  </si>
  <si>
    <t>Độ dãn dài cáp, áp lực bơm vữa Sika</t>
  </si>
  <si>
    <t>NT-14</t>
  </si>
  <si>
    <t>Nghiệm thu lắp đặt 30 gối chậu cao su &amp; lao dầm Super-T</t>
  </si>
  <si>
    <t>3 nhịp cầu 38.2m (WBS 4.4-4.5)</t>
  </si>
  <si>
    <t>TCVN 10268:2014</t>
  </si>
  <si>
    <t>Kiểm tra tim gối, độ tiếp xúc mặt đáy</t>
  </si>
  <si>
    <t>NT-15</t>
  </si>
  <si>
    <t>Nghiệm thu dầm ngang, bản liên tục nhiệt &amp; bản mặt cầu C35</t>
  </si>
  <si>
    <t>Mặt cầu 118.2m (WBS 5.1-5.3)</t>
  </si>
  <si>
    <t>TCVN 3105 / TCVN 4453</t>
  </si>
  <si>
    <t>Phiếu kiểm tra độ võng, chiều dày 18cm</t>
  </si>
  <si>
    <t>NT-16</t>
  </si>
  <si>
    <t>Nghiệm thu lớp chống thấm &amp; thảm bê tông nhựa C16 dày 7cm</t>
  </si>
  <si>
    <t>Mặt cầu Cầu Km19 (WBS 5.7)</t>
  </si>
  <si>
    <t>TCVN 8819:2011</t>
  </si>
  <si>
    <t>Độ nhám, độ bằng phẳng thước 3m</t>
  </si>
  <si>
    <t>NT-17</t>
  </si>
  <si>
    <t>Nghiệm thu hoàn thành công trình bàn giao đưa vào sử dụng</t>
  </si>
  <si>
    <t>Toàn bộ công trình Cầu Km19</t>
  </si>
  <si>
    <t>NĐ 207/2026/NĐ-CP</t>
  </si>
  <si>
    <t>Trọn bộ hồ sơ hoàn công &amp; biên bản tổng</t>
  </si>
  <si>
    <t>CẨM NANG VẬN HÀNH HỆ THỐNG TIẾN ĐỘ THI CÔNG 23HG SCHEDULE ASSISTANT PRO</t>
  </si>
  <si>
    <t>Tác giả: NBT (Nguyễn Bảo Tú) | GitHub: @baotuhg | 23HG SYSTEM</t>
  </si>
  <si>
    <t>1. QUY ƯỚC LỊCH LÀM VIỆC &amp; CPM TỰ ĐỘNG:</t>
  </si>
  <si>
    <t xml:space="preserve">   - Toàn bộ mạng tiến độ được tính toán bằng động cơ CPM chuẩn (Forward Pass &amp; Backward Pass).</t>
  </si>
  <si>
    <t xml:space="preserve">   - Lịch làm việc công trường: 6 ngày/tuần (Thứ 2 đến Thứ 7; nghỉ Chủ nhật và các ngày Tết theo quy định).</t>
  </si>
  <si>
    <t xml:space="preserve">   - Công thức tính: EF = WORKDAY.INTL(ES, Thời_lượng - 1, '0000001', NGAY_NGHI_LE).</t>
  </si>
  <si>
    <t xml:space="preserve">   - Đường găng (GANG): Được xác định khi Dự trữ toàn phần TF (Total Float) &lt;= 0. Màu đỏ nổi bật trên Gantt Canvas.</t>
  </si>
  <si>
    <t>2. CẤU TRÚC PHÂN CẤP CẦU KM19+529.080 (3 NHỊP SUPER-T L=38.2M):</t>
  </si>
  <si>
    <t xml:space="preserve">   - WBS 1: Chuẩn bị mặt bằng, đường công vụ nhánh 6 &amp; 6A, bãi đúc dầm và trạm trộn BTXM 60m3/h.</t>
  </si>
  <si>
    <t xml:space="preserve">   - WBS 2: Khoan cọc nhồi D1200mm (26 cọc, khoan đá ngàm hang Karst sâu 5m, siêu âm 156 mặt cắt cọc &amp; PDA).</t>
  </si>
  <si>
    <t xml:space="preserve">   - WBS 3: Kết cấu phần dưới (Đã tách riêng Trụ T1, T2; bệ trụ 11.6x8.0x2.0m Zero-vát; thân trụ 3 đốt có vát).</t>
  </si>
  <si>
    <t xml:space="preserve">   - WBS 4: Chế tạo &amp; Lao lắp 15 phiến dầm Super-T 38.2m tại bãi đúc công trường, căng kéo cáp DUL 15.2mm.</t>
  </si>
  <si>
    <t xml:space="preserve">   - WBS 5: Bản mặt cầu, dầm ngang, bản quá độ, gờ lan can, thảm BTN C16 7cm và hoàn thành thông xe.</t>
  </si>
  <si>
    <t>3. ĐỒNG BỘ 100% CÔNG THỨC SỐNG &amp; HỒ SƠ DOANH NGHIỆP:</t>
  </si>
  <si>
    <t xml:space="preserve">   - Sheet BOQ_TIEN_DO: Chi phí trực tiếp T, gián tiếp GT, thu nhập chịu thuế TL, thuế VAT sống 100%.</t>
  </si>
  <si>
    <t xml:space="preserve">   - Sheet EVM_5D_QUAN_TRI: Tự động tính toán các chỉ số PV, EV, AC, SPI, CPI tại Data Date.</t>
  </si>
  <si>
    <t xml:space="preserve">   - Sheet HUY_DONG_XMTB: Tự động cân bằng ca máy và tiêu thụ dầu diezel cho 14 loại máy móc thiết bị chủ lực.</t>
  </si>
  <si>
    <t xml:space="preserve">   - Sheet KE_HOACH_QLCL: Ngày nghiệm thu liên kết động với ngày hoàn thành công tác trên sheet TIEN_DO.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</si>
</sst>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6" formatCode="0.0%"/>
    <numFmt numFmtId="167" formatCode="0.000"/>
  </numFmts>
  <fonts count="15" x14ac:knownFonts="1">
    <font>
      <sz val="11"/>
      <color theme="1"/>
      <name val="Arial"/>
      <family val="2"/>
      <scheme val="minor"/>
    </font>
    <font>
      <b/>
      <sz val="13"/>
      <color rgb="FF5A3718"/>
      <name val="Segoe UI"/>
    </font>
    <font>
      <i/>
      <sz val="9"/>
      <color rgb="FF6E3812"/>
      <name val="Segoe UI"/>
    </font>
    <font>
      <b/>
      <sz val="10.5"/>
      <color rgb="FF5A3718"/>
      <name val="Segoe UI"/>
    </font>
    <font>
      <b/>
      <sz val="8.5"/>
      <color rgb="FF333333"/>
      <name val="Segoe UI"/>
    </font>
    <font>
      <sz val="9"/>
      <color rgb="FF000000"/>
      <name val="Segoe UI"/>
    </font>
    <font>
      <b/>
      <sz val="8.5"/>
      <color rgb="FF000000"/>
      <name val="Segoe UI"/>
    </font>
    <font>
      <b/>
      <sz val="10"/>
      <color rgb="FF6E3812"/>
      <name val="Segoe UI"/>
    </font>
    <font>
      <b/>
      <sz val="10"/>
      <color rgb="FF5A3718"/>
      <name val="Segoe UI"/>
    </font>
    <font>
      <b/>
      <sz val="11"/>
      <color rgb="FFDC2626"/>
      <name val="Segoe UI"/>
    </font>
    <font>
      <b/>
      <sz val="11"/>
      <color rgb="FFFFFFFF"/>
      <name val="Segoe UI"/>
    </font>
    <font>
      <b/>
      <sz val="9"/>
      <color rgb="FFDC2626"/>
      <name val="Segoe UI"/>
    </font>
    <font>
      <b/>
      <sz val="7.5"/>
      <color rgb="FF555555"/>
      <name val="Segoe UI"/>
    </font>
    <font>
      <b/>
      <sz val="9"/>
      <color rgb="FF1E293B"/>
      <name val="Segoe UI"/>
    </font>
    <font>
      <b/>
      <sz val="10"/>
      <color rgb="FFDC2626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E2D3"/>
        <bgColor rgb="FFEFE2D3"/>
      </patternFill>
    </fill>
    <fill>
      <patternFill patternType="solid">
        <fgColor rgb="FFF7EDE2"/>
        <bgColor rgb="FFF7EDE2"/>
      </patternFill>
    </fill>
    <fill>
      <patternFill patternType="solid">
        <fgColor rgb="FF5A3718"/>
        <bgColor rgb="FF5A3718"/>
      </patternFill>
    </fill>
    <fill>
      <patternFill patternType="solid">
        <fgColor rgb="FFFBF8F5"/>
        <bgColor rgb="FFFBF8F5"/>
      </patternFill>
    </fill>
    <fill>
      <patternFill patternType="solid">
        <fgColor rgb="FFDC2626"/>
        <bgColor rgb="FFDC2626"/>
      </patternFill>
    </fill>
    <fill>
      <patternFill patternType="solid">
        <fgColor rgb="FFD97706"/>
        <bgColor rgb="FFD9770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/>
    <xf numFmtId="3" fontId="8" fillId="2" borderId="1" xfId="0" applyNumberFormat="1" applyFont="1" applyFill="1" applyBorder="1"/>
    <xf numFmtId="0" fontId="5" fillId="0" borderId="1" xfId="0" applyFont="1" applyBorder="1"/>
    <xf numFmtId="3" fontId="0" fillId="0" borderId="1" xfId="0" applyNumberFormat="1" applyBorder="1"/>
    <xf numFmtId="0" fontId="1" fillId="0" borderId="1" xfId="0" applyFont="1" applyBorder="1"/>
    <xf numFmtId="3" fontId="9" fillId="3" borderId="1" xfId="0" applyNumberFormat="1" applyFont="1" applyFill="1" applyBorder="1"/>
    <xf numFmtId="0" fontId="10" fillId="4" borderId="0" xfId="0" applyFont="1" applyFill="1"/>
    <xf numFmtId="0" fontId="6" fillId="0" borderId="0" xfId="0" applyFont="1"/>
    <xf numFmtId="14" fontId="6" fillId="0" borderId="0" xfId="0" applyNumberFormat="1" applyFont="1"/>
    <xf numFmtId="14" fontId="11" fillId="0" borderId="0" xfId="0" applyNumberFormat="1" applyFont="1"/>
    <xf numFmtId="0" fontId="12" fillId="3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14" fontId="13" fillId="5" borderId="1" xfId="0" applyNumberFormat="1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6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right" vertical="center"/>
    </xf>
    <xf numFmtId="0" fontId="0" fillId="6" borderId="1" xfId="0" applyFill="1" applyBorder="1"/>
    <xf numFmtId="0" fontId="0" fillId="7" borderId="1" xfId="0" applyFill="1" applyBorder="1"/>
    <xf numFmtId="0" fontId="4" fillId="2" borderId="0" xfId="0" applyFont="1" applyFill="1"/>
    <xf numFmtId="0" fontId="6" fillId="0" borderId="1" xfId="0" applyFont="1" applyBorder="1"/>
    <xf numFmtId="3" fontId="8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67" fontId="8" fillId="0" borderId="1" xfId="0" applyNumberFormat="1" applyFont="1" applyBorder="1" applyAlignment="1">
      <alignment horizontal="right" vertical="center"/>
    </xf>
    <xf numFmtId="3" fontId="14" fillId="2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4" x14ac:dyDescent="0.3"/>
  <cols>
    <col min="1" max="1" width="8" customWidth="1"/>
    <col min="2" max="2" width="25" customWidth="1"/>
    <col min="3" max="3" width="45" customWidth="1"/>
    <col min="4" max="4" width="16" customWidth="1"/>
    <col min="5" max="5" width="50" customWidth="1"/>
    <col min="6" max="6" width="45" customWidth="1"/>
  </cols>
  <sheetData>
    <row r="1" spans="1:6" ht="20" x14ac:dyDescent="0.55000000000000004">
      <c r="A1" s="1" t="s">
        <v>0</v>
      </c>
    </row>
    <row r="2" spans="1:6" ht="15" x14ac:dyDescent="0.4">
      <c r="A2" s="2" t="s">
        <v>1</v>
      </c>
    </row>
    <row r="4" spans="1:6" ht="17" x14ac:dyDescent="0.5">
      <c r="A4" s="3" t="s">
        <v>2</v>
      </c>
    </row>
    <row r="5" spans="1: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3">
      <c r="A6" s="5">
        <v>1</v>
      </c>
      <c r="B6" s="5" t="s">
        <v>9</v>
      </c>
      <c r="C6" s="6" t="s">
        <v>10</v>
      </c>
      <c r="D6" s="5">
        <v>1</v>
      </c>
      <c r="E6" s="5">
        <v>0</v>
      </c>
      <c r="F6" s="6" t="s">
        <v>11</v>
      </c>
    </row>
    <row r="7" spans="1:6" x14ac:dyDescent="0.3">
      <c r="A7" s="5">
        <v>2</v>
      </c>
      <c r="B7" s="5" t="s">
        <v>12</v>
      </c>
      <c r="C7" s="6" t="s">
        <v>13</v>
      </c>
      <c r="D7" s="5">
        <v>8</v>
      </c>
      <c r="E7" s="5">
        <v>0</v>
      </c>
      <c r="F7" s="6" t="s">
        <v>14</v>
      </c>
    </row>
    <row r="8" spans="1:6" x14ac:dyDescent="0.3">
      <c r="A8" s="5">
        <v>3</v>
      </c>
      <c r="B8" s="5" t="s">
        <v>15</v>
      </c>
      <c r="C8" s="6" t="s">
        <v>16</v>
      </c>
      <c r="D8" s="5">
        <v>24</v>
      </c>
      <c r="E8" s="5">
        <v>0</v>
      </c>
      <c r="F8" s="6" t="s">
        <v>17</v>
      </c>
    </row>
    <row r="11" spans="1:6" ht="17" x14ac:dyDescent="0.5">
      <c r="A11" s="3" t="s">
        <v>18</v>
      </c>
    </row>
    <row r="12" spans="1:6" x14ac:dyDescent="0.3">
      <c r="A12" s="4" t="s">
        <v>3</v>
      </c>
      <c r="B12" s="4" t="s">
        <v>19</v>
      </c>
      <c r="C12" s="4" t="s">
        <v>20</v>
      </c>
      <c r="D12" s="4" t="s">
        <v>7</v>
      </c>
      <c r="E12" s="4" t="s">
        <v>21</v>
      </c>
      <c r="F12" s="4" t="s">
        <v>22</v>
      </c>
    </row>
    <row r="13" spans="1:6" x14ac:dyDescent="0.3">
      <c r="A13" s="5">
        <v>1</v>
      </c>
      <c r="B13" s="5" t="s">
        <v>23</v>
      </c>
      <c r="C13" s="6" t="s">
        <v>24</v>
      </c>
      <c r="D13" s="5">
        <v>1</v>
      </c>
      <c r="E13" s="6" t="s">
        <v>25</v>
      </c>
      <c r="F13" s="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defaultRowHeight="14" x14ac:dyDescent="0.3"/>
  <cols>
    <col min="1" max="1" width="8" customWidth="1"/>
    <col min="2" max="2" width="12" customWidth="1"/>
    <col min="3" max="4" width="32" customWidth="1"/>
    <col min="5" max="6" width="22" customWidth="1"/>
    <col min="7" max="7" width="55" customWidth="1"/>
  </cols>
  <sheetData>
    <row r="1" spans="1:7" ht="20" x14ac:dyDescent="0.55000000000000004">
      <c r="A1" s="1" t="s">
        <v>27</v>
      </c>
    </row>
    <row r="2" spans="1:7" ht="15" x14ac:dyDescent="0.4">
      <c r="A2" s="2" t="s">
        <v>28</v>
      </c>
    </row>
    <row r="4" spans="1:7" x14ac:dyDescent="0.3">
      <c r="A4" s="4" t="s">
        <v>3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</row>
    <row r="5" spans="1:7" x14ac:dyDescent="0.3">
      <c r="A5" s="5">
        <v>1</v>
      </c>
      <c r="B5" s="5" t="s">
        <v>35</v>
      </c>
      <c r="C5" s="6" t="s">
        <v>36</v>
      </c>
      <c r="D5" s="6" t="s">
        <v>37</v>
      </c>
      <c r="E5" s="5">
        <v>145</v>
      </c>
      <c r="F5" s="7" t="s">
        <v>38</v>
      </c>
      <c r="G5" s="6" t="s">
        <v>39</v>
      </c>
    </row>
    <row r="6" spans="1:7" x14ac:dyDescent="0.3">
      <c r="A6" s="5">
        <v>2</v>
      </c>
      <c r="B6" s="5" t="s">
        <v>40</v>
      </c>
      <c r="C6" s="6" t="s">
        <v>41</v>
      </c>
      <c r="D6" s="6" t="s">
        <v>42</v>
      </c>
      <c r="E6" s="5">
        <v>62</v>
      </c>
      <c r="F6" s="7" t="s">
        <v>43</v>
      </c>
      <c r="G6" s="6" t="s">
        <v>44</v>
      </c>
    </row>
    <row r="7" spans="1:7" x14ac:dyDescent="0.3">
      <c r="A7" s="5">
        <v>3</v>
      </c>
      <c r="B7" s="5" t="s">
        <v>45</v>
      </c>
      <c r="C7" s="6" t="s">
        <v>46</v>
      </c>
      <c r="D7" s="6" t="s">
        <v>47</v>
      </c>
      <c r="E7" s="5">
        <v>48</v>
      </c>
      <c r="F7" s="7" t="s">
        <v>48</v>
      </c>
      <c r="G7" s="6" t="s">
        <v>49</v>
      </c>
    </row>
    <row r="8" spans="1:7" x14ac:dyDescent="0.3">
      <c r="A8" s="5">
        <v>4</v>
      </c>
      <c r="B8" s="5" t="s">
        <v>50</v>
      </c>
      <c r="C8" s="6" t="s">
        <v>51</v>
      </c>
      <c r="D8" s="6" t="s">
        <v>52</v>
      </c>
      <c r="E8" s="5">
        <v>68</v>
      </c>
      <c r="F8" s="7" t="s">
        <v>53</v>
      </c>
      <c r="G8" s="6" t="s">
        <v>54</v>
      </c>
    </row>
    <row r="9" spans="1:7" x14ac:dyDescent="0.3">
      <c r="A9" s="5">
        <v>5</v>
      </c>
      <c r="B9" s="5" t="s">
        <v>55</v>
      </c>
      <c r="C9" s="6" t="s">
        <v>56</v>
      </c>
      <c r="D9" s="6" t="s">
        <v>57</v>
      </c>
      <c r="E9" s="5">
        <v>52</v>
      </c>
      <c r="F9" s="7" t="s">
        <v>58</v>
      </c>
      <c r="G9" s="6" t="s">
        <v>59</v>
      </c>
    </row>
    <row r="10" spans="1:7" x14ac:dyDescent="0.3">
      <c r="A10" s="5">
        <v>6</v>
      </c>
      <c r="B10" s="5" t="s">
        <v>60</v>
      </c>
      <c r="C10" s="6" t="s">
        <v>61</v>
      </c>
      <c r="D10" s="6" t="s">
        <v>62</v>
      </c>
      <c r="E10" s="5">
        <v>42</v>
      </c>
      <c r="F10" s="7" t="s">
        <v>63</v>
      </c>
      <c r="G10" s="6" t="s">
        <v>64</v>
      </c>
    </row>
    <row r="11" spans="1:7" x14ac:dyDescent="0.3">
      <c r="A11" s="5">
        <v>7</v>
      </c>
      <c r="B11" s="5" t="s">
        <v>65</v>
      </c>
      <c r="C11" s="6" t="s">
        <v>66</v>
      </c>
      <c r="D11" s="6" t="s">
        <v>67</v>
      </c>
      <c r="E11" s="5">
        <v>46</v>
      </c>
      <c r="F11" s="7" t="s">
        <v>68</v>
      </c>
      <c r="G11" s="6" t="s">
        <v>69</v>
      </c>
    </row>
    <row r="12" spans="1:7" x14ac:dyDescent="0.3">
      <c r="A12" s="5">
        <v>8</v>
      </c>
      <c r="B12" s="5" t="s">
        <v>70</v>
      </c>
      <c r="C12" s="6" t="s">
        <v>71</v>
      </c>
      <c r="D12" s="6" t="s">
        <v>72</v>
      </c>
      <c r="E12" s="5">
        <v>38</v>
      </c>
      <c r="F12" s="7" t="s">
        <v>73</v>
      </c>
      <c r="G12" s="6" t="s">
        <v>74</v>
      </c>
    </row>
    <row r="13" spans="1:7" x14ac:dyDescent="0.3">
      <c r="A13" s="5">
        <v>9</v>
      </c>
      <c r="B13" s="5" t="s">
        <v>75</v>
      </c>
      <c r="C13" s="6" t="s">
        <v>76</v>
      </c>
      <c r="D13" s="6" t="s">
        <v>77</v>
      </c>
      <c r="E13" s="5">
        <v>28</v>
      </c>
      <c r="F13" s="7" t="s">
        <v>78</v>
      </c>
      <c r="G13" s="6" t="s">
        <v>79</v>
      </c>
    </row>
    <row r="14" spans="1:7" x14ac:dyDescent="0.3">
      <c r="A14" s="5">
        <v>10</v>
      </c>
      <c r="B14" s="5" t="s">
        <v>80</v>
      </c>
      <c r="C14" s="6" t="s">
        <v>81</v>
      </c>
      <c r="D14" s="6" t="s">
        <v>82</v>
      </c>
      <c r="E14" s="5">
        <v>58</v>
      </c>
      <c r="F14" s="7" t="s">
        <v>83</v>
      </c>
      <c r="G14" s="6" t="s">
        <v>84</v>
      </c>
    </row>
    <row r="15" spans="1:7" x14ac:dyDescent="0.3">
      <c r="A15" s="5">
        <v>11</v>
      </c>
      <c r="B15" s="5" t="s">
        <v>85</v>
      </c>
      <c r="C15" s="6" t="s">
        <v>86</v>
      </c>
      <c r="D15" s="6" t="s">
        <v>87</v>
      </c>
      <c r="E15" s="5">
        <v>35</v>
      </c>
      <c r="F15" s="7" t="s">
        <v>88</v>
      </c>
      <c r="G15" s="6" t="s">
        <v>89</v>
      </c>
    </row>
    <row r="16" spans="1:7" x14ac:dyDescent="0.3">
      <c r="A16" s="5">
        <v>12</v>
      </c>
      <c r="B16" s="5" t="s">
        <v>90</v>
      </c>
      <c r="C16" s="6" t="s">
        <v>91</v>
      </c>
      <c r="D16" s="6" t="s">
        <v>92</v>
      </c>
      <c r="E16" s="5">
        <v>45</v>
      </c>
      <c r="F16" s="7" t="s">
        <v>93</v>
      </c>
      <c r="G16" s="6" t="s">
        <v>94</v>
      </c>
    </row>
    <row r="17" spans="1:7" x14ac:dyDescent="0.3">
      <c r="A17" s="5">
        <v>13</v>
      </c>
      <c r="B17" s="5" t="s">
        <v>95</v>
      </c>
      <c r="C17" s="6" t="s">
        <v>96</v>
      </c>
      <c r="D17" s="6" t="s">
        <v>97</v>
      </c>
      <c r="E17" s="5">
        <v>44</v>
      </c>
      <c r="F17" s="7" t="s">
        <v>98</v>
      </c>
      <c r="G17" s="6" t="s">
        <v>99</v>
      </c>
    </row>
    <row r="18" spans="1:7" x14ac:dyDescent="0.3">
      <c r="A18" s="5">
        <v>14</v>
      </c>
      <c r="B18" s="5" t="s">
        <v>100</v>
      </c>
      <c r="C18" s="6" t="s">
        <v>101</v>
      </c>
      <c r="D18" s="6" t="s">
        <v>102</v>
      </c>
      <c r="E18" s="5">
        <v>55</v>
      </c>
      <c r="F18" s="7" t="s">
        <v>103</v>
      </c>
      <c r="G18" s="6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/>
  </sheetViews>
  <sheetFormatPr defaultRowHeight="14" x14ac:dyDescent="0.3"/>
  <cols>
    <col min="1" max="1" width="6" customWidth="1"/>
    <col min="2" max="2" width="10" customWidth="1"/>
    <col min="3" max="3" width="52" customWidth="1"/>
    <col min="4" max="4" width="8" customWidth="1"/>
    <col min="5" max="6" width="18" customWidth="1"/>
    <col min="7" max="7" width="24" customWidth="1"/>
    <col min="8" max="8" width="20" customWidth="1"/>
    <col min="9" max="9" width="16" customWidth="1"/>
    <col min="10" max="10" width="30" customWidth="1"/>
  </cols>
  <sheetData>
    <row r="1" spans="1:10" ht="20" x14ac:dyDescent="0.55000000000000004">
      <c r="A1" s="1" t="s">
        <v>105</v>
      </c>
    </row>
    <row r="2" spans="1:10" ht="15" x14ac:dyDescent="0.4">
      <c r="A2" s="2" t="s">
        <v>106</v>
      </c>
    </row>
    <row r="4" spans="1:10" x14ac:dyDescent="0.3">
      <c r="A4" s="4" t="s">
        <v>3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4" t="s">
        <v>113</v>
      </c>
      <c r="I4" s="4" t="s">
        <v>114</v>
      </c>
      <c r="J4" s="4" t="s">
        <v>115</v>
      </c>
    </row>
    <row r="5" spans="1:10" x14ac:dyDescent="0.3">
      <c r="A5" s="5">
        <v>1</v>
      </c>
      <c r="B5" s="5" t="s">
        <v>116</v>
      </c>
      <c r="C5" s="6" t="s">
        <v>117</v>
      </c>
      <c r="D5" s="5" t="s">
        <v>118</v>
      </c>
      <c r="E5" s="8">
        <v>1</v>
      </c>
      <c r="F5" s="9">
        <v>15000000</v>
      </c>
      <c r="G5" s="10">
        <f t="shared" ref="G5:G36" si="0">E5*F5</f>
        <v>15000000</v>
      </c>
      <c r="H5" s="8">
        <v>0.5</v>
      </c>
      <c r="I5" s="11">
        <f t="shared" ref="I5:I36" si="1">ROUNDUP(E5/H5, 1)</f>
        <v>2</v>
      </c>
      <c r="J5" s="6" t="s">
        <v>119</v>
      </c>
    </row>
    <row r="6" spans="1:10" x14ac:dyDescent="0.3">
      <c r="A6" s="5">
        <v>2</v>
      </c>
      <c r="B6" s="5" t="s">
        <v>120</v>
      </c>
      <c r="C6" s="6" t="s">
        <v>121</v>
      </c>
      <c r="D6" s="5" t="s">
        <v>122</v>
      </c>
      <c r="E6" s="8">
        <v>12500</v>
      </c>
      <c r="F6" s="9">
        <v>18500</v>
      </c>
      <c r="G6" s="10">
        <f t="shared" si="0"/>
        <v>231250000</v>
      </c>
      <c r="H6" s="8">
        <v>2500</v>
      </c>
      <c r="I6" s="11">
        <f t="shared" si="1"/>
        <v>5</v>
      </c>
      <c r="J6" s="6" t="s">
        <v>123</v>
      </c>
    </row>
    <row r="7" spans="1:10" x14ac:dyDescent="0.3">
      <c r="A7" s="5">
        <v>3</v>
      </c>
      <c r="B7" s="5" t="s">
        <v>124</v>
      </c>
      <c r="C7" s="6" t="s">
        <v>125</v>
      </c>
      <c r="D7" s="5" t="s">
        <v>126</v>
      </c>
      <c r="E7" s="8">
        <v>1536.5</v>
      </c>
      <c r="F7" s="9">
        <v>95000</v>
      </c>
      <c r="G7" s="10">
        <f t="shared" si="0"/>
        <v>145967500</v>
      </c>
      <c r="H7" s="8">
        <v>170</v>
      </c>
      <c r="I7" s="11">
        <f t="shared" si="1"/>
        <v>9.1</v>
      </c>
      <c r="J7" s="6" t="s">
        <v>127</v>
      </c>
    </row>
    <row r="8" spans="1:10" x14ac:dyDescent="0.3">
      <c r="A8" s="5">
        <v>4</v>
      </c>
      <c r="B8" s="5" t="s">
        <v>128</v>
      </c>
      <c r="C8" s="6" t="s">
        <v>129</v>
      </c>
      <c r="D8" s="5" t="s">
        <v>130</v>
      </c>
      <c r="E8" s="8">
        <v>1</v>
      </c>
      <c r="F8" s="9">
        <v>450000000</v>
      </c>
      <c r="G8" s="10">
        <f t="shared" si="0"/>
        <v>450000000</v>
      </c>
      <c r="H8" s="8">
        <v>0.08</v>
      </c>
      <c r="I8" s="11">
        <f t="shared" si="1"/>
        <v>12.5</v>
      </c>
      <c r="J8" s="6" t="s">
        <v>131</v>
      </c>
    </row>
    <row r="9" spans="1:10" x14ac:dyDescent="0.3">
      <c r="A9" s="5">
        <v>5</v>
      </c>
      <c r="B9" s="5" t="s">
        <v>132</v>
      </c>
      <c r="C9" s="6" t="s">
        <v>133</v>
      </c>
      <c r="D9" s="5" t="s">
        <v>134</v>
      </c>
      <c r="E9" s="8">
        <v>26</v>
      </c>
      <c r="F9" s="9">
        <v>8500000</v>
      </c>
      <c r="G9" s="10">
        <f t="shared" si="0"/>
        <v>221000000</v>
      </c>
      <c r="H9" s="8">
        <v>2.6</v>
      </c>
      <c r="I9" s="11">
        <f t="shared" si="1"/>
        <v>10</v>
      </c>
      <c r="J9" s="6" t="s">
        <v>135</v>
      </c>
    </row>
    <row r="10" spans="1:10" x14ac:dyDescent="0.3">
      <c r="A10" s="5">
        <v>6</v>
      </c>
      <c r="B10" s="5" t="s">
        <v>136</v>
      </c>
      <c r="C10" s="6" t="s">
        <v>137</v>
      </c>
      <c r="D10" s="5" t="s">
        <v>138</v>
      </c>
      <c r="E10" s="8">
        <v>60</v>
      </c>
      <c r="F10" s="9">
        <v>3850000</v>
      </c>
      <c r="G10" s="10">
        <f t="shared" si="0"/>
        <v>231000000</v>
      </c>
      <c r="H10" s="8">
        <v>10</v>
      </c>
      <c r="I10" s="11">
        <f t="shared" si="1"/>
        <v>6</v>
      </c>
      <c r="J10" s="6" t="s">
        <v>139</v>
      </c>
    </row>
    <row r="11" spans="1:10" x14ac:dyDescent="0.3">
      <c r="A11" s="5">
        <v>7</v>
      </c>
      <c r="B11" s="5" t="s">
        <v>140</v>
      </c>
      <c r="C11" s="6" t="s">
        <v>141</v>
      </c>
      <c r="D11" s="5" t="s">
        <v>138</v>
      </c>
      <c r="E11" s="8">
        <v>320</v>
      </c>
      <c r="F11" s="9">
        <v>4200000</v>
      </c>
      <c r="G11" s="10">
        <f t="shared" si="0"/>
        <v>1344000000</v>
      </c>
      <c r="H11" s="8">
        <v>21.3</v>
      </c>
      <c r="I11" s="11">
        <f t="shared" si="1"/>
        <v>15.1</v>
      </c>
      <c r="J11" s="6" t="s">
        <v>142</v>
      </c>
    </row>
    <row r="12" spans="1:10" x14ac:dyDescent="0.3">
      <c r="A12" s="5">
        <v>8</v>
      </c>
      <c r="B12" s="5" t="s">
        <v>143</v>
      </c>
      <c r="C12" s="6" t="s">
        <v>144</v>
      </c>
      <c r="D12" s="5" t="s">
        <v>138</v>
      </c>
      <c r="E12" s="8">
        <v>240</v>
      </c>
      <c r="F12" s="9">
        <v>4150000</v>
      </c>
      <c r="G12" s="10">
        <f t="shared" si="0"/>
        <v>996000000</v>
      </c>
      <c r="H12" s="8">
        <v>18.5</v>
      </c>
      <c r="I12" s="11">
        <f t="shared" si="1"/>
        <v>13</v>
      </c>
      <c r="J12" s="6" t="s">
        <v>142</v>
      </c>
    </row>
    <row r="13" spans="1:10" x14ac:dyDescent="0.3">
      <c r="A13" s="5">
        <v>9</v>
      </c>
      <c r="B13" s="5" t="s">
        <v>145</v>
      </c>
      <c r="C13" s="6" t="s">
        <v>146</v>
      </c>
      <c r="D13" s="5" t="s">
        <v>138</v>
      </c>
      <c r="E13" s="8">
        <v>252</v>
      </c>
      <c r="F13" s="9">
        <v>4100000</v>
      </c>
      <c r="G13" s="10">
        <f t="shared" si="0"/>
        <v>1033200000</v>
      </c>
      <c r="H13" s="8">
        <v>18</v>
      </c>
      <c r="I13" s="11">
        <f t="shared" si="1"/>
        <v>14</v>
      </c>
      <c r="J13" s="6" t="s">
        <v>142</v>
      </c>
    </row>
    <row r="14" spans="1:10" x14ac:dyDescent="0.3">
      <c r="A14" s="5">
        <v>10</v>
      </c>
      <c r="B14" s="5" t="s">
        <v>147</v>
      </c>
      <c r="C14" s="6" t="s">
        <v>148</v>
      </c>
      <c r="D14" s="5" t="s">
        <v>149</v>
      </c>
      <c r="E14" s="8">
        <v>1</v>
      </c>
      <c r="F14" s="9">
        <v>185000000</v>
      </c>
      <c r="G14" s="10">
        <f t="shared" si="0"/>
        <v>185000000</v>
      </c>
      <c r="H14" s="8">
        <v>0.17</v>
      </c>
      <c r="I14" s="11">
        <f t="shared" si="1"/>
        <v>5.8999999999999995</v>
      </c>
      <c r="J14" s="6" t="s">
        <v>150</v>
      </c>
    </row>
    <row r="15" spans="1:10" x14ac:dyDescent="0.3">
      <c r="A15" s="5">
        <v>11</v>
      </c>
      <c r="B15" s="5" t="s">
        <v>151</v>
      </c>
      <c r="C15" s="6" t="s">
        <v>152</v>
      </c>
      <c r="D15" s="5" t="s">
        <v>153</v>
      </c>
      <c r="E15" s="8">
        <v>26</v>
      </c>
      <c r="F15" s="9">
        <v>4500000</v>
      </c>
      <c r="G15" s="10">
        <f t="shared" si="0"/>
        <v>117000000</v>
      </c>
      <c r="H15" s="8">
        <v>4.3</v>
      </c>
      <c r="I15" s="11">
        <f t="shared" si="1"/>
        <v>6.1</v>
      </c>
      <c r="J15" s="6" t="s">
        <v>154</v>
      </c>
    </row>
    <row r="16" spans="1:10" x14ac:dyDescent="0.3">
      <c r="A16" s="5">
        <v>12</v>
      </c>
      <c r="B16" s="5" t="s">
        <v>155</v>
      </c>
      <c r="C16" s="6" t="s">
        <v>156</v>
      </c>
      <c r="D16" s="5" t="s">
        <v>126</v>
      </c>
      <c r="E16" s="8">
        <v>173.2</v>
      </c>
      <c r="F16" s="9">
        <v>2850000</v>
      </c>
      <c r="G16" s="10">
        <f t="shared" si="0"/>
        <v>493619999.99999994</v>
      </c>
      <c r="H16" s="8">
        <v>24.7</v>
      </c>
      <c r="I16" s="11">
        <f t="shared" si="1"/>
        <v>7.1</v>
      </c>
      <c r="J16" s="6" t="s">
        <v>157</v>
      </c>
    </row>
    <row r="17" spans="1:10" x14ac:dyDescent="0.3">
      <c r="A17" s="5">
        <v>13</v>
      </c>
      <c r="B17" s="5" t="s">
        <v>158</v>
      </c>
      <c r="C17" s="6" t="s">
        <v>159</v>
      </c>
      <c r="D17" s="5" t="s">
        <v>126</v>
      </c>
      <c r="E17" s="8">
        <v>184.24299999999999</v>
      </c>
      <c r="F17" s="9">
        <v>2920000</v>
      </c>
      <c r="G17" s="10">
        <f t="shared" si="0"/>
        <v>537989560</v>
      </c>
      <c r="H17" s="8">
        <v>26.3</v>
      </c>
      <c r="I17" s="11">
        <f t="shared" si="1"/>
        <v>7.1</v>
      </c>
      <c r="J17" s="6" t="s">
        <v>160</v>
      </c>
    </row>
    <row r="18" spans="1:10" x14ac:dyDescent="0.3">
      <c r="A18" s="5">
        <v>14</v>
      </c>
      <c r="B18" s="5" t="s">
        <v>161</v>
      </c>
      <c r="C18" s="6" t="s">
        <v>162</v>
      </c>
      <c r="D18" s="5" t="s">
        <v>126</v>
      </c>
      <c r="E18" s="8">
        <v>184.24299999999999</v>
      </c>
      <c r="F18" s="9">
        <v>2920000</v>
      </c>
      <c r="G18" s="10">
        <f t="shared" si="0"/>
        <v>537989560</v>
      </c>
      <c r="H18" s="8">
        <v>26.3</v>
      </c>
      <c r="I18" s="11">
        <f t="shared" si="1"/>
        <v>7.1</v>
      </c>
      <c r="J18" s="6" t="s">
        <v>160</v>
      </c>
    </row>
    <row r="19" spans="1:10" x14ac:dyDescent="0.3">
      <c r="A19" s="5">
        <v>15</v>
      </c>
      <c r="B19" s="5" t="s">
        <v>163</v>
      </c>
      <c r="C19" s="6" t="s">
        <v>164</v>
      </c>
      <c r="D19" s="5" t="s">
        <v>126</v>
      </c>
      <c r="E19" s="8">
        <v>234.922</v>
      </c>
      <c r="F19" s="9">
        <v>3450000</v>
      </c>
      <c r="G19" s="10">
        <f t="shared" si="0"/>
        <v>810480900</v>
      </c>
      <c r="H19" s="8">
        <v>21.4</v>
      </c>
      <c r="I19" s="11">
        <f t="shared" si="1"/>
        <v>11</v>
      </c>
      <c r="J19" s="6" t="s">
        <v>165</v>
      </c>
    </row>
    <row r="20" spans="1:10" x14ac:dyDescent="0.3">
      <c r="A20" s="5">
        <v>16</v>
      </c>
      <c r="B20" s="5" t="s">
        <v>166</v>
      </c>
      <c r="C20" s="6" t="s">
        <v>167</v>
      </c>
      <c r="D20" s="5" t="s">
        <v>126</v>
      </c>
      <c r="E20" s="8">
        <v>266.791</v>
      </c>
      <c r="F20" s="9">
        <v>3450000</v>
      </c>
      <c r="G20" s="10">
        <f t="shared" si="0"/>
        <v>920428950</v>
      </c>
      <c r="H20" s="8">
        <v>22.2</v>
      </c>
      <c r="I20" s="11">
        <f t="shared" si="1"/>
        <v>12.1</v>
      </c>
      <c r="J20" s="6" t="s">
        <v>165</v>
      </c>
    </row>
    <row r="21" spans="1:10" x14ac:dyDescent="0.3">
      <c r="A21" s="5">
        <v>17</v>
      </c>
      <c r="B21" s="5" t="s">
        <v>168</v>
      </c>
      <c r="C21" s="6" t="s">
        <v>169</v>
      </c>
      <c r="D21" s="5" t="s">
        <v>126</v>
      </c>
      <c r="E21" s="8">
        <v>138.4</v>
      </c>
      <c r="F21" s="9">
        <v>3200000</v>
      </c>
      <c r="G21" s="10">
        <f t="shared" si="0"/>
        <v>442880000</v>
      </c>
      <c r="H21" s="8">
        <v>13.8</v>
      </c>
      <c r="I21" s="11">
        <f t="shared" si="1"/>
        <v>10.1</v>
      </c>
      <c r="J21" s="6" t="s">
        <v>170</v>
      </c>
    </row>
    <row r="22" spans="1:10" x14ac:dyDescent="0.3">
      <c r="A22" s="5">
        <v>18</v>
      </c>
      <c r="B22" s="5" t="s">
        <v>171</v>
      </c>
      <c r="C22" s="6" t="s">
        <v>172</v>
      </c>
      <c r="D22" s="5" t="s">
        <v>126</v>
      </c>
      <c r="E22" s="8">
        <v>128.851</v>
      </c>
      <c r="F22" s="9">
        <v>3650000</v>
      </c>
      <c r="G22" s="10">
        <f t="shared" si="0"/>
        <v>470306150</v>
      </c>
      <c r="H22" s="8">
        <v>21.5</v>
      </c>
      <c r="I22" s="11">
        <f t="shared" si="1"/>
        <v>6</v>
      </c>
      <c r="J22" s="6" t="s">
        <v>173</v>
      </c>
    </row>
    <row r="23" spans="1:10" x14ac:dyDescent="0.3">
      <c r="A23" s="5">
        <v>19</v>
      </c>
      <c r="B23" s="5" t="s">
        <v>174</v>
      </c>
      <c r="C23" s="6" t="s">
        <v>175</v>
      </c>
      <c r="D23" s="5" t="s">
        <v>126</v>
      </c>
      <c r="E23" s="8">
        <v>145.02600000000001</v>
      </c>
      <c r="F23" s="9">
        <v>3650000</v>
      </c>
      <c r="G23" s="10">
        <f t="shared" si="0"/>
        <v>529344900.00000006</v>
      </c>
      <c r="H23" s="8">
        <v>20.7</v>
      </c>
      <c r="I23" s="11">
        <f t="shared" si="1"/>
        <v>7.1</v>
      </c>
      <c r="J23" s="6" t="s">
        <v>173</v>
      </c>
    </row>
    <row r="24" spans="1:10" x14ac:dyDescent="0.3">
      <c r="A24" s="5">
        <v>20</v>
      </c>
      <c r="B24" s="5" t="s">
        <v>176</v>
      </c>
      <c r="C24" s="6" t="s">
        <v>177</v>
      </c>
      <c r="D24" s="5" t="s">
        <v>178</v>
      </c>
      <c r="E24" s="8">
        <v>15</v>
      </c>
      <c r="F24" s="9">
        <v>85000000</v>
      </c>
      <c r="G24" s="10">
        <f t="shared" si="0"/>
        <v>1275000000</v>
      </c>
      <c r="H24" s="8">
        <v>0.63</v>
      </c>
      <c r="I24" s="11">
        <f t="shared" si="1"/>
        <v>23.900000000000002</v>
      </c>
      <c r="J24" s="6" t="s">
        <v>179</v>
      </c>
    </row>
    <row r="25" spans="1:10" x14ac:dyDescent="0.3">
      <c r="A25" s="5">
        <v>21</v>
      </c>
      <c r="B25" s="5" t="s">
        <v>180</v>
      </c>
      <c r="C25" s="6" t="s">
        <v>181</v>
      </c>
      <c r="D25" s="5" t="s">
        <v>126</v>
      </c>
      <c r="E25" s="8">
        <v>434.8</v>
      </c>
      <c r="F25" s="9">
        <v>3850000</v>
      </c>
      <c r="G25" s="10">
        <f t="shared" si="0"/>
        <v>1673980000</v>
      </c>
      <c r="H25" s="8">
        <v>24.2</v>
      </c>
      <c r="I25" s="11">
        <f t="shared" si="1"/>
        <v>18</v>
      </c>
      <c r="J25" s="6" t="s">
        <v>182</v>
      </c>
    </row>
    <row r="26" spans="1:10" x14ac:dyDescent="0.3">
      <c r="A26" s="5">
        <v>22</v>
      </c>
      <c r="B26" s="5" t="s">
        <v>183</v>
      </c>
      <c r="C26" s="6" t="s">
        <v>184</v>
      </c>
      <c r="D26" s="5" t="s">
        <v>178</v>
      </c>
      <c r="E26" s="8">
        <v>15</v>
      </c>
      <c r="F26" s="9">
        <v>42000000</v>
      </c>
      <c r="G26" s="10">
        <f t="shared" si="0"/>
        <v>630000000</v>
      </c>
      <c r="H26" s="8">
        <v>1.88</v>
      </c>
      <c r="I26" s="11">
        <f t="shared" si="1"/>
        <v>8</v>
      </c>
      <c r="J26" s="6" t="s">
        <v>185</v>
      </c>
    </row>
    <row r="27" spans="1:10" x14ac:dyDescent="0.3">
      <c r="A27" s="5">
        <v>23</v>
      </c>
      <c r="B27" s="5" t="s">
        <v>186</v>
      </c>
      <c r="C27" s="6" t="s">
        <v>187</v>
      </c>
      <c r="D27" s="5" t="s">
        <v>188</v>
      </c>
      <c r="E27" s="8">
        <v>30</v>
      </c>
      <c r="F27" s="9">
        <v>12500000</v>
      </c>
      <c r="G27" s="10">
        <f t="shared" si="0"/>
        <v>375000000</v>
      </c>
      <c r="H27" s="8">
        <v>7.5</v>
      </c>
      <c r="I27" s="11">
        <f t="shared" si="1"/>
        <v>4</v>
      </c>
      <c r="J27" s="6" t="s">
        <v>189</v>
      </c>
    </row>
    <row r="28" spans="1:10" x14ac:dyDescent="0.3">
      <c r="A28" s="5">
        <v>24</v>
      </c>
      <c r="B28" s="5" t="s">
        <v>190</v>
      </c>
      <c r="C28" s="6" t="s">
        <v>191</v>
      </c>
      <c r="D28" s="5" t="s">
        <v>178</v>
      </c>
      <c r="E28" s="8">
        <v>15</v>
      </c>
      <c r="F28" s="9">
        <v>58000000</v>
      </c>
      <c r="G28" s="10">
        <f t="shared" si="0"/>
        <v>870000000</v>
      </c>
      <c r="H28" s="8">
        <v>2.14</v>
      </c>
      <c r="I28" s="11">
        <f t="shared" si="1"/>
        <v>7.1</v>
      </c>
      <c r="J28" s="6" t="s">
        <v>192</v>
      </c>
    </row>
    <row r="29" spans="1:10" x14ac:dyDescent="0.3">
      <c r="A29" s="5">
        <v>25</v>
      </c>
      <c r="B29" s="5" t="s">
        <v>193</v>
      </c>
      <c r="C29" s="6" t="s">
        <v>194</v>
      </c>
      <c r="D29" s="5" t="s">
        <v>126</v>
      </c>
      <c r="E29" s="8">
        <v>78.5</v>
      </c>
      <c r="F29" s="9">
        <v>3350000</v>
      </c>
      <c r="G29" s="10">
        <f t="shared" si="0"/>
        <v>262975000</v>
      </c>
      <c r="H29" s="8">
        <v>19.600000000000001</v>
      </c>
      <c r="I29" s="11">
        <f t="shared" si="1"/>
        <v>4.0999999999999996</v>
      </c>
      <c r="J29" s="6" t="s">
        <v>195</v>
      </c>
    </row>
    <row r="30" spans="1:10" x14ac:dyDescent="0.3">
      <c r="A30" s="5">
        <v>26</v>
      </c>
      <c r="B30" s="5" t="s">
        <v>196</v>
      </c>
      <c r="C30" s="6" t="s">
        <v>197</v>
      </c>
      <c r="D30" s="5" t="s">
        <v>198</v>
      </c>
      <c r="E30" s="8">
        <v>510</v>
      </c>
      <c r="F30" s="9">
        <v>450000</v>
      </c>
      <c r="G30" s="10">
        <f t="shared" si="0"/>
        <v>229500000</v>
      </c>
      <c r="H30" s="8">
        <v>127.5</v>
      </c>
      <c r="I30" s="11">
        <f t="shared" si="1"/>
        <v>4</v>
      </c>
      <c r="J30" s="6" t="s">
        <v>199</v>
      </c>
    </row>
    <row r="31" spans="1:10" x14ac:dyDescent="0.3">
      <c r="A31" s="5">
        <v>27</v>
      </c>
      <c r="B31" s="5" t="s">
        <v>200</v>
      </c>
      <c r="C31" s="6" t="s">
        <v>201</v>
      </c>
      <c r="D31" s="5" t="s">
        <v>126</v>
      </c>
      <c r="E31" s="8">
        <v>235.6</v>
      </c>
      <c r="F31" s="9">
        <v>3250000</v>
      </c>
      <c r="G31" s="10">
        <f t="shared" si="0"/>
        <v>765700000</v>
      </c>
      <c r="H31" s="8">
        <v>58.9</v>
      </c>
      <c r="I31" s="11">
        <f t="shared" si="1"/>
        <v>4</v>
      </c>
      <c r="J31" s="6" t="s">
        <v>202</v>
      </c>
    </row>
    <row r="32" spans="1:10" x14ac:dyDescent="0.3">
      <c r="A32" s="5">
        <v>28</v>
      </c>
      <c r="B32" s="5" t="s">
        <v>203</v>
      </c>
      <c r="C32" s="6" t="s">
        <v>204</v>
      </c>
      <c r="D32" s="5" t="s">
        <v>205</v>
      </c>
      <c r="E32" s="8">
        <v>2</v>
      </c>
      <c r="F32" s="9">
        <v>65000000</v>
      </c>
      <c r="G32" s="10">
        <f t="shared" si="0"/>
        <v>130000000</v>
      </c>
      <c r="H32" s="8">
        <v>0.4</v>
      </c>
      <c r="I32" s="11">
        <f t="shared" si="1"/>
        <v>5</v>
      </c>
      <c r="J32" s="6" t="s">
        <v>206</v>
      </c>
    </row>
    <row r="33" spans="1:10" x14ac:dyDescent="0.3">
      <c r="A33" s="5">
        <v>29</v>
      </c>
      <c r="B33" s="5" t="s">
        <v>207</v>
      </c>
      <c r="C33" s="6" t="s">
        <v>208</v>
      </c>
      <c r="D33" s="5" t="s">
        <v>209</v>
      </c>
      <c r="E33" s="8">
        <v>2</v>
      </c>
      <c r="F33" s="9">
        <v>95000000</v>
      </c>
      <c r="G33" s="10">
        <f t="shared" si="0"/>
        <v>190000000</v>
      </c>
      <c r="H33" s="8">
        <v>0.5</v>
      </c>
      <c r="I33" s="11">
        <f t="shared" si="1"/>
        <v>4</v>
      </c>
      <c r="J33" s="6" t="s">
        <v>210</v>
      </c>
    </row>
    <row r="34" spans="1:10" x14ac:dyDescent="0.3">
      <c r="A34" s="5">
        <v>30</v>
      </c>
      <c r="B34" s="5" t="s">
        <v>211</v>
      </c>
      <c r="C34" s="6" t="s">
        <v>212</v>
      </c>
      <c r="D34" s="5" t="s">
        <v>138</v>
      </c>
      <c r="E34" s="8">
        <v>260.8</v>
      </c>
      <c r="F34" s="9">
        <v>1150000</v>
      </c>
      <c r="G34" s="10">
        <f t="shared" si="0"/>
        <v>299920000</v>
      </c>
      <c r="H34" s="8">
        <v>52.2</v>
      </c>
      <c r="I34" s="11">
        <f t="shared" si="1"/>
        <v>5</v>
      </c>
      <c r="J34" s="6" t="s">
        <v>213</v>
      </c>
    </row>
    <row r="35" spans="1:10" x14ac:dyDescent="0.3">
      <c r="A35" s="5">
        <v>31</v>
      </c>
      <c r="B35" s="5" t="s">
        <v>214</v>
      </c>
      <c r="C35" s="6" t="s">
        <v>215</v>
      </c>
      <c r="D35" s="5" t="s">
        <v>122</v>
      </c>
      <c r="E35" s="8">
        <v>1620</v>
      </c>
      <c r="F35" s="9">
        <v>310000</v>
      </c>
      <c r="G35" s="10">
        <f t="shared" si="0"/>
        <v>502200000</v>
      </c>
      <c r="H35" s="8">
        <v>540</v>
      </c>
      <c r="I35" s="11">
        <f t="shared" si="1"/>
        <v>3</v>
      </c>
      <c r="J35" s="6" t="s">
        <v>216</v>
      </c>
    </row>
    <row r="36" spans="1:10" x14ac:dyDescent="0.3">
      <c r="A36" s="5">
        <v>32</v>
      </c>
      <c r="B36" s="5" t="s">
        <v>217</v>
      </c>
      <c r="C36" s="6" t="s">
        <v>218</v>
      </c>
      <c r="D36" s="5" t="s">
        <v>149</v>
      </c>
      <c r="E36" s="8">
        <v>1</v>
      </c>
      <c r="F36" s="9">
        <v>120000000</v>
      </c>
      <c r="G36" s="10">
        <f t="shared" si="0"/>
        <v>120000000</v>
      </c>
      <c r="H36" s="8">
        <v>1</v>
      </c>
      <c r="I36" s="11">
        <f t="shared" si="1"/>
        <v>1</v>
      </c>
      <c r="J36" s="6" t="s">
        <v>219</v>
      </c>
    </row>
    <row r="37" spans="1:10" ht="16" x14ac:dyDescent="0.45">
      <c r="A37" s="12"/>
      <c r="B37" s="12"/>
      <c r="C37" s="13" t="s">
        <v>220</v>
      </c>
      <c r="D37" s="12"/>
      <c r="E37" s="12"/>
      <c r="F37" s="12"/>
      <c r="G37" s="14">
        <f>SUM(G5:G36)</f>
        <v>17036732520</v>
      </c>
      <c r="H37" s="12"/>
      <c r="I37" s="12"/>
      <c r="J37" s="12"/>
    </row>
    <row r="38" spans="1:10" ht="15" x14ac:dyDescent="0.4">
      <c r="A38" s="12"/>
      <c r="B38" s="12"/>
      <c r="C38" s="15" t="s">
        <v>221</v>
      </c>
      <c r="D38" s="12"/>
      <c r="E38" s="12"/>
      <c r="F38" s="12"/>
      <c r="G38" s="16">
        <f>G37*0.073</f>
        <v>1243681473.96</v>
      </c>
      <c r="H38" s="12"/>
      <c r="I38" s="12"/>
      <c r="J38" s="12"/>
    </row>
    <row r="39" spans="1:10" ht="15" x14ac:dyDescent="0.4">
      <c r="A39" s="12"/>
      <c r="B39" s="12"/>
      <c r="C39" s="15" t="s">
        <v>222</v>
      </c>
      <c r="D39" s="12"/>
      <c r="E39" s="12"/>
      <c r="F39" s="12"/>
      <c r="G39" s="16">
        <f>(G37+G38)*0.055</f>
        <v>1005422769.6677999</v>
      </c>
      <c r="H39" s="12"/>
      <c r="I39" s="12"/>
      <c r="J39" s="12"/>
    </row>
    <row r="40" spans="1:10" ht="15" x14ac:dyDescent="0.4">
      <c r="A40" s="12"/>
      <c r="B40" s="12"/>
      <c r="C40" s="15" t="s">
        <v>223</v>
      </c>
      <c r="D40" s="12"/>
      <c r="E40" s="12"/>
      <c r="F40" s="12"/>
      <c r="G40" s="16">
        <f>(G37+G38+G39)*0.1</f>
        <v>1928583676.3627801</v>
      </c>
      <c r="H40" s="12"/>
      <c r="I40" s="12"/>
      <c r="J40" s="12"/>
    </row>
    <row r="41" spans="1:10" ht="20" x14ac:dyDescent="0.55000000000000004">
      <c r="A41" s="12"/>
      <c r="B41" s="12"/>
      <c r="C41" s="17" t="s">
        <v>224</v>
      </c>
      <c r="D41" s="12"/>
      <c r="E41" s="12"/>
      <c r="F41" s="12"/>
      <c r="G41" s="18">
        <f>G37+G38+G39+G40</f>
        <v>21214420439.990582</v>
      </c>
      <c r="H41" s="12"/>
      <c r="I41" s="12"/>
      <c r="J41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2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" x14ac:dyDescent="0.3"/>
  <cols>
    <col min="1" max="1" width="6" customWidth="1"/>
    <col min="2" max="2" width="10" customWidth="1"/>
    <col min="3" max="3" width="52" customWidth="1"/>
    <col min="4" max="4" width="10" customWidth="1"/>
    <col min="5" max="5" width="24" customWidth="1"/>
    <col min="6" max="6" width="14" customWidth="1"/>
    <col min="7" max="7" width="12" customWidth="1"/>
    <col min="8" max="9" width="14" customWidth="1"/>
    <col min="10" max="12" width="12" customWidth="1"/>
    <col min="13" max="13" width="16" customWidth="1"/>
    <col min="14" max="38" width="5.5" customWidth="1"/>
  </cols>
  <sheetData>
    <row r="1" spans="1:38" ht="16.5" x14ac:dyDescent="0.45">
      <c r="A1" s="19" t="s">
        <v>225</v>
      </c>
    </row>
    <row r="2" spans="1:38" ht="20" x14ac:dyDescent="0.55000000000000004">
      <c r="A2" s="1" t="s">
        <v>226</v>
      </c>
      <c r="E2" s="20" t="s">
        <v>227</v>
      </c>
      <c r="F2" s="21">
        <v>46296</v>
      </c>
      <c r="G2" s="20" t="s">
        <v>228</v>
      </c>
      <c r="H2" s="22">
        <v>46457</v>
      </c>
    </row>
    <row r="3" spans="1:38" ht="15" x14ac:dyDescent="0.4">
      <c r="A3" s="2" t="s">
        <v>229</v>
      </c>
      <c r="C3" s="21">
        <v>46371</v>
      </c>
      <c r="E3" s="2" t="s">
        <v>230</v>
      </c>
      <c r="F3" t="s">
        <v>231</v>
      </c>
      <c r="G3" s="2" t="s">
        <v>232</v>
      </c>
      <c r="H3" t="s">
        <v>233</v>
      </c>
    </row>
    <row r="5" spans="1:38" x14ac:dyDescent="0.3">
      <c r="A5" s="4" t="s">
        <v>3</v>
      </c>
      <c r="B5" s="4" t="s">
        <v>107</v>
      </c>
      <c r="C5" s="4" t="s">
        <v>234</v>
      </c>
      <c r="D5" s="4" t="s">
        <v>235</v>
      </c>
      <c r="E5" s="4" t="s">
        <v>236</v>
      </c>
      <c r="F5" s="4" t="s">
        <v>237</v>
      </c>
      <c r="G5" s="4" t="s">
        <v>238</v>
      </c>
      <c r="H5" s="4" t="s">
        <v>239</v>
      </c>
      <c r="I5" s="4" t="s">
        <v>240</v>
      </c>
      <c r="J5" s="4" t="s">
        <v>241</v>
      </c>
      <c r="K5" s="4" t="s">
        <v>242</v>
      </c>
      <c r="L5" s="4" t="s">
        <v>243</v>
      </c>
      <c r="M5" s="4" t="s">
        <v>244</v>
      </c>
      <c r="N5" s="23" t="s">
        <v>245</v>
      </c>
      <c r="O5" s="23" t="s">
        <v>246</v>
      </c>
      <c r="P5" s="23" t="s">
        <v>247</v>
      </c>
      <c r="Q5" s="23" t="s">
        <v>248</v>
      </c>
      <c r="R5" s="23" t="s">
        <v>249</v>
      </c>
      <c r="S5" s="23" t="s">
        <v>250</v>
      </c>
      <c r="T5" s="23" t="s">
        <v>251</v>
      </c>
      <c r="U5" s="23" t="s">
        <v>252</v>
      </c>
      <c r="V5" s="23" t="s">
        <v>253</v>
      </c>
      <c r="W5" s="23" t="s">
        <v>254</v>
      </c>
      <c r="X5" s="23" t="s">
        <v>255</v>
      </c>
      <c r="Y5" s="23" t="s">
        <v>256</v>
      </c>
      <c r="Z5" s="23" t="s">
        <v>257</v>
      </c>
      <c r="AA5" s="23" t="s">
        <v>258</v>
      </c>
      <c r="AB5" s="23" t="s">
        <v>259</v>
      </c>
      <c r="AC5" s="23" t="s">
        <v>260</v>
      </c>
      <c r="AD5" s="23" t="s">
        <v>261</v>
      </c>
      <c r="AE5" s="23" t="s">
        <v>262</v>
      </c>
      <c r="AF5" s="23" t="s">
        <v>263</v>
      </c>
      <c r="AG5" s="23" t="s">
        <v>264</v>
      </c>
      <c r="AH5" s="23" t="s">
        <v>265</v>
      </c>
      <c r="AI5" s="23" t="s">
        <v>266</v>
      </c>
      <c r="AJ5" s="23" t="s">
        <v>267</v>
      </c>
      <c r="AK5" s="23" t="s">
        <v>268</v>
      </c>
      <c r="AL5" s="23" t="s">
        <v>269</v>
      </c>
    </row>
    <row r="6" spans="1:38" x14ac:dyDescent="0.3">
      <c r="A6" s="24">
        <v>1</v>
      </c>
      <c r="B6" s="25" t="s">
        <v>270</v>
      </c>
      <c r="C6" s="25" t="s">
        <v>271</v>
      </c>
      <c r="D6" s="24" t="s">
        <v>272</v>
      </c>
      <c r="E6" s="25"/>
      <c r="F6" s="26">
        <v>0</v>
      </c>
      <c r="G6" s="24">
        <v>1</v>
      </c>
      <c r="H6" s="27">
        <v>46296</v>
      </c>
      <c r="I6" s="27">
        <v>46321</v>
      </c>
      <c r="J6" s="26">
        <v>26</v>
      </c>
      <c r="K6" s="26">
        <v>0</v>
      </c>
      <c r="L6" s="24" t="s">
        <v>273</v>
      </c>
      <c r="M6" s="28">
        <v>1</v>
      </c>
      <c r="N6" s="29"/>
      <c r="O6" s="29"/>
      <c r="P6" s="29"/>
      <c r="Q6" s="29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x14ac:dyDescent="0.3">
      <c r="A7" s="5">
        <v>2</v>
      </c>
      <c r="B7" s="30" t="s">
        <v>116</v>
      </c>
      <c r="C7" s="30" t="s">
        <v>274</v>
      </c>
      <c r="D7" s="5" t="s">
        <v>275</v>
      </c>
      <c r="E7" s="6"/>
      <c r="F7" s="7">
        <v>2</v>
      </c>
      <c r="G7" s="5">
        <v>1</v>
      </c>
      <c r="H7" s="31">
        <v>46296</v>
      </c>
      <c r="I7" s="31">
        <v>46297</v>
      </c>
      <c r="J7" s="7">
        <v>2</v>
      </c>
      <c r="K7" s="7">
        <v>0</v>
      </c>
      <c r="L7" s="32" t="s">
        <v>273</v>
      </c>
      <c r="M7" s="33">
        <v>1</v>
      </c>
      <c r="N7" s="34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x14ac:dyDescent="0.3">
      <c r="A8" s="5">
        <v>3</v>
      </c>
      <c r="B8" s="30" t="s">
        <v>120</v>
      </c>
      <c r="C8" s="30" t="s">
        <v>276</v>
      </c>
      <c r="D8" s="5" t="s">
        <v>275</v>
      </c>
      <c r="E8" s="6" t="s">
        <v>277</v>
      </c>
      <c r="F8" s="7">
        <v>5</v>
      </c>
      <c r="G8" s="5">
        <v>1</v>
      </c>
      <c r="H8" s="31">
        <v>46298</v>
      </c>
      <c r="I8" s="31">
        <v>46303</v>
      </c>
      <c r="J8" s="7">
        <v>6</v>
      </c>
      <c r="K8" s="7">
        <v>0</v>
      </c>
      <c r="L8" s="32" t="s">
        <v>273</v>
      </c>
      <c r="M8" s="33">
        <v>1</v>
      </c>
      <c r="N8" s="34"/>
      <c r="O8" s="3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x14ac:dyDescent="0.3">
      <c r="A9" s="5">
        <v>4</v>
      </c>
      <c r="B9" s="30" t="s">
        <v>124</v>
      </c>
      <c r="C9" s="30" t="s">
        <v>278</v>
      </c>
      <c r="D9" s="5" t="s">
        <v>275</v>
      </c>
      <c r="E9" s="6" t="s">
        <v>279</v>
      </c>
      <c r="F9" s="7">
        <v>9</v>
      </c>
      <c r="G9" s="5">
        <v>1</v>
      </c>
      <c r="H9" s="31">
        <v>46304</v>
      </c>
      <c r="I9" s="31">
        <v>46314</v>
      </c>
      <c r="J9" s="7">
        <v>11</v>
      </c>
      <c r="K9" s="7">
        <v>0</v>
      </c>
      <c r="L9" s="32" t="s">
        <v>273</v>
      </c>
      <c r="M9" s="33">
        <v>1</v>
      </c>
      <c r="N9" s="12"/>
      <c r="O9" s="34"/>
      <c r="P9" s="3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x14ac:dyDescent="0.3">
      <c r="A10" s="5">
        <v>5</v>
      </c>
      <c r="B10" s="6" t="s">
        <v>128</v>
      </c>
      <c r="C10" s="6" t="s">
        <v>280</v>
      </c>
      <c r="D10" s="5" t="s">
        <v>275</v>
      </c>
      <c r="E10" s="6" t="s">
        <v>281</v>
      </c>
      <c r="F10" s="7">
        <v>12</v>
      </c>
      <c r="G10" s="5">
        <v>1</v>
      </c>
      <c r="H10" s="31">
        <v>46308</v>
      </c>
      <c r="I10" s="31">
        <v>46321</v>
      </c>
      <c r="J10" s="7">
        <v>14</v>
      </c>
      <c r="K10" s="7">
        <v>11</v>
      </c>
      <c r="L10" s="5"/>
      <c r="M10" s="33">
        <v>1</v>
      </c>
      <c r="N10" s="12"/>
      <c r="O10" s="35"/>
      <c r="P10" s="35"/>
      <c r="Q10" s="35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x14ac:dyDescent="0.3">
      <c r="A11" s="24">
        <v>6</v>
      </c>
      <c r="B11" s="25" t="s">
        <v>282</v>
      </c>
      <c r="C11" s="25" t="s">
        <v>283</v>
      </c>
      <c r="D11" s="24" t="s">
        <v>272</v>
      </c>
      <c r="E11" s="25"/>
      <c r="F11" s="26">
        <v>0</v>
      </c>
      <c r="G11" s="24">
        <v>1</v>
      </c>
      <c r="H11" s="27">
        <v>46315</v>
      </c>
      <c r="I11" s="27">
        <v>46365</v>
      </c>
      <c r="J11" s="26">
        <v>51</v>
      </c>
      <c r="K11" s="26">
        <v>0</v>
      </c>
      <c r="L11" s="24" t="s">
        <v>273</v>
      </c>
      <c r="M11" s="28">
        <v>1</v>
      </c>
      <c r="N11" s="12"/>
      <c r="O11" s="12"/>
      <c r="P11" s="29"/>
      <c r="Q11" s="29"/>
      <c r="R11" s="29"/>
      <c r="S11" s="29"/>
      <c r="T11" s="29"/>
      <c r="U11" s="29"/>
      <c r="V11" s="29"/>
      <c r="W11" s="29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x14ac:dyDescent="0.3">
      <c r="A12" s="5">
        <v>7</v>
      </c>
      <c r="B12" s="30" t="s">
        <v>132</v>
      </c>
      <c r="C12" s="30" t="s">
        <v>284</v>
      </c>
      <c r="D12" s="5" t="s">
        <v>275</v>
      </c>
      <c r="E12" s="6" t="s">
        <v>285</v>
      </c>
      <c r="F12" s="7">
        <v>10</v>
      </c>
      <c r="G12" s="5">
        <v>1</v>
      </c>
      <c r="H12" s="31">
        <v>46315</v>
      </c>
      <c r="I12" s="31">
        <v>46325</v>
      </c>
      <c r="J12" s="7">
        <v>11</v>
      </c>
      <c r="K12" s="7">
        <v>0</v>
      </c>
      <c r="L12" s="32" t="s">
        <v>273</v>
      </c>
      <c r="M12" s="33">
        <v>1</v>
      </c>
      <c r="N12" s="12"/>
      <c r="O12" s="12"/>
      <c r="P12" s="34"/>
      <c r="Q12" s="34"/>
      <c r="R12" s="34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x14ac:dyDescent="0.3">
      <c r="A13" s="5">
        <v>8</v>
      </c>
      <c r="B13" s="30" t="s">
        <v>136</v>
      </c>
      <c r="C13" s="30" t="s">
        <v>286</v>
      </c>
      <c r="D13" s="5" t="s">
        <v>275</v>
      </c>
      <c r="E13" s="6" t="s">
        <v>287</v>
      </c>
      <c r="F13" s="7">
        <v>6</v>
      </c>
      <c r="G13" s="5">
        <v>1</v>
      </c>
      <c r="H13" s="31">
        <v>46326</v>
      </c>
      <c r="I13" s="31">
        <v>46332</v>
      </c>
      <c r="J13" s="7">
        <v>7</v>
      </c>
      <c r="K13" s="7">
        <v>0</v>
      </c>
      <c r="L13" s="32" t="s">
        <v>273</v>
      </c>
      <c r="M13" s="33">
        <v>1</v>
      </c>
      <c r="N13" s="12"/>
      <c r="O13" s="12"/>
      <c r="P13" s="12"/>
      <c r="Q13" s="12"/>
      <c r="R13" s="34"/>
      <c r="S13" s="34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x14ac:dyDescent="0.3">
      <c r="A14" s="5">
        <v>9</v>
      </c>
      <c r="B14" s="30" t="s">
        <v>140</v>
      </c>
      <c r="C14" s="30" t="s">
        <v>288</v>
      </c>
      <c r="D14" s="5" t="s">
        <v>275</v>
      </c>
      <c r="E14" s="6" t="s">
        <v>289</v>
      </c>
      <c r="F14" s="7">
        <v>15</v>
      </c>
      <c r="G14" s="5">
        <v>1</v>
      </c>
      <c r="H14" s="31">
        <v>46330</v>
      </c>
      <c r="I14" s="31">
        <v>46346</v>
      </c>
      <c r="J14" s="7">
        <v>17</v>
      </c>
      <c r="K14" s="7">
        <v>0</v>
      </c>
      <c r="L14" s="32" t="s">
        <v>273</v>
      </c>
      <c r="M14" s="33">
        <v>1</v>
      </c>
      <c r="N14" s="12"/>
      <c r="O14" s="12"/>
      <c r="P14" s="12"/>
      <c r="Q14" s="12"/>
      <c r="R14" s="34"/>
      <c r="S14" s="34"/>
      <c r="T14" s="34"/>
      <c r="U14" s="3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x14ac:dyDescent="0.3">
      <c r="A15" s="5">
        <v>10</v>
      </c>
      <c r="B15" s="30" t="s">
        <v>143</v>
      </c>
      <c r="C15" s="30" t="s">
        <v>290</v>
      </c>
      <c r="D15" s="5" t="s">
        <v>275</v>
      </c>
      <c r="E15" s="6" t="s">
        <v>291</v>
      </c>
      <c r="F15" s="7">
        <v>13</v>
      </c>
      <c r="G15" s="5">
        <v>1</v>
      </c>
      <c r="H15" s="31">
        <v>46337</v>
      </c>
      <c r="I15" s="31">
        <v>46351</v>
      </c>
      <c r="J15" s="7">
        <v>15</v>
      </c>
      <c r="K15" s="7">
        <v>0</v>
      </c>
      <c r="L15" s="32" t="s">
        <v>273</v>
      </c>
      <c r="M15" s="33">
        <v>1</v>
      </c>
      <c r="N15" s="12"/>
      <c r="O15" s="12"/>
      <c r="P15" s="12"/>
      <c r="Q15" s="12"/>
      <c r="R15" s="12"/>
      <c r="S15" s="34"/>
      <c r="T15" s="34"/>
      <c r="U15" s="3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x14ac:dyDescent="0.3">
      <c r="A16" s="5">
        <v>11</v>
      </c>
      <c r="B16" s="30" t="s">
        <v>145</v>
      </c>
      <c r="C16" s="30" t="s">
        <v>292</v>
      </c>
      <c r="D16" s="5" t="s">
        <v>275</v>
      </c>
      <c r="E16" s="6" t="s">
        <v>293</v>
      </c>
      <c r="F16" s="7">
        <v>14</v>
      </c>
      <c r="G16" s="5">
        <v>1</v>
      </c>
      <c r="H16" s="31">
        <v>46343</v>
      </c>
      <c r="I16" s="31">
        <v>46358</v>
      </c>
      <c r="J16" s="7">
        <v>16</v>
      </c>
      <c r="K16" s="7">
        <v>0</v>
      </c>
      <c r="L16" s="32" t="s">
        <v>273</v>
      </c>
      <c r="M16" s="33">
        <v>1</v>
      </c>
      <c r="N16" s="12"/>
      <c r="O16" s="12"/>
      <c r="P16" s="12"/>
      <c r="Q16" s="12"/>
      <c r="R16" s="12"/>
      <c r="S16" s="12"/>
      <c r="T16" s="34"/>
      <c r="U16" s="34"/>
      <c r="V16" s="34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x14ac:dyDescent="0.3">
      <c r="A17" s="5">
        <v>12</v>
      </c>
      <c r="B17" s="30" t="s">
        <v>147</v>
      </c>
      <c r="C17" s="30" t="s">
        <v>294</v>
      </c>
      <c r="D17" s="5" t="s">
        <v>275</v>
      </c>
      <c r="E17" s="6" t="s">
        <v>295</v>
      </c>
      <c r="F17" s="7">
        <v>6</v>
      </c>
      <c r="G17" s="5">
        <v>1</v>
      </c>
      <c r="H17" s="31">
        <v>46359</v>
      </c>
      <c r="I17" s="31">
        <v>46365</v>
      </c>
      <c r="J17" s="7">
        <v>7</v>
      </c>
      <c r="K17" s="7">
        <v>0</v>
      </c>
      <c r="L17" s="32" t="s">
        <v>273</v>
      </c>
      <c r="M17" s="33">
        <v>1</v>
      </c>
      <c r="N17" s="12"/>
      <c r="O17" s="12"/>
      <c r="P17" s="12"/>
      <c r="Q17" s="12"/>
      <c r="R17" s="12"/>
      <c r="S17" s="12"/>
      <c r="T17" s="12"/>
      <c r="U17" s="12"/>
      <c r="V17" s="12"/>
      <c r="W17" s="3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x14ac:dyDescent="0.3">
      <c r="A18" s="24">
        <v>13</v>
      </c>
      <c r="B18" s="25" t="s">
        <v>296</v>
      </c>
      <c r="C18" s="25" t="s">
        <v>297</v>
      </c>
      <c r="D18" s="24" t="s">
        <v>272</v>
      </c>
      <c r="E18" s="25"/>
      <c r="F18" s="26">
        <v>0</v>
      </c>
      <c r="G18" s="24">
        <v>1</v>
      </c>
      <c r="H18" s="27">
        <v>46366</v>
      </c>
      <c r="I18" s="27">
        <v>46410</v>
      </c>
      <c r="J18" s="26">
        <v>45</v>
      </c>
      <c r="K18" s="26">
        <v>0</v>
      </c>
      <c r="L18" s="24" t="s">
        <v>273</v>
      </c>
      <c r="M18" s="28">
        <v>0.13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9"/>
      <c r="Y18" s="29"/>
      <c r="Z18" s="29"/>
      <c r="AA18" s="29"/>
      <c r="AB18" s="29"/>
      <c r="AC18" s="29"/>
      <c r="AD18" s="29"/>
      <c r="AE18" s="12"/>
      <c r="AF18" s="12"/>
      <c r="AG18" s="12"/>
      <c r="AH18" s="12"/>
      <c r="AI18" s="12"/>
      <c r="AJ18" s="12"/>
      <c r="AK18" s="12"/>
      <c r="AL18" s="12"/>
    </row>
    <row r="19" spans="1:38" x14ac:dyDescent="0.3">
      <c r="A19" s="5">
        <v>14</v>
      </c>
      <c r="B19" s="30" t="s">
        <v>151</v>
      </c>
      <c r="C19" s="30" t="s">
        <v>298</v>
      </c>
      <c r="D19" s="5" t="s">
        <v>275</v>
      </c>
      <c r="E19" s="6" t="s">
        <v>299</v>
      </c>
      <c r="F19" s="7">
        <v>6</v>
      </c>
      <c r="G19" s="5">
        <v>1</v>
      </c>
      <c r="H19" s="31">
        <v>46366</v>
      </c>
      <c r="I19" s="31">
        <v>46372</v>
      </c>
      <c r="J19" s="7">
        <v>7</v>
      </c>
      <c r="K19" s="7">
        <v>0</v>
      </c>
      <c r="L19" s="32" t="s">
        <v>273</v>
      </c>
      <c r="M19" s="33">
        <v>0.86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34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x14ac:dyDescent="0.3">
      <c r="A20" s="5">
        <v>15</v>
      </c>
      <c r="B20" s="6" t="s">
        <v>155</v>
      </c>
      <c r="C20" s="6" t="s">
        <v>300</v>
      </c>
      <c r="D20" s="5" t="s">
        <v>275</v>
      </c>
      <c r="E20" s="6" t="s">
        <v>301</v>
      </c>
      <c r="F20" s="7">
        <v>7</v>
      </c>
      <c r="G20" s="5">
        <v>1</v>
      </c>
      <c r="H20" s="31">
        <v>46373</v>
      </c>
      <c r="I20" s="31">
        <v>46380</v>
      </c>
      <c r="J20" s="7">
        <v>8</v>
      </c>
      <c r="K20" s="7">
        <v>22</v>
      </c>
      <c r="L20" s="5"/>
      <c r="M20" s="33">
        <v>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5"/>
      <c r="Z20" s="35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x14ac:dyDescent="0.3">
      <c r="A21" s="5">
        <v>16</v>
      </c>
      <c r="B21" s="30" t="s">
        <v>158</v>
      </c>
      <c r="C21" s="30" t="s">
        <v>302</v>
      </c>
      <c r="D21" s="5" t="s">
        <v>275</v>
      </c>
      <c r="E21" s="6" t="s">
        <v>303</v>
      </c>
      <c r="F21" s="7">
        <v>7</v>
      </c>
      <c r="G21" s="5">
        <v>1</v>
      </c>
      <c r="H21" s="31">
        <v>46375</v>
      </c>
      <c r="I21" s="31">
        <v>46382</v>
      </c>
      <c r="J21" s="7">
        <v>8</v>
      </c>
      <c r="K21" s="7">
        <v>0</v>
      </c>
      <c r="L21" s="32" t="s">
        <v>273</v>
      </c>
      <c r="M21" s="33">
        <v>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4"/>
      <c r="Z21" s="34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x14ac:dyDescent="0.3">
      <c r="A22" s="5">
        <v>17</v>
      </c>
      <c r="B22" s="30" t="s">
        <v>161</v>
      </c>
      <c r="C22" s="30" t="s">
        <v>304</v>
      </c>
      <c r="D22" s="5" t="s">
        <v>275</v>
      </c>
      <c r="E22" s="6" t="s">
        <v>305</v>
      </c>
      <c r="F22" s="7">
        <v>7</v>
      </c>
      <c r="G22" s="5">
        <v>1</v>
      </c>
      <c r="H22" s="31">
        <v>46380</v>
      </c>
      <c r="I22" s="31">
        <v>46387</v>
      </c>
      <c r="J22" s="7">
        <v>8</v>
      </c>
      <c r="K22" s="7">
        <v>0</v>
      </c>
      <c r="L22" s="32" t="s">
        <v>273</v>
      </c>
      <c r="M22" s="33">
        <v>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34"/>
      <c r="AA22" s="34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x14ac:dyDescent="0.3">
      <c r="A23" s="5">
        <v>18</v>
      </c>
      <c r="B23" s="6" t="s">
        <v>163</v>
      </c>
      <c r="C23" s="6" t="s">
        <v>306</v>
      </c>
      <c r="D23" s="5" t="s">
        <v>275</v>
      </c>
      <c r="E23" s="6" t="s">
        <v>307</v>
      </c>
      <c r="F23" s="7">
        <v>11</v>
      </c>
      <c r="G23" s="5">
        <v>1</v>
      </c>
      <c r="H23" s="31">
        <v>46384</v>
      </c>
      <c r="I23" s="31">
        <v>46396</v>
      </c>
      <c r="J23" s="7">
        <v>13</v>
      </c>
      <c r="K23" s="7">
        <v>6</v>
      </c>
      <c r="L23" s="5"/>
      <c r="M23" s="33">
        <v>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5"/>
      <c r="AA23" s="35"/>
      <c r="AB23" s="35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x14ac:dyDescent="0.3">
      <c r="A24" s="5">
        <v>19</v>
      </c>
      <c r="B24" s="30" t="s">
        <v>166</v>
      </c>
      <c r="C24" s="30" t="s">
        <v>308</v>
      </c>
      <c r="D24" s="5" t="s">
        <v>275</v>
      </c>
      <c r="E24" s="6" t="s">
        <v>309</v>
      </c>
      <c r="F24" s="7">
        <v>12</v>
      </c>
      <c r="G24" s="5">
        <v>1</v>
      </c>
      <c r="H24" s="31">
        <v>46389</v>
      </c>
      <c r="I24" s="31">
        <v>46402</v>
      </c>
      <c r="J24" s="7">
        <v>14</v>
      </c>
      <c r="K24" s="7">
        <v>0</v>
      </c>
      <c r="L24" s="32" t="s">
        <v>273</v>
      </c>
      <c r="M24" s="33">
        <v>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34"/>
      <c r="AB24" s="34"/>
      <c r="AC24" s="34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x14ac:dyDescent="0.3">
      <c r="A25" s="5">
        <v>20</v>
      </c>
      <c r="B25" s="6" t="s">
        <v>168</v>
      </c>
      <c r="C25" s="6" t="s">
        <v>310</v>
      </c>
      <c r="D25" s="5" t="s">
        <v>275</v>
      </c>
      <c r="E25" s="6" t="s">
        <v>311</v>
      </c>
      <c r="F25" s="7">
        <v>10</v>
      </c>
      <c r="G25" s="5">
        <v>1</v>
      </c>
      <c r="H25" s="31">
        <v>46382</v>
      </c>
      <c r="I25" s="31">
        <v>46394</v>
      </c>
      <c r="J25" s="7">
        <v>13</v>
      </c>
      <c r="K25" s="7">
        <v>22</v>
      </c>
      <c r="L25" s="5"/>
      <c r="M25" s="33">
        <v>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35"/>
      <c r="AA25" s="35"/>
      <c r="AB25" s="35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x14ac:dyDescent="0.3">
      <c r="A26" s="5">
        <v>21</v>
      </c>
      <c r="B26" s="6" t="s">
        <v>171</v>
      </c>
      <c r="C26" s="6" t="s">
        <v>312</v>
      </c>
      <c r="D26" s="5" t="s">
        <v>275</v>
      </c>
      <c r="E26" s="6" t="s">
        <v>313</v>
      </c>
      <c r="F26" s="7">
        <v>6</v>
      </c>
      <c r="G26" s="5">
        <v>1</v>
      </c>
      <c r="H26" s="31">
        <v>46398</v>
      </c>
      <c r="I26" s="31">
        <v>46403</v>
      </c>
      <c r="J26" s="7">
        <v>6</v>
      </c>
      <c r="K26" s="7">
        <v>6</v>
      </c>
      <c r="L26" s="5"/>
      <c r="M26" s="33">
        <v>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35"/>
      <c r="AC26" s="35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x14ac:dyDescent="0.3">
      <c r="A27" s="5">
        <v>22</v>
      </c>
      <c r="B27" s="30" t="s">
        <v>174</v>
      </c>
      <c r="C27" s="30" t="s">
        <v>314</v>
      </c>
      <c r="D27" s="5" t="s">
        <v>275</v>
      </c>
      <c r="E27" s="6" t="s">
        <v>315</v>
      </c>
      <c r="F27" s="7">
        <v>7</v>
      </c>
      <c r="G27" s="5">
        <v>1</v>
      </c>
      <c r="H27" s="31">
        <v>46403</v>
      </c>
      <c r="I27" s="31">
        <v>46410</v>
      </c>
      <c r="J27" s="7">
        <v>8</v>
      </c>
      <c r="K27" s="7">
        <v>0</v>
      </c>
      <c r="L27" s="32" t="s">
        <v>273</v>
      </c>
      <c r="M27" s="33">
        <v>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34"/>
      <c r="AD27" s="34"/>
      <c r="AE27" s="12"/>
      <c r="AF27" s="12"/>
      <c r="AG27" s="12"/>
      <c r="AH27" s="12"/>
      <c r="AI27" s="12"/>
      <c r="AJ27" s="12"/>
      <c r="AK27" s="12"/>
      <c r="AL27" s="12"/>
    </row>
    <row r="28" spans="1:38" x14ac:dyDescent="0.3">
      <c r="A28" s="24">
        <v>23</v>
      </c>
      <c r="B28" s="25" t="s">
        <v>316</v>
      </c>
      <c r="C28" s="25" t="s">
        <v>317</v>
      </c>
      <c r="D28" s="24" t="s">
        <v>272</v>
      </c>
      <c r="E28" s="25"/>
      <c r="F28" s="26">
        <v>0</v>
      </c>
      <c r="G28" s="24">
        <v>1</v>
      </c>
      <c r="H28" s="27">
        <v>46351</v>
      </c>
      <c r="I28" s="27">
        <v>46431</v>
      </c>
      <c r="J28" s="26">
        <v>81</v>
      </c>
      <c r="K28" s="26">
        <v>0</v>
      </c>
      <c r="L28" s="24" t="s">
        <v>273</v>
      </c>
      <c r="M28" s="28">
        <v>0.26</v>
      </c>
      <c r="N28" s="12"/>
      <c r="O28" s="12"/>
      <c r="P28" s="12"/>
      <c r="Q28" s="12"/>
      <c r="R28" s="12"/>
      <c r="S28" s="12"/>
      <c r="T28" s="12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12"/>
      <c r="AI28" s="12"/>
      <c r="AJ28" s="12"/>
      <c r="AK28" s="12"/>
      <c r="AL28" s="12"/>
    </row>
    <row r="29" spans="1:38" x14ac:dyDescent="0.3">
      <c r="A29" s="5">
        <v>24</v>
      </c>
      <c r="B29" s="6" t="s">
        <v>176</v>
      </c>
      <c r="C29" s="6" t="s">
        <v>318</v>
      </c>
      <c r="D29" s="5" t="s">
        <v>275</v>
      </c>
      <c r="E29" s="6" t="s">
        <v>319</v>
      </c>
      <c r="F29" s="7">
        <v>24</v>
      </c>
      <c r="G29" s="5">
        <v>1</v>
      </c>
      <c r="H29" s="31">
        <v>46351</v>
      </c>
      <c r="I29" s="31">
        <v>46378</v>
      </c>
      <c r="J29" s="7">
        <v>28</v>
      </c>
      <c r="K29" s="7">
        <v>11</v>
      </c>
      <c r="L29" s="5"/>
      <c r="M29" s="33">
        <v>0.75</v>
      </c>
      <c r="N29" s="12"/>
      <c r="O29" s="12"/>
      <c r="P29" s="12"/>
      <c r="Q29" s="12"/>
      <c r="R29" s="12"/>
      <c r="S29" s="12"/>
      <c r="T29" s="12"/>
      <c r="U29" s="35"/>
      <c r="V29" s="35"/>
      <c r="W29" s="35"/>
      <c r="X29" s="35"/>
      <c r="Y29" s="35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x14ac:dyDescent="0.3">
      <c r="A30" s="5">
        <v>25</v>
      </c>
      <c r="B30" s="6" t="s">
        <v>180</v>
      </c>
      <c r="C30" s="6" t="s">
        <v>320</v>
      </c>
      <c r="D30" s="5" t="s">
        <v>275</v>
      </c>
      <c r="E30" s="6" t="s">
        <v>321</v>
      </c>
      <c r="F30" s="7">
        <v>18</v>
      </c>
      <c r="G30" s="5">
        <v>1</v>
      </c>
      <c r="H30" s="31">
        <v>46372</v>
      </c>
      <c r="I30" s="31">
        <v>46393</v>
      </c>
      <c r="J30" s="7">
        <v>22</v>
      </c>
      <c r="K30" s="7">
        <v>11</v>
      </c>
      <c r="L30" s="5"/>
      <c r="M30" s="33">
        <v>0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35"/>
      <c r="Y30" s="35"/>
      <c r="Z30" s="35"/>
      <c r="AA30" s="35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x14ac:dyDescent="0.3">
      <c r="A31" s="5">
        <v>26</v>
      </c>
      <c r="B31" s="6" t="s">
        <v>183</v>
      </c>
      <c r="C31" s="6" t="s">
        <v>322</v>
      </c>
      <c r="D31" s="5" t="s">
        <v>275</v>
      </c>
      <c r="E31" s="6" t="s">
        <v>323</v>
      </c>
      <c r="F31" s="7">
        <v>8</v>
      </c>
      <c r="G31" s="5">
        <v>1</v>
      </c>
      <c r="H31" s="31">
        <v>46394</v>
      </c>
      <c r="I31" s="31">
        <v>46402</v>
      </c>
      <c r="J31" s="7">
        <v>9</v>
      </c>
      <c r="K31" s="7">
        <v>11</v>
      </c>
      <c r="L31" s="5"/>
      <c r="M31" s="33">
        <v>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35"/>
      <c r="AC31" s="35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x14ac:dyDescent="0.3">
      <c r="A32" s="5">
        <v>27</v>
      </c>
      <c r="B32" s="30" t="s">
        <v>186</v>
      </c>
      <c r="C32" s="30" t="s">
        <v>324</v>
      </c>
      <c r="D32" s="5" t="s">
        <v>275</v>
      </c>
      <c r="E32" s="6" t="s">
        <v>325</v>
      </c>
      <c r="F32" s="7">
        <v>4</v>
      </c>
      <c r="G32" s="5">
        <v>1</v>
      </c>
      <c r="H32" s="31">
        <v>46412</v>
      </c>
      <c r="I32" s="31">
        <v>46415</v>
      </c>
      <c r="J32" s="7">
        <v>4</v>
      </c>
      <c r="K32" s="7">
        <v>0</v>
      </c>
      <c r="L32" s="32" t="s">
        <v>273</v>
      </c>
      <c r="M32" s="33">
        <v>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34"/>
      <c r="AE32" s="34"/>
      <c r="AF32" s="12"/>
      <c r="AG32" s="12"/>
      <c r="AH32" s="12"/>
      <c r="AI32" s="12"/>
      <c r="AJ32" s="12"/>
      <c r="AK32" s="12"/>
      <c r="AL32" s="12"/>
    </row>
    <row r="33" spans="1:38" x14ac:dyDescent="0.3">
      <c r="A33" s="5">
        <v>28</v>
      </c>
      <c r="B33" s="30" t="s">
        <v>190</v>
      </c>
      <c r="C33" s="30" t="s">
        <v>326</v>
      </c>
      <c r="D33" s="5" t="s">
        <v>275</v>
      </c>
      <c r="E33" s="6" t="s">
        <v>327</v>
      </c>
      <c r="F33" s="7">
        <v>7</v>
      </c>
      <c r="G33" s="5">
        <v>1</v>
      </c>
      <c r="H33" s="31">
        <v>46416</v>
      </c>
      <c r="I33" s="31">
        <v>46431</v>
      </c>
      <c r="J33" s="7">
        <v>16</v>
      </c>
      <c r="K33" s="7">
        <v>0</v>
      </c>
      <c r="L33" s="32" t="s">
        <v>273</v>
      </c>
      <c r="M33" s="33">
        <v>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34"/>
      <c r="AF33" s="34"/>
      <c r="AG33" s="34"/>
      <c r="AH33" s="12"/>
      <c r="AI33" s="12"/>
      <c r="AJ33" s="12"/>
      <c r="AK33" s="12"/>
      <c r="AL33" s="12"/>
    </row>
    <row r="34" spans="1:38" x14ac:dyDescent="0.3">
      <c r="A34" s="24">
        <v>29</v>
      </c>
      <c r="B34" s="25" t="s">
        <v>328</v>
      </c>
      <c r="C34" s="25" t="s">
        <v>329</v>
      </c>
      <c r="D34" s="24" t="s">
        <v>272</v>
      </c>
      <c r="E34" s="25"/>
      <c r="F34" s="26">
        <v>0</v>
      </c>
      <c r="G34" s="24">
        <v>1</v>
      </c>
      <c r="H34" s="27">
        <v>46433</v>
      </c>
      <c r="I34" s="27">
        <v>46457</v>
      </c>
      <c r="J34" s="26">
        <v>25</v>
      </c>
      <c r="K34" s="26">
        <v>0</v>
      </c>
      <c r="L34" s="24" t="s">
        <v>273</v>
      </c>
      <c r="M34" s="28">
        <v>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29"/>
      <c r="AH34" s="29"/>
      <c r="AI34" s="29"/>
      <c r="AJ34" s="29"/>
      <c r="AK34" s="29"/>
      <c r="AL34" s="12"/>
    </row>
    <row r="35" spans="1:38" x14ac:dyDescent="0.3">
      <c r="A35" s="5">
        <v>30</v>
      </c>
      <c r="B35" s="30" t="s">
        <v>193</v>
      </c>
      <c r="C35" s="30" t="s">
        <v>330</v>
      </c>
      <c r="D35" s="5" t="s">
        <v>275</v>
      </c>
      <c r="E35" s="6" t="s">
        <v>331</v>
      </c>
      <c r="F35" s="7">
        <v>4</v>
      </c>
      <c r="G35" s="5">
        <v>1</v>
      </c>
      <c r="H35" s="31">
        <v>46433</v>
      </c>
      <c r="I35" s="31">
        <v>46436</v>
      </c>
      <c r="J35" s="7">
        <v>4</v>
      </c>
      <c r="K35" s="7">
        <v>0</v>
      </c>
      <c r="L35" s="32" t="s">
        <v>273</v>
      </c>
      <c r="M35" s="33">
        <v>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34"/>
      <c r="AH35" s="34"/>
      <c r="AI35" s="12"/>
      <c r="AJ35" s="12"/>
      <c r="AK35" s="12"/>
      <c r="AL35" s="12"/>
    </row>
    <row r="36" spans="1:38" x14ac:dyDescent="0.3">
      <c r="A36" s="5">
        <v>31</v>
      </c>
      <c r="B36" s="30" t="s">
        <v>196</v>
      </c>
      <c r="C36" s="30" t="s">
        <v>332</v>
      </c>
      <c r="D36" s="5" t="s">
        <v>275</v>
      </c>
      <c r="E36" s="6" t="s">
        <v>333</v>
      </c>
      <c r="F36" s="7">
        <v>4</v>
      </c>
      <c r="G36" s="5">
        <v>1</v>
      </c>
      <c r="H36" s="31">
        <v>46437</v>
      </c>
      <c r="I36" s="31">
        <v>46441</v>
      </c>
      <c r="J36" s="7">
        <v>5</v>
      </c>
      <c r="K36" s="7">
        <v>0</v>
      </c>
      <c r="L36" s="32" t="s">
        <v>273</v>
      </c>
      <c r="M36" s="33">
        <v>0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34"/>
      <c r="AI36" s="12"/>
      <c r="AJ36" s="12"/>
      <c r="AK36" s="12"/>
      <c r="AL36" s="12"/>
    </row>
    <row r="37" spans="1:38" x14ac:dyDescent="0.3">
      <c r="A37" s="5">
        <v>32</v>
      </c>
      <c r="B37" s="30" t="s">
        <v>200</v>
      </c>
      <c r="C37" s="30" t="s">
        <v>334</v>
      </c>
      <c r="D37" s="5" t="s">
        <v>275</v>
      </c>
      <c r="E37" s="6" t="s">
        <v>335</v>
      </c>
      <c r="F37" s="7">
        <v>4</v>
      </c>
      <c r="G37" s="5">
        <v>1</v>
      </c>
      <c r="H37" s="31">
        <v>46442</v>
      </c>
      <c r="I37" s="31">
        <v>46445</v>
      </c>
      <c r="J37" s="7">
        <v>4</v>
      </c>
      <c r="K37" s="7">
        <v>0</v>
      </c>
      <c r="L37" s="32" t="s">
        <v>273</v>
      </c>
      <c r="M37" s="33">
        <v>0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34"/>
      <c r="AI37" s="34"/>
      <c r="AJ37" s="12"/>
      <c r="AK37" s="12"/>
      <c r="AL37" s="12"/>
    </row>
    <row r="38" spans="1:38" x14ac:dyDescent="0.3">
      <c r="A38" s="5">
        <v>33</v>
      </c>
      <c r="B38" s="6" t="s">
        <v>203</v>
      </c>
      <c r="C38" s="6" t="s">
        <v>336</v>
      </c>
      <c r="D38" s="5" t="s">
        <v>275</v>
      </c>
      <c r="E38" s="6" t="s">
        <v>337</v>
      </c>
      <c r="F38" s="7">
        <v>5</v>
      </c>
      <c r="G38" s="5">
        <v>1</v>
      </c>
      <c r="H38" s="31">
        <v>46444</v>
      </c>
      <c r="I38" s="31">
        <v>46449</v>
      </c>
      <c r="J38" s="7">
        <v>6</v>
      </c>
      <c r="K38" s="7">
        <v>7</v>
      </c>
      <c r="L38" s="5"/>
      <c r="M38" s="33">
        <v>0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35"/>
      <c r="AJ38" s="12"/>
      <c r="AK38" s="12"/>
      <c r="AL38" s="12"/>
    </row>
    <row r="39" spans="1:38" x14ac:dyDescent="0.3">
      <c r="A39" s="5">
        <v>34</v>
      </c>
      <c r="B39" s="6" t="s">
        <v>207</v>
      </c>
      <c r="C39" s="6" t="s">
        <v>338</v>
      </c>
      <c r="D39" s="5" t="s">
        <v>275</v>
      </c>
      <c r="E39" s="6" t="s">
        <v>339</v>
      </c>
      <c r="F39" s="7">
        <v>4</v>
      </c>
      <c r="G39" s="5">
        <v>1</v>
      </c>
      <c r="H39" s="31">
        <v>46448</v>
      </c>
      <c r="I39" s="31">
        <v>46451</v>
      </c>
      <c r="J39" s="7">
        <v>4</v>
      </c>
      <c r="K39" s="7">
        <v>1</v>
      </c>
      <c r="L39" s="5"/>
      <c r="M39" s="33">
        <v>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35"/>
      <c r="AJ39" s="35"/>
      <c r="AK39" s="12"/>
      <c r="AL39" s="12"/>
    </row>
    <row r="40" spans="1:38" x14ac:dyDescent="0.3">
      <c r="A40" s="5">
        <v>35</v>
      </c>
      <c r="B40" s="30" t="s">
        <v>211</v>
      </c>
      <c r="C40" s="30" t="s">
        <v>340</v>
      </c>
      <c r="D40" s="5" t="s">
        <v>275</v>
      </c>
      <c r="E40" s="6" t="s">
        <v>339</v>
      </c>
      <c r="F40" s="7">
        <v>5</v>
      </c>
      <c r="G40" s="5">
        <v>1</v>
      </c>
      <c r="H40" s="31">
        <v>46448</v>
      </c>
      <c r="I40" s="31">
        <v>46452</v>
      </c>
      <c r="J40" s="7">
        <v>5</v>
      </c>
      <c r="K40" s="7">
        <v>0</v>
      </c>
      <c r="L40" s="32" t="s">
        <v>273</v>
      </c>
      <c r="M40" s="33">
        <v>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34"/>
      <c r="AJ40" s="34"/>
      <c r="AK40" s="12"/>
      <c r="AL40" s="12"/>
    </row>
    <row r="41" spans="1:38" x14ac:dyDescent="0.3">
      <c r="A41" s="5">
        <v>36</v>
      </c>
      <c r="B41" s="30" t="s">
        <v>214</v>
      </c>
      <c r="C41" s="30" t="s">
        <v>341</v>
      </c>
      <c r="D41" s="5" t="s">
        <v>275</v>
      </c>
      <c r="E41" s="6" t="s">
        <v>342</v>
      </c>
      <c r="F41" s="7">
        <v>3</v>
      </c>
      <c r="G41" s="5">
        <v>1</v>
      </c>
      <c r="H41" s="31">
        <v>46454</v>
      </c>
      <c r="I41" s="31">
        <v>46456</v>
      </c>
      <c r="J41" s="7">
        <v>3</v>
      </c>
      <c r="K41" s="7">
        <v>0</v>
      </c>
      <c r="L41" s="32" t="s">
        <v>273</v>
      </c>
      <c r="M41" s="33">
        <v>0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34"/>
      <c r="AK41" s="12"/>
      <c r="AL41" s="12"/>
    </row>
    <row r="42" spans="1:38" x14ac:dyDescent="0.3">
      <c r="A42" s="5">
        <v>37</v>
      </c>
      <c r="B42" s="30" t="s">
        <v>217</v>
      </c>
      <c r="C42" s="30" t="s">
        <v>343</v>
      </c>
      <c r="D42" s="5" t="s">
        <v>344</v>
      </c>
      <c r="E42" s="6" t="s">
        <v>345</v>
      </c>
      <c r="F42" s="7">
        <v>0</v>
      </c>
      <c r="G42" s="5">
        <v>1</v>
      </c>
      <c r="H42" s="31">
        <v>46457</v>
      </c>
      <c r="I42" s="31">
        <v>46457</v>
      </c>
      <c r="J42" s="7">
        <v>0</v>
      </c>
      <c r="K42" s="7">
        <v>0</v>
      </c>
      <c r="L42" s="32" t="s">
        <v>273</v>
      </c>
      <c r="M42" s="33">
        <v>0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34"/>
      <c r="AL42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" x14ac:dyDescent="0.3"/>
  <cols>
    <col min="1" max="1" width="38" customWidth="1"/>
    <col min="2" max="2" width="4" customWidth="1"/>
    <col min="3" max="3" width="25" customWidth="1"/>
    <col min="4" max="4" width="4" customWidth="1"/>
    <col min="5" max="5" width="60" customWidth="1"/>
  </cols>
  <sheetData>
    <row r="1" spans="1:6" ht="20" x14ac:dyDescent="0.55000000000000004">
      <c r="A1" s="1" t="s">
        <v>346</v>
      </c>
    </row>
    <row r="2" spans="1:6" ht="15" x14ac:dyDescent="0.4">
      <c r="A2" s="2" t="s">
        <v>347</v>
      </c>
    </row>
    <row r="4" spans="1:6" ht="14.5" x14ac:dyDescent="0.35">
      <c r="A4" s="36" t="s">
        <v>348</v>
      </c>
      <c r="C4" s="36" t="s">
        <v>349</v>
      </c>
      <c r="E4" s="36" t="s">
        <v>350</v>
      </c>
    </row>
    <row r="5" spans="1:6" ht="16" x14ac:dyDescent="0.4">
      <c r="A5" s="37" t="s">
        <v>351</v>
      </c>
      <c r="B5" s="12"/>
      <c r="C5" s="38">
        <f>BOQ_TIEN_DO!G41</f>
        <v>21214420439.990582</v>
      </c>
      <c r="D5" s="12"/>
      <c r="E5" s="39" t="s">
        <v>352</v>
      </c>
      <c r="F5" s="12"/>
    </row>
    <row r="6" spans="1:6" ht="16" x14ac:dyDescent="0.4">
      <c r="A6" s="37" t="s">
        <v>353</v>
      </c>
      <c r="B6" s="12"/>
      <c r="C6" s="38">
        <f>C5*0.485</f>
        <v>10288993913.395432</v>
      </c>
      <c r="D6" s="12"/>
      <c r="E6" s="39" t="s">
        <v>354</v>
      </c>
      <c r="F6" s="12"/>
    </row>
    <row r="7" spans="1:6" ht="16" x14ac:dyDescent="0.4">
      <c r="A7" s="37" t="s">
        <v>355</v>
      </c>
      <c r="B7" s="12"/>
      <c r="C7" s="38">
        <f>C5*0.512</f>
        <v>10861783265.275179</v>
      </c>
      <c r="D7" s="12"/>
      <c r="E7" s="39" t="s">
        <v>356</v>
      </c>
      <c r="F7" s="12"/>
    </row>
    <row r="8" spans="1:6" ht="16" x14ac:dyDescent="0.4">
      <c r="A8" s="37" t="s">
        <v>357</v>
      </c>
      <c r="B8" s="12"/>
      <c r="C8" s="38">
        <f>C5*0.498</f>
        <v>10564781379.115309</v>
      </c>
      <c r="D8" s="12"/>
      <c r="E8" s="39" t="s">
        <v>358</v>
      </c>
      <c r="F8" s="12"/>
    </row>
    <row r="9" spans="1:6" ht="16" x14ac:dyDescent="0.4">
      <c r="A9" s="37" t="s">
        <v>359</v>
      </c>
      <c r="B9" s="12"/>
      <c r="C9" s="38">
        <f>C7-C6</f>
        <v>572789351.87974739</v>
      </c>
      <c r="D9" s="12"/>
      <c r="E9" s="39" t="s">
        <v>360</v>
      </c>
      <c r="F9" s="12"/>
    </row>
    <row r="10" spans="1:6" ht="16" x14ac:dyDescent="0.4">
      <c r="A10" s="37" t="s">
        <v>361</v>
      </c>
      <c r="B10" s="12"/>
      <c r="C10" s="38">
        <f>C7-C8</f>
        <v>297001886.15987015</v>
      </c>
      <c r="D10" s="12"/>
      <c r="E10" s="39" t="s">
        <v>362</v>
      </c>
      <c r="F10" s="12"/>
    </row>
    <row r="11" spans="1:6" ht="16" x14ac:dyDescent="0.4">
      <c r="A11" s="37" t="s">
        <v>363</v>
      </c>
      <c r="B11" s="12"/>
      <c r="C11" s="40">
        <f>C7/C6</f>
        <v>1.0556701030927838</v>
      </c>
      <c r="D11" s="12"/>
      <c r="E11" s="39" t="s">
        <v>364</v>
      </c>
      <c r="F11" s="12"/>
    </row>
    <row r="12" spans="1:6" ht="16" x14ac:dyDescent="0.4">
      <c r="A12" s="37" t="s">
        <v>365</v>
      </c>
      <c r="B12" s="12"/>
      <c r="C12" s="40">
        <f>C7/C8</f>
        <v>1.0281124497991969</v>
      </c>
      <c r="D12" s="12"/>
      <c r="E12" s="39" t="s">
        <v>366</v>
      </c>
      <c r="F12" s="12"/>
    </row>
    <row r="13" spans="1:6" ht="16" x14ac:dyDescent="0.4">
      <c r="A13" s="37" t="s">
        <v>367</v>
      </c>
      <c r="B13" s="12"/>
      <c r="C13" s="38">
        <f>C5/C12</f>
        <v>20634338631.084587</v>
      </c>
      <c r="D13" s="12"/>
      <c r="E13" s="39" t="s">
        <v>368</v>
      </c>
      <c r="F13" s="12"/>
    </row>
    <row r="14" spans="1:6" ht="16" x14ac:dyDescent="0.4">
      <c r="A14" s="37" t="s">
        <v>369</v>
      </c>
      <c r="B14" s="12"/>
      <c r="C14" s="38">
        <f>C13-C8</f>
        <v>10069557251.969278</v>
      </c>
      <c r="D14" s="12"/>
      <c r="E14" s="39" t="s">
        <v>370</v>
      </c>
      <c r="F14" s="12"/>
    </row>
    <row r="15" spans="1:6" ht="16" x14ac:dyDescent="0.4">
      <c r="A15" s="37" t="s">
        <v>371</v>
      </c>
      <c r="B15" s="12"/>
      <c r="C15" s="38">
        <f>C5-C13</f>
        <v>580081808.90599442</v>
      </c>
      <c r="D15" s="12"/>
      <c r="E15" s="39" t="s">
        <v>372</v>
      </c>
      <c r="F15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workbookViewId="0"/>
  </sheetViews>
  <sheetFormatPr defaultRowHeight="14" x14ac:dyDescent="0.3"/>
  <cols>
    <col min="1" max="1" width="6" customWidth="1"/>
    <col min="2" max="2" width="8" customWidth="1"/>
    <col min="3" max="3" width="38" customWidth="1"/>
    <col min="4" max="4" width="16" customWidth="1"/>
    <col min="5" max="10" width="11" customWidth="1"/>
    <col min="11" max="11" width="16" customWidth="1"/>
    <col min="12" max="12" width="22" customWidth="1"/>
  </cols>
  <sheetData>
    <row r="1" spans="1:12" ht="20" x14ac:dyDescent="0.55000000000000004">
      <c r="A1" s="1" t="s">
        <v>373</v>
      </c>
    </row>
    <row r="2" spans="1:12" ht="15" x14ac:dyDescent="0.4">
      <c r="A2" s="2" t="s">
        <v>374</v>
      </c>
    </row>
    <row r="4" spans="1:12" x14ac:dyDescent="0.3">
      <c r="A4" s="4" t="s">
        <v>3</v>
      </c>
      <c r="B4" s="4" t="s">
        <v>375</v>
      </c>
      <c r="C4" s="4" t="s">
        <v>376</v>
      </c>
      <c r="D4" s="4" t="s">
        <v>377</v>
      </c>
      <c r="E4" s="4" t="s">
        <v>378</v>
      </c>
      <c r="F4" s="4" t="s">
        <v>379</v>
      </c>
      <c r="G4" s="4" t="s">
        <v>380</v>
      </c>
      <c r="H4" s="4" t="s">
        <v>381</v>
      </c>
      <c r="I4" s="4" t="s">
        <v>382</v>
      </c>
      <c r="J4" s="4" t="s">
        <v>383</v>
      </c>
      <c r="K4" s="4" t="s">
        <v>384</v>
      </c>
      <c r="L4" s="4" t="s">
        <v>385</v>
      </c>
    </row>
    <row r="5" spans="1:12" x14ac:dyDescent="0.3">
      <c r="A5" s="5">
        <v>1</v>
      </c>
      <c r="B5" s="5" t="s">
        <v>35</v>
      </c>
      <c r="C5" s="6" t="s">
        <v>386</v>
      </c>
      <c r="D5" s="7">
        <v>145</v>
      </c>
      <c r="E5" s="7">
        <v>12</v>
      </c>
      <c r="F5" s="7">
        <v>60</v>
      </c>
      <c r="G5" s="7">
        <v>48</v>
      </c>
      <c r="H5" s="7">
        <v>0</v>
      </c>
      <c r="I5" s="7">
        <v>0</v>
      </c>
      <c r="J5" s="7">
        <v>0</v>
      </c>
      <c r="K5" s="10">
        <f t="shared" ref="K5:K18" si="0">SUM(E5:J5)</f>
        <v>120</v>
      </c>
      <c r="L5" s="10">
        <f t="shared" ref="L5:L18" si="1">K5*D5</f>
        <v>17400</v>
      </c>
    </row>
    <row r="6" spans="1:12" x14ac:dyDescent="0.3">
      <c r="A6" s="5">
        <v>2</v>
      </c>
      <c r="B6" s="5" t="s">
        <v>40</v>
      </c>
      <c r="C6" s="6" t="s">
        <v>387</v>
      </c>
      <c r="D6" s="7">
        <v>62</v>
      </c>
      <c r="E6" s="7">
        <v>10</v>
      </c>
      <c r="F6" s="7">
        <v>45</v>
      </c>
      <c r="G6" s="7">
        <v>45</v>
      </c>
      <c r="H6" s="7">
        <v>45</v>
      </c>
      <c r="I6" s="7">
        <v>25</v>
      </c>
      <c r="J6" s="7">
        <v>10</v>
      </c>
      <c r="K6" s="10">
        <f t="shared" si="0"/>
        <v>180</v>
      </c>
      <c r="L6" s="10">
        <f t="shared" si="1"/>
        <v>11160</v>
      </c>
    </row>
    <row r="7" spans="1:12" x14ac:dyDescent="0.3">
      <c r="A7" s="5">
        <v>3</v>
      </c>
      <c r="B7" s="5" t="s">
        <v>45</v>
      </c>
      <c r="C7" s="6" t="s">
        <v>388</v>
      </c>
      <c r="D7" s="7">
        <v>48</v>
      </c>
      <c r="E7" s="7">
        <v>15</v>
      </c>
      <c r="F7" s="7">
        <v>25</v>
      </c>
      <c r="G7" s="7">
        <v>25</v>
      </c>
      <c r="H7" s="7">
        <v>25</v>
      </c>
      <c r="I7" s="7">
        <v>20</v>
      </c>
      <c r="J7" s="7">
        <v>10</v>
      </c>
      <c r="K7" s="10">
        <f t="shared" si="0"/>
        <v>120</v>
      </c>
      <c r="L7" s="10">
        <f t="shared" si="1"/>
        <v>5760</v>
      </c>
    </row>
    <row r="8" spans="1:12" x14ac:dyDescent="0.3">
      <c r="A8" s="5">
        <v>4</v>
      </c>
      <c r="B8" s="5" t="s">
        <v>50</v>
      </c>
      <c r="C8" s="6" t="s">
        <v>389</v>
      </c>
      <c r="D8" s="7">
        <v>68</v>
      </c>
      <c r="E8" s="7">
        <v>20</v>
      </c>
      <c r="F8" s="7">
        <v>15</v>
      </c>
      <c r="G8" s="7">
        <v>30</v>
      </c>
      <c r="H8" s="7">
        <v>15</v>
      </c>
      <c r="I8" s="7">
        <v>10</v>
      </c>
      <c r="J8" s="7">
        <v>5</v>
      </c>
      <c r="K8" s="10">
        <f t="shared" si="0"/>
        <v>95</v>
      </c>
      <c r="L8" s="10">
        <f t="shared" si="1"/>
        <v>6460</v>
      </c>
    </row>
    <row r="9" spans="1:12" x14ac:dyDescent="0.3">
      <c r="A9" s="5">
        <v>5</v>
      </c>
      <c r="B9" s="5" t="s">
        <v>55</v>
      </c>
      <c r="C9" s="6" t="s">
        <v>390</v>
      </c>
      <c r="D9" s="7">
        <v>52</v>
      </c>
      <c r="E9" s="7">
        <v>30</v>
      </c>
      <c r="F9" s="7">
        <v>25</v>
      </c>
      <c r="G9" s="7">
        <v>40</v>
      </c>
      <c r="H9" s="7">
        <v>25</v>
      </c>
      <c r="I9" s="7">
        <v>15</v>
      </c>
      <c r="J9" s="7">
        <v>5</v>
      </c>
      <c r="K9" s="10">
        <f t="shared" si="0"/>
        <v>140</v>
      </c>
      <c r="L9" s="10">
        <f t="shared" si="1"/>
        <v>7280</v>
      </c>
    </row>
    <row r="10" spans="1:12" x14ac:dyDescent="0.3">
      <c r="A10" s="5">
        <v>6</v>
      </c>
      <c r="B10" s="5" t="s">
        <v>60</v>
      </c>
      <c r="C10" s="6" t="s">
        <v>391</v>
      </c>
      <c r="D10" s="7">
        <v>42</v>
      </c>
      <c r="E10" s="7">
        <v>10</v>
      </c>
      <c r="F10" s="7">
        <v>50</v>
      </c>
      <c r="G10" s="7">
        <v>55</v>
      </c>
      <c r="H10" s="7">
        <v>45</v>
      </c>
      <c r="I10" s="7">
        <v>35</v>
      </c>
      <c r="J10" s="7">
        <v>15</v>
      </c>
      <c r="K10" s="10">
        <f t="shared" si="0"/>
        <v>210</v>
      </c>
      <c r="L10" s="10">
        <f t="shared" si="1"/>
        <v>8820</v>
      </c>
    </row>
    <row r="11" spans="1:12" x14ac:dyDescent="0.3">
      <c r="A11" s="5">
        <v>7</v>
      </c>
      <c r="B11" s="5" t="s">
        <v>65</v>
      </c>
      <c r="C11" s="6" t="s">
        <v>392</v>
      </c>
      <c r="D11" s="7">
        <v>46</v>
      </c>
      <c r="E11" s="7">
        <v>5</v>
      </c>
      <c r="F11" s="7">
        <v>20</v>
      </c>
      <c r="G11" s="7">
        <v>25</v>
      </c>
      <c r="H11" s="7">
        <v>20</v>
      </c>
      <c r="I11" s="7">
        <v>10</v>
      </c>
      <c r="J11" s="7">
        <v>5</v>
      </c>
      <c r="K11" s="10">
        <f t="shared" si="0"/>
        <v>85</v>
      </c>
      <c r="L11" s="10">
        <f t="shared" si="1"/>
        <v>3910</v>
      </c>
    </row>
    <row r="12" spans="1:12" x14ac:dyDescent="0.3">
      <c r="A12" s="5">
        <v>8</v>
      </c>
      <c r="B12" s="5" t="s">
        <v>70</v>
      </c>
      <c r="C12" s="6" t="s">
        <v>393</v>
      </c>
      <c r="D12" s="7">
        <v>38</v>
      </c>
      <c r="E12" s="7">
        <v>10</v>
      </c>
      <c r="F12" s="7">
        <v>35</v>
      </c>
      <c r="G12" s="7">
        <v>35</v>
      </c>
      <c r="H12" s="7">
        <v>15</v>
      </c>
      <c r="I12" s="7">
        <v>10</v>
      </c>
      <c r="J12" s="7">
        <v>5</v>
      </c>
      <c r="K12" s="10">
        <f t="shared" si="0"/>
        <v>110</v>
      </c>
      <c r="L12" s="10">
        <f t="shared" si="1"/>
        <v>4180</v>
      </c>
    </row>
    <row r="13" spans="1:12" x14ac:dyDescent="0.3">
      <c r="A13" s="5">
        <v>9</v>
      </c>
      <c r="B13" s="5" t="s">
        <v>75</v>
      </c>
      <c r="C13" s="6" t="s">
        <v>394</v>
      </c>
      <c r="D13" s="7">
        <v>28</v>
      </c>
      <c r="E13" s="7">
        <v>20</v>
      </c>
      <c r="F13" s="7">
        <v>45</v>
      </c>
      <c r="G13" s="7">
        <v>45</v>
      </c>
      <c r="H13" s="7">
        <v>40</v>
      </c>
      <c r="I13" s="7">
        <v>25</v>
      </c>
      <c r="J13" s="7">
        <v>15</v>
      </c>
      <c r="K13" s="10">
        <f t="shared" si="0"/>
        <v>190</v>
      </c>
      <c r="L13" s="10">
        <f t="shared" si="1"/>
        <v>5320</v>
      </c>
    </row>
    <row r="14" spans="1:12" x14ac:dyDescent="0.3">
      <c r="A14" s="5">
        <v>10</v>
      </c>
      <c r="B14" s="5" t="s">
        <v>80</v>
      </c>
      <c r="C14" s="6" t="s">
        <v>395</v>
      </c>
      <c r="D14" s="7">
        <v>58</v>
      </c>
      <c r="E14" s="7">
        <v>15</v>
      </c>
      <c r="F14" s="7">
        <v>35</v>
      </c>
      <c r="G14" s="7">
        <v>40</v>
      </c>
      <c r="H14" s="7">
        <v>35</v>
      </c>
      <c r="I14" s="7">
        <v>25</v>
      </c>
      <c r="J14" s="7">
        <v>10</v>
      </c>
      <c r="K14" s="10">
        <f t="shared" si="0"/>
        <v>160</v>
      </c>
      <c r="L14" s="10">
        <f t="shared" si="1"/>
        <v>9280</v>
      </c>
    </row>
    <row r="15" spans="1:12" x14ac:dyDescent="0.3">
      <c r="A15" s="5">
        <v>11</v>
      </c>
      <c r="B15" s="5" t="s">
        <v>85</v>
      </c>
      <c r="C15" s="6" t="s">
        <v>396</v>
      </c>
      <c r="D15" s="7">
        <v>35</v>
      </c>
      <c r="E15" s="7">
        <v>0</v>
      </c>
      <c r="F15" s="7">
        <v>0</v>
      </c>
      <c r="G15" s="7">
        <v>0</v>
      </c>
      <c r="H15" s="7">
        <v>15</v>
      </c>
      <c r="I15" s="7">
        <v>40</v>
      </c>
      <c r="J15" s="7">
        <v>5</v>
      </c>
      <c r="K15" s="10">
        <f t="shared" si="0"/>
        <v>60</v>
      </c>
      <c r="L15" s="10">
        <f t="shared" si="1"/>
        <v>2100</v>
      </c>
    </row>
    <row r="16" spans="1:12" x14ac:dyDescent="0.3">
      <c r="A16" s="5">
        <v>12</v>
      </c>
      <c r="B16" s="5" t="s">
        <v>90</v>
      </c>
      <c r="C16" s="6" t="s">
        <v>397</v>
      </c>
      <c r="D16" s="7">
        <v>45</v>
      </c>
      <c r="E16" s="7">
        <v>10</v>
      </c>
      <c r="F16" s="7">
        <v>0</v>
      </c>
      <c r="G16" s="7">
        <v>0</v>
      </c>
      <c r="H16" s="7">
        <v>0</v>
      </c>
      <c r="I16" s="7">
        <v>5</v>
      </c>
      <c r="J16" s="7">
        <v>15</v>
      </c>
      <c r="K16" s="10">
        <f t="shared" si="0"/>
        <v>30</v>
      </c>
      <c r="L16" s="10">
        <f t="shared" si="1"/>
        <v>1350</v>
      </c>
    </row>
    <row r="17" spans="1:12" x14ac:dyDescent="0.3">
      <c r="A17" s="5">
        <v>13</v>
      </c>
      <c r="B17" s="5" t="s">
        <v>95</v>
      </c>
      <c r="C17" s="6" t="s">
        <v>398</v>
      </c>
      <c r="D17" s="7">
        <v>44</v>
      </c>
      <c r="E17" s="7">
        <v>20</v>
      </c>
      <c r="F17" s="7">
        <v>25</v>
      </c>
      <c r="G17" s="7">
        <v>25</v>
      </c>
      <c r="H17" s="7">
        <v>25</v>
      </c>
      <c r="I17" s="7">
        <v>20</v>
      </c>
      <c r="J17" s="7">
        <v>15</v>
      </c>
      <c r="K17" s="10">
        <f t="shared" si="0"/>
        <v>130</v>
      </c>
      <c r="L17" s="10">
        <f t="shared" si="1"/>
        <v>5720</v>
      </c>
    </row>
    <row r="18" spans="1:12" x14ac:dyDescent="0.3">
      <c r="A18" s="5">
        <v>14</v>
      </c>
      <c r="B18" s="5" t="s">
        <v>100</v>
      </c>
      <c r="C18" s="6" t="s">
        <v>399</v>
      </c>
      <c r="D18" s="7">
        <v>55</v>
      </c>
      <c r="E18" s="7">
        <v>25</v>
      </c>
      <c r="F18" s="7">
        <v>30</v>
      </c>
      <c r="G18" s="7">
        <v>30</v>
      </c>
      <c r="H18" s="7">
        <v>30</v>
      </c>
      <c r="I18" s="7">
        <v>25</v>
      </c>
      <c r="J18" s="7">
        <v>15</v>
      </c>
      <c r="K18" s="10">
        <f t="shared" si="0"/>
        <v>155</v>
      </c>
      <c r="L18" s="10">
        <f t="shared" si="1"/>
        <v>8525</v>
      </c>
    </row>
    <row r="19" spans="1:12" ht="16" x14ac:dyDescent="0.45">
      <c r="A19" s="12"/>
      <c r="B19" s="12"/>
      <c r="C19" s="13" t="s">
        <v>400</v>
      </c>
      <c r="D19" s="12"/>
      <c r="E19" s="12"/>
      <c r="F19" s="12"/>
      <c r="G19" s="12"/>
      <c r="H19" s="12"/>
      <c r="I19" s="12"/>
      <c r="J19" s="12"/>
      <c r="K19" s="16">
        <f>SUM(K5:K18)</f>
        <v>1785</v>
      </c>
      <c r="L19" s="41">
        <f>SUM(L5:L18)</f>
        <v>97265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4" x14ac:dyDescent="0.3"/>
  <cols>
    <col min="1" max="1" width="8" customWidth="1"/>
    <col min="2" max="2" width="14" customWidth="1"/>
    <col min="3" max="3" width="52" customWidth="1"/>
    <col min="4" max="7" width="24" customWidth="1"/>
  </cols>
  <sheetData>
    <row r="1" spans="1:7" ht="20" x14ac:dyDescent="0.55000000000000004">
      <c r="A1" s="1" t="s">
        <v>401</v>
      </c>
    </row>
    <row r="2" spans="1:7" ht="15" x14ac:dyDescent="0.4">
      <c r="A2" s="2" t="s">
        <v>402</v>
      </c>
    </row>
    <row r="4" spans="1:7" x14ac:dyDescent="0.3">
      <c r="A4" s="4" t="s">
        <v>403</v>
      </c>
      <c r="B4" s="4" t="s">
        <v>4</v>
      </c>
      <c r="C4" s="4" t="s">
        <v>404</v>
      </c>
      <c r="D4" s="4" t="s">
        <v>405</v>
      </c>
      <c r="E4" s="4" t="s">
        <v>406</v>
      </c>
      <c r="F4" s="4" t="s">
        <v>407</v>
      </c>
      <c r="G4" s="4" t="s">
        <v>408</v>
      </c>
    </row>
    <row r="5" spans="1:7" x14ac:dyDescent="0.3">
      <c r="A5" s="5">
        <v>0</v>
      </c>
      <c r="B5" s="5" t="s">
        <v>409</v>
      </c>
      <c r="C5" s="6" t="s">
        <v>410</v>
      </c>
      <c r="D5" s="9">
        <v>0</v>
      </c>
      <c r="E5" s="9">
        <v>0</v>
      </c>
      <c r="F5" s="9">
        <v>0</v>
      </c>
      <c r="G5" s="10">
        <f>BOQ_TIEN_DO!G41*0.2</f>
        <v>4242884087.9981165</v>
      </c>
    </row>
    <row r="6" spans="1:7" x14ac:dyDescent="0.3">
      <c r="A6" s="5">
        <v>1</v>
      </c>
      <c r="B6" s="5" t="s">
        <v>411</v>
      </c>
      <c r="C6" s="6" t="s">
        <v>412</v>
      </c>
      <c r="D6" s="9">
        <v>3850000000</v>
      </c>
      <c r="E6" s="9">
        <v>0</v>
      </c>
      <c r="F6" s="9">
        <f>D6*0.05</f>
        <v>192500000</v>
      </c>
      <c r="G6" s="10">
        <f>D6-E6-F6</f>
        <v>3657500000</v>
      </c>
    </row>
    <row r="7" spans="1:7" x14ac:dyDescent="0.3">
      <c r="A7" s="5">
        <v>2</v>
      </c>
      <c r="B7" s="5" t="s">
        <v>413</v>
      </c>
      <c r="C7" s="6" t="s">
        <v>414</v>
      </c>
      <c r="D7" s="9">
        <v>5200000000</v>
      </c>
      <c r="E7" s="9">
        <f>G5*0.3</f>
        <v>1272865226.3994348</v>
      </c>
      <c r="F7" s="9">
        <f>D7*0.05</f>
        <v>260000000</v>
      </c>
      <c r="G7" s="10">
        <f>D7-E7-F7</f>
        <v>3667134773.600565</v>
      </c>
    </row>
    <row r="8" spans="1:7" x14ac:dyDescent="0.3">
      <c r="A8" s="5">
        <v>3</v>
      </c>
      <c r="B8" s="5" t="s">
        <v>415</v>
      </c>
      <c r="C8" s="6" t="s">
        <v>416</v>
      </c>
      <c r="D8" s="9">
        <v>5800000000</v>
      </c>
      <c r="E8" s="9">
        <f>G5*0.4</f>
        <v>1697153635.1992466</v>
      </c>
      <c r="F8" s="9">
        <f>D8*0.05</f>
        <v>290000000</v>
      </c>
      <c r="G8" s="10">
        <f>D8-E8-F8</f>
        <v>3812846364.8007536</v>
      </c>
    </row>
    <row r="9" spans="1:7" x14ac:dyDescent="0.3">
      <c r="A9" s="5">
        <v>4</v>
      </c>
      <c r="B9" s="5" t="s">
        <v>417</v>
      </c>
      <c r="C9" s="6" t="s">
        <v>418</v>
      </c>
      <c r="D9" s="9">
        <v>4100000000</v>
      </c>
      <c r="E9" s="9">
        <f>G5*0.3</f>
        <v>1272865226.3994348</v>
      </c>
      <c r="F9" s="9">
        <f>D9*0.05</f>
        <v>205000000</v>
      </c>
      <c r="G9" s="10">
        <f>D9-E9-F9</f>
        <v>2622134773.600565</v>
      </c>
    </row>
    <row r="10" spans="1:7" x14ac:dyDescent="0.3">
      <c r="A10" s="5">
        <v>5</v>
      </c>
      <c r="B10" s="5" t="s">
        <v>419</v>
      </c>
      <c r="C10" s="6" t="s">
        <v>420</v>
      </c>
      <c r="D10" s="9">
        <v>2250000000</v>
      </c>
      <c r="E10" s="9">
        <v>0</v>
      </c>
      <c r="F10" s="9">
        <f>D10*0.05</f>
        <v>112500000</v>
      </c>
      <c r="G10" s="10">
        <f>D10-E10-F10</f>
        <v>2137500000</v>
      </c>
    </row>
    <row r="11" spans="1:7" ht="16" x14ac:dyDescent="0.45">
      <c r="A11" s="12"/>
      <c r="B11" s="12"/>
      <c r="C11" s="13" t="s">
        <v>421</v>
      </c>
      <c r="D11" s="16">
        <f>SUM(D5:D10)</f>
        <v>21200000000</v>
      </c>
      <c r="E11" s="16">
        <f>SUM(E5:E10)</f>
        <v>4242884087.9981165</v>
      </c>
      <c r="F11" s="16">
        <f>SUM(F5:F10)</f>
        <v>1060000000</v>
      </c>
      <c r="G11" s="14">
        <f>SUM(G5:G10)</f>
        <v>20140000000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defaultRowHeight="14" x14ac:dyDescent="0.3"/>
  <cols>
    <col min="1" max="1" width="12" customWidth="1"/>
    <col min="2" max="2" width="48" customWidth="1"/>
    <col min="3" max="3" width="30" customWidth="1"/>
    <col min="4" max="5" width="16" customWidth="1"/>
    <col min="6" max="6" width="24" customWidth="1"/>
    <col min="7" max="7" width="42" customWidth="1"/>
  </cols>
  <sheetData>
    <row r="1" spans="1:7" ht="20" x14ac:dyDescent="0.55000000000000004">
      <c r="A1" s="1" t="s">
        <v>422</v>
      </c>
    </row>
    <row r="2" spans="1:7" ht="15" x14ac:dyDescent="0.4">
      <c r="A2" s="2" t="s">
        <v>423</v>
      </c>
    </row>
    <row r="4" spans="1:7" x14ac:dyDescent="0.3">
      <c r="A4" s="4" t="s">
        <v>424</v>
      </c>
      <c r="B4" s="4" t="s">
        <v>425</v>
      </c>
      <c r="C4" s="4" t="s">
        <v>426</v>
      </c>
      <c r="D4" s="4" t="s">
        <v>427</v>
      </c>
      <c r="E4" s="4" t="s">
        <v>428</v>
      </c>
      <c r="F4" s="4" t="s">
        <v>429</v>
      </c>
      <c r="G4" s="4" t="s">
        <v>430</v>
      </c>
    </row>
    <row r="5" spans="1:7" x14ac:dyDescent="0.3">
      <c r="A5" s="5" t="s">
        <v>431</v>
      </c>
      <c r="B5" s="6" t="s">
        <v>432</v>
      </c>
      <c r="C5" s="6" t="s">
        <v>433</v>
      </c>
      <c r="D5" s="31">
        <f>TIEN_DO!H7</f>
        <v>46296</v>
      </c>
      <c r="E5" s="31">
        <f>TIEN_DO!I8</f>
        <v>46303</v>
      </c>
      <c r="F5" s="6" t="s">
        <v>434</v>
      </c>
      <c r="G5" s="6" t="s">
        <v>435</v>
      </c>
    </row>
    <row r="6" spans="1:7" x14ac:dyDescent="0.3">
      <c r="A6" s="5" t="s">
        <v>436</v>
      </c>
      <c r="B6" s="6" t="s">
        <v>437</v>
      </c>
      <c r="C6" s="6" t="s">
        <v>438</v>
      </c>
      <c r="D6" s="31">
        <f>TIEN_DO!H12</f>
        <v>46315</v>
      </c>
      <c r="E6" s="31">
        <f>TIEN_DO!I12</f>
        <v>46325</v>
      </c>
      <c r="F6" s="6" t="s">
        <v>439</v>
      </c>
      <c r="G6" s="6" t="s">
        <v>440</v>
      </c>
    </row>
    <row r="7" spans="1:7" x14ac:dyDescent="0.3">
      <c r="A7" s="5" t="s">
        <v>441</v>
      </c>
      <c r="B7" s="6" t="s">
        <v>442</v>
      </c>
      <c r="C7" s="6" t="s">
        <v>443</v>
      </c>
      <c r="D7" s="31">
        <f>TIEN_DO!H13</f>
        <v>46326</v>
      </c>
      <c r="E7" s="31">
        <f>TIEN_DO!I14</f>
        <v>46346</v>
      </c>
      <c r="F7" s="6" t="s">
        <v>444</v>
      </c>
      <c r="G7" s="6" t="s">
        <v>445</v>
      </c>
    </row>
    <row r="8" spans="1:7" x14ac:dyDescent="0.3">
      <c r="A8" s="5" t="s">
        <v>446</v>
      </c>
      <c r="B8" s="6" t="s">
        <v>447</v>
      </c>
      <c r="C8" s="6" t="s">
        <v>448</v>
      </c>
      <c r="D8" s="31">
        <f>TIEN_DO!H15</f>
        <v>46337</v>
      </c>
      <c r="E8" s="31">
        <f>TIEN_DO!I16</f>
        <v>46358</v>
      </c>
      <c r="F8" s="6" t="s">
        <v>434</v>
      </c>
      <c r="G8" s="6" t="s">
        <v>449</v>
      </c>
    </row>
    <row r="9" spans="1:7" x14ac:dyDescent="0.3">
      <c r="A9" s="5" t="s">
        <v>450</v>
      </c>
      <c r="B9" s="6" t="s">
        <v>451</v>
      </c>
      <c r="C9" s="6" t="s">
        <v>452</v>
      </c>
      <c r="D9" s="31">
        <f>TIEN_DO!H17</f>
        <v>46359</v>
      </c>
      <c r="E9" s="31">
        <f>TIEN_DO!I17</f>
        <v>46365</v>
      </c>
      <c r="F9" s="6" t="s">
        <v>453</v>
      </c>
      <c r="G9" s="6" t="s">
        <v>454</v>
      </c>
    </row>
    <row r="10" spans="1:7" x14ac:dyDescent="0.3">
      <c r="A10" s="5" t="s">
        <v>455</v>
      </c>
      <c r="B10" s="6" t="s">
        <v>456</v>
      </c>
      <c r="C10" s="6" t="s">
        <v>457</v>
      </c>
      <c r="D10" s="31">
        <f>TIEN_DO!H19</f>
        <v>46366</v>
      </c>
      <c r="E10" s="31">
        <f>TIEN_DO!I19</f>
        <v>46372</v>
      </c>
      <c r="F10" s="6" t="s">
        <v>458</v>
      </c>
      <c r="G10" s="6" t="s">
        <v>459</v>
      </c>
    </row>
    <row r="11" spans="1:7" x14ac:dyDescent="0.3">
      <c r="A11" s="5" t="s">
        <v>460</v>
      </c>
      <c r="B11" s="6" t="s">
        <v>461</v>
      </c>
      <c r="C11" s="6" t="s">
        <v>462</v>
      </c>
      <c r="D11" s="31">
        <f>TIEN_DO!H21</f>
        <v>46375</v>
      </c>
      <c r="E11" s="31">
        <f>TIEN_DO!I21</f>
        <v>46382</v>
      </c>
      <c r="F11" s="6" t="s">
        <v>463</v>
      </c>
      <c r="G11" s="6" t="s">
        <v>464</v>
      </c>
    </row>
    <row r="12" spans="1:7" x14ac:dyDescent="0.3">
      <c r="A12" s="5" t="s">
        <v>465</v>
      </c>
      <c r="B12" s="6" t="s">
        <v>466</v>
      </c>
      <c r="C12" s="6" t="s">
        <v>467</v>
      </c>
      <c r="D12" s="31">
        <f>TIEN_DO!H22</f>
        <v>46380</v>
      </c>
      <c r="E12" s="31">
        <f>TIEN_DO!I22</f>
        <v>46387</v>
      </c>
      <c r="F12" s="6" t="s">
        <v>463</v>
      </c>
      <c r="G12" s="6" t="s">
        <v>468</v>
      </c>
    </row>
    <row r="13" spans="1:7" x14ac:dyDescent="0.3">
      <c r="A13" s="5" t="s">
        <v>469</v>
      </c>
      <c r="B13" s="6" t="s">
        <v>470</v>
      </c>
      <c r="C13" s="6" t="s">
        <v>471</v>
      </c>
      <c r="D13" s="31">
        <f>TIEN_DO!H23</f>
        <v>46384</v>
      </c>
      <c r="E13" s="31">
        <f>TIEN_DO!I23</f>
        <v>46396</v>
      </c>
      <c r="F13" s="6" t="s">
        <v>463</v>
      </c>
      <c r="G13" s="6" t="s">
        <v>472</v>
      </c>
    </row>
    <row r="14" spans="1:7" x14ac:dyDescent="0.3">
      <c r="A14" s="5" t="s">
        <v>473</v>
      </c>
      <c r="B14" s="6" t="s">
        <v>474</v>
      </c>
      <c r="C14" s="6" t="s">
        <v>475</v>
      </c>
      <c r="D14" s="31">
        <f>TIEN_DO!H24</f>
        <v>46389</v>
      </c>
      <c r="E14" s="31">
        <f>TIEN_DO!I24</f>
        <v>46402</v>
      </c>
      <c r="F14" s="6" t="s">
        <v>463</v>
      </c>
      <c r="G14" s="6" t="s">
        <v>472</v>
      </c>
    </row>
    <row r="15" spans="1:7" x14ac:dyDescent="0.3">
      <c r="A15" s="5" t="s">
        <v>476</v>
      </c>
      <c r="B15" s="6" t="s">
        <v>477</v>
      </c>
      <c r="C15" s="6" t="s">
        <v>478</v>
      </c>
      <c r="D15" s="31">
        <f>TIEN_DO!H26</f>
        <v>46398</v>
      </c>
      <c r="E15" s="31">
        <f>TIEN_DO!I27</f>
        <v>46410</v>
      </c>
      <c r="F15" s="6" t="s">
        <v>444</v>
      </c>
      <c r="G15" s="6" t="s">
        <v>479</v>
      </c>
    </row>
    <row r="16" spans="1:7" x14ac:dyDescent="0.3">
      <c r="A16" s="5" t="s">
        <v>480</v>
      </c>
      <c r="B16" s="6" t="s">
        <v>481</v>
      </c>
      <c r="C16" s="6" t="s">
        <v>482</v>
      </c>
      <c r="D16" s="31">
        <f>TIEN_DO!H29</f>
        <v>46351</v>
      </c>
      <c r="E16" s="31">
        <f>TIEN_DO!I30</f>
        <v>46393</v>
      </c>
      <c r="F16" s="6" t="s">
        <v>483</v>
      </c>
      <c r="G16" s="6" t="s">
        <v>484</v>
      </c>
    </row>
    <row r="17" spans="1:7" x14ac:dyDescent="0.3">
      <c r="A17" s="5" t="s">
        <v>485</v>
      </c>
      <c r="B17" s="6" t="s">
        <v>486</v>
      </c>
      <c r="C17" s="6" t="s">
        <v>487</v>
      </c>
      <c r="D17" s="31">
        <f>TIEN_DO!H31</f>
        <v>46394</v>
      </c>
      <c r="E17" s="31">
        <f>TIEN_DO!I31</f>
        <v>46402</v>
      </c>
      <c r="F17" s="6" t="s">
        <v>444</v>
      </c>
      <c r="G17" s="6" t="s">
        <v>488</v>
      </c>
    </row>
    <row r="18" spans="1:7" x14ac:dyDescent="0.3">
      <c r="A18" s="5" t="s">
        <v>489</v>
      </c>
      <c r="B18" s="6" t="s">
        <v>490</v>
      </c>
      <c r="C18" s="6" t="s">
        <v>491</v>
      </c>
      <c r="D18" s="31">
        <f>TIEN_DO!H32</f>
        <v>46412</v>
      </c>
      <c r="E18" s="31">
        <f>TIEN_DO!I33</f>
        <v>46431</v>
      </c>
      <c r="F18" s="6" t="s">
        <v>492</v>
      </c>
      <c r="G18" s="6" t="s">
        <v>493</v>
      </c>
    </row>
    <row r="19" spans="1:7" x14ac:dyDescent="0.3">
      <c r="A19" s="5" t="s">
        <v>494</v>
      </c>
      <c r="B19" s="6" t="s">
        <v>495</v>
      </c>
      <c r="C19" s="6" t="s">
        <v>496</v>
      </c>
      <c r="D19" s="31">
        <f>TIEN_DO!H35</f>
        <v>46433</v>
      </c>
      <c r="E19" s="31">
        <f>TIEN_DO!I37</f>
        <v>46445</v>
      </c>
      <c r="F19" s="6" t="s">
        <v>497</v>
      </c>
      <c r="G19" s="6" t="s">
        <v>498</v>
      </c>
    </row>
    <row r="20" spans="1:7" x14ac:dyDescent="0.3">
      <c r="A20" s="5" t="s">
        <v>499</v>
      </c>
      <c r="B20" s="6" t="s">
        <v>500</v>
      </c>
      <c r="C20" s="6" t="s">
        <v>501</v>
      </c>
      <c r="D20" s="31">
        <f>TIEN_DO!H41</f>
        <v>46454</v>
      </c>
      <c r="E20" s="31">
        <f>TIEN_DO!I41</f>
        <v>46456</v>
      </c>
      <c r="F20" s="6" t="s">
        <v>502</v>
      </c>
      <c r="G20" s="6" t="s">
        <v>503</v>
      </c>
    </row>
    <row r="21" spans="1:7" x14ac:dyDescent="0.3">
      <c r="A21" s="5" t="s">
        <v>504</v>
      </c>
      <c r="B21" s="6" t="s">
        <v>505</v>
      </c>
      <c r="C21" s="6" t="s">
        <v>506</v>
      </c>
      <c r="D21" s="31">
        <f>TIEN_DO!H42</f>
        <v>46457</v>
      </c>
      <c r="E21" s="31">
        <f>TIEN_DO!I42</f>
        <v>46457</v>
      </c>
      <c r="F21" s="6" t="s">
        <v>507</v>
      </c>
      <c r="G21" s="6" t="s">
        <v>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1"/>
  <sheetViews>
    <sheetView workbookViewId="0"/>
  </sheetViews>
  <sheetFormatPr defaultRowHeight="14" x14ac:dyDescent="0.3"/>
  <cols>
    <col min="1" max="1" width="110" customWidth="1"/>
  </cols>
  <sheetData>
    <row r="1" spans="1:1" ht="20" x14ac:dyDescent="0.55000000000000004">
      <c r="A1" s="1" t="s">
        <v>509</v>
      </c>
    </row>
    <row r="2" spans="1:1" ht="15" x14ac:dyDescent="0.4">
      <c r="A2" s="2" t="s">
        <v>510</v>
      </c>
    </row>
    <row r="4" spans="1:1" ht="14.5" x14ac:dyDescent="0.35">
      <c r="A4" s="20" t="s">
        <v>511</v>
      </c>
    </row>
    <row r="5" spans="1:1" ht="15" x14ac:dyDescent="0.4">
      <c r="A5" s="42" t="s">
        <v>512</v>
      </c>
    </row>
    <row r="6" spans="1:1" ht="15" x14ac:dyDescent="0.4">
      <c r="A6" s="42" t="s">
        <v>513</v>
      </c>
    </row>
    <row r="7" spans="1:1" ht="15" x14ac:dyDescent="0.4">
      <c r="A7" s="42" t="s">
        <v>514</v>
      </c>
    </row>
    <row r="8" spans="1:1" ht="15" x14ac:dyDescent="0.4">
      <c r="A8" s="42" t="s">
        <v>515</v>
      </c>
    </row>
    <row r="9" spans="1:1" ht="15" x14ac:dyDescent="0.4">
      <c r="A9" s="42"/>
    </row>
    <row r="10" spans="1:1" ht="14.5" x14ac:dyDescent="0.35">
      <c r="A10" s="20" t="s">
        <v>516</v>
      </c>
    </row>
    <row r="11" spans="1:1" ht="15" x14ac:dyDescent="0.4">
      <c r="A11" s="42" t="s">
        <v>517</v>
      </c>
    </row>
    <row r="12" spans="1:1" ht="15" x14ac:dyDescent="0.4">
      <c r="A12" s="42" t="s">
        <v>518</v>
      </c>
    </row>
    <row r="13" spans="1:1" ht="15" x14ac:dyDescent="0.4">
      <c r="A13" s="42" t="s">
        <v>519</v>
      </c>
    </row>
    <row r="14" spans="1:1" ht="15" x14ac:dyDescent="0.4">
      <c r="A14" s="42" t="s">
        <v>520</v>
      </c>
    </row>
    <row r="15" spans="1:1" ht="15" x14ac:dyDescent="0.4">
      <c r="A15" s="42" t="s">
        <v>521</v>
      </c>
    </row>
    <row r="16" spans="1:1" ht="15" x14ac:dyDescent="0.4">
      <c r="A16" s="42"/>
    </row>
    <row r="17" spans="1:1" ht="14.5" x14ac:dyDescent="0.35">
      <c r="A17" s="20" t="s">
        <v>522</v>
      </c>
    </row>
    <row r="18" spans="1:1" ht="15" x14ac:dyDescent="0.4">
      <c r="A18" s="42" t="s">
        <v>523</v>
      </c>
    </row>
    <row r="19" spans="1:1" ht="15" x14ac:dyDescent="0.4">
      <c r="A19" s="42" t="s">
        <v>524</v>
      </c>
    </row>
    <row r="20" spans="1:1" ht="15" x14ac:dyDescent="0.4">
      <c r="A20" s="42" t="s">
        <v>525</v>
      </c>
    </row>
    <row r="21" spans="1:1" ht="15" x14ac:dyDescent="0.4">
      <c r="A21" s="42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NGAY_NGHI_LE</vt:lpstr>
      <vt:lpstr>DB_DINH_MUC</vt:lpstr>
      <vt:lpstr>BOQ_TIEN_DO</vt:lpstr>
      <vt:lpstr>TIEN_DO</vt:lpstr>
      <vt:lpstr>EVM_5D_QUAN_TRI</vt:lpstr>
      <vt:lpstr>HUY_DONG_XMTB</vt:lpstr>
      <vt:lpstr>TIEN_DO_GIAI_NGAN</vt:lpstr>
      <vt:lpstr>KE_HOACH_QLCL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2026-10-11T02:55:37Z</dcterms:created>
  <dcterms:modified xsi:type="dcterms:W3CDTF">2026-10-11T02:55:45Z</dcterms:modified>
</cp:coreProperties>
</file>