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Doi_Tan_Suat_Be_Tong" sheetId="1" state="visible" r:id="rId1"/>
    <sheet xmlns:r="http://schemas.openxmlformats.org/officeDocument/2006/relationships" name="Theo_Doi_Tan_Suat_Cot_Thep" sheetId="2" state="visible" r:id="rId2"/>
    <sheet xmlns:r="http://schemas.openxmlformats.org/officeDocument/2006/relationships" name="Tong_Hop_Tan_Suat_Vat_Lieu" sheetId="3" state="visible" r:id="rId3"/>
    <sheet xmlns:r="http://schemas.openxmlformats.org/officeDocument/2006/relationships" name="NGHI_V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"/>
    <numFmt numFmtId="166" formatCode="#,##0.000"/>
    <numFmt numFmtId="167" formatCode="0.0"/>
  </numFmts>
  <fonts count="1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70C0"/>
      <sz val="9"/>
    </font>
    <font>
      <name val="Arial"/>
      <b val="1"/>
      <color rgb="001B365D"/>
      <sz val="9.5"/>
    </font>
    <font>
      <name val="Arial"/>
      <sz val="8.5"/>
    </font>
    <font>
      <name val="Arial"/>
      <b val="1"/>
      <color rgb="00C00000"/>
      <sz val="8.5"/>
    </font>
    <font>
      <name val="Arial"/>
      <b val="1"/>
      <color rgb="00008000"/>
      <sz val="8.5"/>
    </font>
    <font>
      <name val="Arial"/>
      <b val="1"/>
      <color rgb="001B365D"/>
      <sz val="10"/>
    </font>
    <font>
      <name val="Arial"/>
      <b val="1"/>
      <color rgb="00203764"/>
      <sz val="9"/>
    </font>
    <font>
      <name val="Arial"/>
      <b val="1"/>
      <sz val="8.5"/>
    </font>
    <font>
      <name val="Arial"/>
      <b val="1"/>
      <color rgb="001B365D"/>
      <sz val="13"/>
    </font>
    <font>
      <name val="Arial"/>
      <i val="1"/>
      <color rgb="00595959"/>
      <sz val="9.5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F2F8"/>
      </patternFill>
    </fill>
    <fill>
      <patternFill patternType="solid">
        <fgColor rgb="00F8CBAD"/>
      </patternFill>
    </fill>
    <fill>
      <patternFill patternType="solid">
        <fgColor rgb="001F497D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4" fontId="1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1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4" pivotButton="0" quotePrefix="0" xfId="0"/>
    <xf numFmtId="0" fontId="13" fillId="0" borderId="0" pivotButton="0" quotePrefix="0" xfId="0"/>
    <xf numFmtId="0" fontId="0" fillId="0" borderId="8" pivotButton="0" quotePrefix="0" xfId="0"/>
    <xf numFmtId="4" fontId="5" fillId="4" borderId="1" applyAlignment="1" pivotButton="0" quotePrefix="0" xfId="0">
      <alignment horizontal="right" vertical="center"/>
    </xf>
    <xf numFmtId="0" fontId="0" fillId="6" borderId="0" applyAlignment="1" pivotButton="0" quotePrefix="0" xfId="0">
      <alignment vertical="top" wrapText="1"/>
    </xf>
    <xf numFmtId="0" fontId="14" fillId="0" borderId="0" pivotButton="0" quotePrefix="0" xfId="0"/>
    <xf numFmtId="0" fontId="15" fillId="7" borderId="9" applyAlignment="1" pivotButton="0" quotePrefix="0" xfId="0">
      <alignment horizontal="center" wrapText="1"/>
    </xf>
    <xf numFmtId="0" fontId="0" fillId="0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showGridLines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8" customWidth="1" min="19" max="19"/>
    <col width="10" customWidth="1" min="20" max="20"/>
    <col width="70" customWidth="1" min="21" max="21"/>
  </cols>
  <sheetData>
    <row r="1" ht="24" customHeight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N/T/N</t>
        </is>
      </c>
      <c r="D1" s="1" t="inlineStr">
        <is>
          <t>KL/T.tế
(m3)</t>
        </is>
      </c>
      <c r="E1" s="1" t="inlineStr">
        <is>
          <t>Tuổi Bt</t>
        </is>
      </c>
      <c r="F1" s="34" t="n"/>
      <c r="G1" s="1" t="inlineStr">
        <is>
          <t>30Mpa-18±2 (Cọc nhồi)</t>
        </is>
      </c>
      <c r="H1" s="35" t="n"/>
      <c r="I1" s="34" t="n"/>
      <c r="J1" s="1" t="inlineStr">
        <is>
          <t>30Mpa-14±2 (Bệ, thân, mố, trụ, dầm)</t>
        </is>
      </c>
      <c r="K1" s="35" t="n"/>
      <c r="L1" s="34" t="n"/>
      <c r="M1" s="1" t="inlineStr">
        <is>
          <t>Khối lượng vật tư lũy kế</t>
        </is>
      </c>
      <c r="N1" s="35" t="n"/>
      <c r="O1" s="34" t="n"/>
      <c r="P1" s="2" t="inlineStr">
        <is>
          <t>Tần suất lấy mẫu thí nghiệm</t>
        </is>
      </c>
      <c r="Q1" s="35" t="n"/>
      <c r="R1" s="34" t="n"/>
      <c r="S1" s="1" t="inlineStr">
        <is>
          <t>Số lô</t>
        </is>
      </c>
      <c r="T1" s="1" t="inlineStr">
        <is>
          <t>KL
(Tấn)</t>
        </is>
      </c>
      <c r="U1" s="36" t="inlineStr">
        <is>
          <t>NGUỒN BẢN VẼ / NGHI VẤN (soát &amp; ghim)</t>
        </is>
      </c>
    </row>
    <row r="2" ht="28" customHeight="1">
      <c r="A2" s="37" t="n"/>
      <c r="B2" s="37" t="n"/>
      <c r="C2" s="37" t="n"/>
      <c r="D2" s="37" t="n"/>
      <c r="E2" s="1" t="inlineStr">
        <is>
          <t>R7</t>
        </is>
      </c>
      <c r="F2" s="1" t="inlineStr">
        <is>
          <t>R28</t>
        </is>
      </c>
      <c r="G2" s="1" t="inlineStr">
        <is>
          <t>Xi măng
0,445</t>
        </is>
      </c>
      <c r="H2" s="1" t="inlineStr">
        <is>
          <t>Cát
0,525</t>
        </is>
      </c>
      <c r="I2" s="1" t="inlineStr">
        <is>
          <t>Đá
0,696</t>
        </is>
      </c>
      <c r="J2" s="1" t="inlineStr">
        <is>
          <t>Xi măng
0,425</t>
        </is>
      </c>
      <c r="K2" s="1" t="inlineStr">
        <is>
          <t>Cát
0,555</t>
        </is>
      </c>
      <c r="L2" s="1" t="inlineStr">
        <is>
          <t>Đá
0,700</t>
        </is>
      </c>
      <c r="M2" s="1" t="inlineStr">
        <is>
          <t>Xi măng
(Tấn)</t>
        </is>
      </c>
      <c r="N2" s="1" t="inlineStr">
        <is>
          <t>Cát
(m3)</t>
        </is>
      </c>
      <c r="O2" s="1" t="inlineStr">
        <is>
          <t>Đá
(m3)</t>
        </is>
      </c>
      <c r="P2" s="2" t="inlineStr">
        <is>
          <t>Xi măng
50 tấn
Lần</t>
        </is>
      </c>
      <c r="Q2" s="3" t="inlineStr">
        <is>
          <t>Cát
200m3
Lần</t>
        </is>
      </c>
      <c r="R2" s="2" t="inlineStr">
        <is>
          <t>Đá
350m3
Lần</t>
        </is>
      </c>
      <c r="S2" s="37" t="n"/>
      <c r="T2" s="37" t="n"/>
    </row>
    <row r="3" ht="22" customHeight="1">
      <c r="A3" s="4" t="inlineStr">
        <is>
          <t>I. HẠNG MỤC CỌC KHOAN NHỒI D1.2M (C30 ĐỘ SỤT 18±2CM) - 26 CỌC (L=872M)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4" t="n"/>
    </row>
    <row r="4" ht="20" customHeight="1">
      <c r="A4" s="6" t="n">
        <v>1</v>
      </c>
      <c r="B4" s="7" t="inlineStr">
        <is>
          <t>Bê tông cọc khoan nhồi - C1 mố M1 (L=20m)</t>
        </is>
      </c>
      <c r="C4" s="8" t="n"/>
      <c r="D4" s="38" t="n">
        <v>23.58</v>
      </c>
      <c r="E4" s="8">
        <f>IF(C4="","",C4+7)</f>
        <v/>
      </c>
      <c r="F4" s="8">
        <f>IF(C4="","",C4+28)</f>
        <v/>
      </c>
      <c r="G4" s="10" t="n">
        <v>0.445</v>
      </c>
      <c r="H4" s="10" t="n">
        <v>0.525</v>
      </c>
      <c r="I4" s="10" t="n">
        <v>0.696</v>
      </c>
      <c r="J4" s="6" t="inlineStr"/>
      <c r="K4" s="6" t="inlineStr"/>
      <c r="L4" s="6" t="inlineStr"/>
      <c r="M4" s="9">
        <f>IF(D4="","",ROUND(IF(G4&gt;0,D4*G4,D4*J4),2))</f>
        <v/>
      </c>
      <c r="N4" s="9">
        <f>IF(D4="","",ROUND(IF(H4&gt;0,D4*H4,D4*K4),2))</f>
        <v/>
      </c>
      <c r="O4" s="9">
        <f>IF(D4="","",ROUND(IF(I4&gt;0,D4*I4,D4*L4),2))</f>
        <v/>
      </c>
      <c r="P4" s="11">
        <f>IF(M4="","",IF(ROUNDUP(M4/50,0)&gt;0,"Lần " &amp; ROUNDUP(M4/50,0),""))</f>
        <v/>
      </c>
      <c r="Q4" s="12">
        <f>IF(N4="","",IF(ROUNDUP(N4/200,0)&gt;0,"Lần " &amp; ROUNDUP(N4/200,0),""))</f>
        <v/>
      </c>
      <c r="R4" s="11">
        <f>IF(O4="","",IF(ROUNDUP(O4/350,0)&gt;0,"Lần " &amp; ROUNDUP(O4/350,0),""))</f>
        <v/>
      </c>
      <c r="S4" s="6" t="inlineStr"/>
      <c r="T4" s="9" t="inlineStr"/>
      <c r="U4" s="39" t="inlineStr">
        <is>
          <t>Bản vẽ: 24,71 → 23,58 m³ (tr.64 thể tích 1 cọc (đã gồm bê tông đầu cọc)). File cũ cộng thêm 1,13 m³ đập đầu cọc. Thay bằng phiếu đổ thực tế khi có.</t>
        </is>
      </c>
    </row>
    <row r="5" ht="20" customHeight="1">
      <c r="A5" s="6" t="n">
        <v>2</v>
      </c>
      <c r="B5" s="7" t="inlineStr">
        <is>
          <t>Bê tông cọc khoan nhồi - C2 mố M1 (L=20m)</t>
        </is>
      </c>
      <c r="C5" s="8" t="n"/>
      <c r="D5" s="38" t="n">
        <v>23.58</v>
      </c>
      <c r="E5" s="8">
        <f>IF(C5="","",C5+7)</f>
        <v/>
      </c>
      <c r="F5" s="8">
        <f>IF(C5="","",C5+28)</f>
        <v/>
      </c>
      <c r="G5" s="10" t="n">
        <v>0.445</v>
      </c>
      <c r="H5" s="10" t="n">
        <v>0.525</v>
      </c>
      <c r="I5" s="10" t="n">
        <v>0.696</v>
      </c>
      <c r="J5" s="6" t="inlineStr"/>
      <c r="K5" s="6" t="inlineStr"/>
      <c r="L5" s="6" t="inlineStr"/>
      <c r="M5" s="9">
        <f>IF(D5="","",ROUND(M4+IF(G5&gt;0,D5*G5,D5*J5),2))</f>
        <v/>
      </c>
      <c r="N5" s="9">
        <f>IF(D5="","",ROUND(N4+IF(H5&gt;0,D5*H5,D5*K5),2))</f>
        <v/>
      </c>
      <c r="O5" s="9">
        <f>IF(D5="","",ROUND(O4+IF(I5&gt;0,D5*I5,D5*L5),2))</f>
        <v/>
      </c>
      <c r="P5" s="11">
        <f>IF(M5="","",IF(ROUNDUP(M5/50,0)&gt;ROUNDUP(M4/50,0),"Lần " &amp; ROUNDUP(M5/50,0),""))</f>
        <v/>
      </c>
      <c r="Q5" s="12">
        <f>IF(N5="","",IF(ROUNDUP(N5/200,0)&gt;ROUNDUP(N4/200,0),"Lần " &amp; ROUNDUP(N5/200,0),""))</f>
        <v/>
      </c>
      <c r="R5" s="11">
        <f>IF(O5="","",IF(ROUNDUP(O5/350,0)&gt;ROUNDUP(O4/350,0),"Lần " &amp; ROUNDUP(O5/350,0),""))</f>
        <v/>
      </c>
      <c r="S5" s="6" t="inlineStr"/>
      <c r="T5" s="9" t="inlineStr"/>
      <c r="U5" s="39" t="inlineStr">
        <is>
          <t>Bản vẽ: 24,71 → 23,58 m³ (tr.64 thể tích 1 cọc (đã gồm bê tông đầu cọc)). File cũ cộng thêm 1,13 m³ đập đầu cọc. Thay bằng phiếu đổ thực tế khi có.</t>
        </is>
      </c>
    </row>
    <row r="6" ht="20" customHeight="1">
      <c r="A6" s="6" t="n">
        <v>3</v>
      </c>
      <c r="B6" s="7" t="inlineStr">
        <is>
          <t>Bê tông cọc khoan nhồi - C3 mố M1 (L=20m)</t>
        </is>
      </c>
      <c r="C6" s="8" t="n"/>
      <c r="D6" s="38" t="n">
        <v>23.58</v>
      </c>
      <c r="E6" s="8">
        <f>IF(C6="","",C6+7)</f>
        <v/>
      </c>
      <c r="F6" s="8">
        <f>IF(C6="","",C6+28)</f>
        <v/>
      </c>
      <c r="G6" s="10" t="n">
        <v>0.445</v>
      </c>
      <c r="H6" s="10" t="n">
        <v>0.525</v>
      </c>
      <c r="I6" s="10" t="n">
        <v>0.696</v>
      </c>
      <c r="J6" s="6" t="inlineStr"/>
      <c r="K6" s="6" t="inlineStr"/>
      <c r="L6" s="6" t="inlineStr"/>
      <c r="M6" s="9">
        <f>IF(D6="","",ROUND(M5+IF(G6&gt;0,D6*G6,D6*J6),2))</f>
        <v/>
      </c>
      <c r="N6" s="9">
        <f>IF(D6="","",ROUND(N5+IF(H6&gt;0,D6*H6,D6*K6),2))</f>
        <v/>
      </c>
      <c r="O6" s="9">
        <f>IF(D6="","",ROUND(O5+IF(I6&gt;0,D6*I6,D6*L6),2))</f>
        <v/>
      </c>
      <c r="P6" s="11">
        <f>IF(M6="","",IF(ROUNDUP(M6/50,0)&gt;ROUNDUP(M5/50,0),"Lần " &amp; ROUNDUP(M6/50,0),""))</f>
        <v/>
      </c>
      <c r="Q6" s="12">
        <f>IF(N6="","",IF(ROUNDUP(N6/200,0)&gt;ROUNDUP(N5/200,0),"Lần " &amp; ROUNDUP(N6/200,0),""))</f>
        <v/>
      </c>
      <c r="R6" s="11">
        <f>IF(O6="","",IF(ROUNDUP(O6/350,0)&gt;ROUNDUP(O5/350,0),"Lần " &amp; ROUNDUP(O6/350,0),""))</f>
        <v/>
      </c>
      <c r="S6" s="6" t="inlineStr"/>
      <c r="T6" s="9" t="inlineStr"/>
      <c r="U6" s="39" t="inlineStr">
        <is>
          <t>Bản vẽ: 24,71 → 23,58 m³ (tr.64 thể tích 1 cọc (đã gồm bê tông đầu cọc)). File cũ cộng thêm 1,13 m³ đập đầu cọc. Thay bằng phiếu đổ thực tế khi có.</t>
        </is>
      </c>
    </row>
    <row r="7" ht="20" customHeight="1">
      <c r="A7" s="6" t="n">
        <v>4</v>
      </c>
      <c r="B7" s="7" t="inlineStr">
        <is>
          <t>Bê tông cọc khoan nhồi - C1 trụ T1 (L=40m)</t>
        </is>
      </c>
      <c r="C7" s="8" t="n"/>
      <c r="D7" s="38" t="n">
        <v>45.88</v>
      </c>
      <c r="E7" s="8">
        <f>IF(C7="","",C7+7)</f>
        <v/>
      </c>
      <c r="F7" s="8">
        <f>IF(C7="","",C7+28)</f>
        <v/>
      </c>
      <c r="G7" s="10" t="n">
        <v>0.445</v>
      </c>
      <c r="H7" s="10" t="n">
        <v>0.525</v>
      </c>
      <c r="I7" s="10" t="n">
        <v>0.696</v>
      </c>
      <c r="J7" s="6" t="inlineStr"/>
      <c r="K7" s="6" t="inlineStr"/>
      <c r="L7" s="6" t="inlineStr"/>
      <c r="M7" s="9">
        <f>IF(D7="","",ROUND(M6+IF(G7&gt;0,D7*G7,D7*J7),2))</f>
        <v/>
      </c>
      <c r="N7" s="9">
        <f>IF(D7="","",ROUND(N6+IF(H7&gt;0,D7*H7,D7*K7),2))</f>
        <v/>
      </c>
      <c r="O7" s="9">
        <f>IF(D7="","",ROUND(O6+IF(I7&gt;0,D7*I7,D7*L7),2))</f>
        <v/>
      </c>
      <c r="P7" s="11">
        <f>IF(M7="","",IF(ROUNDUP(M7/50,0)&gt;ROUNDUP(M6/50,0),"Lần " &amp; ROUNDUP(M7/50,0),""))</f>
        <v/>
      </c>
      <c r="Q7" s="12">
        <f>IF(N7="","",IF(ROUNDUP(N7/200,0)&gt;ROUNDUP(N6/200,0),"Lần " &amp; ROUNDUP(N7/200,0),""))</f>
        <v/>
      </c>
      <c r="R7" s="11">
        <f>IF(O7="","",IF(ROUNDUP(O7/350,0)&gt;ROUNDUP(O6/350,0),"Lần " &amp; ROUNDUP(O7/350,0),""))</f>
        <v/>
      </c>
      <c r="S7" s="6" t="inlineStr"/>
      <c r="T7" s="9" t="inlineStr"/>
      <c r="U7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8" ht="20" customHeight="1">
      <c r="A8" s="6" t="n">
        <v>5</v>
      </c>
      <c r="B8" s="7" t="inlineStr">
        <is>
          <t>Bê tông cọc khoan nhồi - C2 trụ T1 (L=40m)</t>
        </is>
      </c>
      <c r="C8" s="8" t="n"/>
      <c r="D8" s="38" t="n">
        <v>45.88</v>
      </c>
      <c r="E8" s="8">
        <f>IF(C8="","",C8+7)</f>
        <v/>
      </c>
      <c r="F8" s="8">
        <f>IF(C8="","",C8+28)</f>
        <v/>
      </c>
      <c r="G8" s="10" t="n">
        <v>0.445</v>
      </c>
      <c r="H8" s="10" t="n">
        <v>0.525</v>
      </c>
      <c r="I8" s="10" t="n">
        <v>0.696</v>
      </c>
      <c r="J8" s="6" t="inlineStr"/>
      <c r="K8" s="6" t="inlineStr"/>
      <c r="L8" s="6" t="inlineStr"/>
      <c r="M8" s="9">
        <f>IF(D8="","",ROUND(M7+IF(G8&gt;0,D8*G8,D8*J8),2))</f>
        <v/>
      </c>
      <c r="N8" s="9">
        <f>IF(D8="","",ROUND(N7+IF(H8&gt;0,D8*H8,D8*K8),2))</f>
        <v/>
      </c>
      <c r="O8" s="9">
        <f>IF(D8="","",ROUND(O7+IF(I8&gt;0,D8*I8,D8*L8),2))</f>
        <v/>
      </c>
      <c r="P8" s="11">
        <f>IF(M8="","",IF(ROUNDUP(M8/50,0)&gt;ROUNDUP(M7/50,0),"Lần " &amp; ROUNDUP(M8/50,0),""))</f>
        <v/>
      </c>
      <c r="Q8" s="12">
        <f>IF(N8="","",IF(ROUNDUP(N8/200,0)&gt;ROUNDUP(N7/200,0),"Lần " &amp; ROUNDUP(N8/200,0),""))</f>
        <v/>
      </c>
      <c r="R8" s="11">
        <f>IF(O8="","",IF(ROUNDUP(O8/350,0)&gt;ROUNDUP(O7/350,0),"Lần " &amp; ROUNDUP(O8/350,0),""))</f>
        <v/>
      </c>
      <c r="S8" s="6" t="inlineStr"/>
      <c r="T8" s="9" t="inlineStr"/>
      <c r="U8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9" ht="20" customHeight="1">
      <c r="A9" s="6" t="n">
        <v>6</v>
      </c>
      <c r="B9" s="7" t="inlineStr">
        <is>
          <t>Bê tông cọc khoan nhồi - C3 trụ T1 (L=40m)</t>
        </is>
      </c>
      <c r="C9" s="8" t="n"/>
      <c r="D9" s="38" t="n">
        <v>45.88</v>
      </c>
      <c r="E9" s="8">
        <f>IF(C9="","",C9+7)</f>
        <v/>
      </c>
      <c r="F9" s="8">
        <f>IF(C9="","",C9+28)</f>
        <v/>
      </c>
      <c r="G9" s="10" t="n">
        <v>0.445</v>
      </c>
      <c r="H9" s="10" t="n">
        <v>0.525</v>
      </c>
      <c r="I9" s="10" t="n">
        <v>0.696</v>
      </c>
      <c r="J9" s="6" t="inlineStr"/>
      <c r="K9" s="6" t="inlineStr"/>
      <c r="L9" s="6" t="inlineStr"/>
      <c r="M9" s="9">
        <f>IF(D9="","",ROUND(M8+IF(G9&gt;0,D9*G9,D9*J9),2))</f>
        <v/>
      </c>
      <c r="N9" s="9">
        <f>IF(D9="","",ROUND(N8+IF(H9&gt;0,D9*H9,D9*K9),2))</f>
        <v/>
      </c>
      <c r="O9" s="9">
        <f>IF(D9="","",ROUND(O8+IF(I9&gt;0,D9*I9,D9*L9),2))</f>
        <v/>
      </c>
      <c r="P9" s="11">
        <f>IF(M9="","",IF(ROUNDUP(M9/50,0)&gt;ROUNDUP(M8/50,0),"Lần " &amp; ROUNDUP(M9/50,0),""))</f>
        <v/>
      </c>
      <c r="Q9" s="12">
        <f>IF(N9="","",IF(ROUNDUP(N9/200,0)&gt;ROUNDUP(N8/200,0),"Lần " &amp; ROUNDUP(N9/200,0),""))</f>
        <v/>
      </c>
      <c r="R9" s="11">
        <f>IF(O9="","",IF(ROUNDUP(O9/350,0)&gt;ROUNDUP(O8/350,0),"Lần " &amp; ROUNDUP(O9/350,0),""))</f>
        <v/>
      </c>
      <c r="S9" s="6" t="inlineStr"/>
      <c r="T9" s="9" t="inlineStr"/>
      <c r="U9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0" ht="20" customHeight="1">
      <c r="A10" s="6" t="n">
        <v>7</v>
      </c>
      <c r="B10" s="7" t="inlineStr">
        <is>
          <t>Bê tông cọc khoan nhồi - C4 trụ T1 (L=40m)</t>
        </is>
      </c>
      <c r="C10" s="8" t="n"/>
      <c r="D10" s="38" t="n">
        <v>45.88</v>
      </c>
      <c r="E10" s="8">
        <f>IF(C10="","",C10+7)</f>
        <v/>
      </c>
      <c r="F10" s="8">
        <f>IF(C10="","",C10+28)</f>
        <v/>
      </c>
      <c r="G10" s="10" t="n">
        <v>0.445</v>
      </c>
      <c r="H10" s="10" t="n">
        <v>0.525</v>
      </c>
      <c r="I10" s="10" t="n">
        <v>0.696</v>
      </c>
      <c r="J10" s="6" t="inlineStr"/>
      <c r="K10" s="6" t="inlineStr"/>
      <c r="L10" s="6" t="inlineStr"/>
      <c r="M10" s="9">
        <f>IF(D10="","",ROUND(M9+IF(G10&gt;0,D10*G10,D10*J10),2))</f>
        <v/>
      </c>
      <c r="N10" s="9">
        <f>IF(D10="","",ROUND(N9+IF(H10&gt;0,D10*H10,D10*K10),2))</f>
        <v/>
      </c>
      <c r="O10" s="9">
        <f>IF(D10="","",ROUND(O9+IF(I10&gt;0,D10*I10,D10*L10),2))</f>
        <v/>
      </c>
      <c r="P10" s="11">
        <f>IF(M10="","",IF(ROUNDUP(M10/50,0)&gt;ROUNDUP(M9/50,0),"Lần " &amp; ROUNDUP(M10/50,0),""))</f>
        <v/>
      </c>
      <c r="Q10" s="12">
        <f>IF(N10="","",IF(ROUNDUP(N10/200,0)&gt;ROUNDUP(N9/200,0),"Lần " &amp; ROUNDUP(N10/200,0),""))</f>
        <v/>
      </c>
      <c r="R10" s="11">
        <f>IF(O10="","",IF(ROUNDUP(O10/350,0)&gt;ROUNDUP(O9/350,0),"Lần " &amp; ROUNDUP(O10/350,0),""))</f>
        <v/>
      </c>
      <c r="S10" s="6" t="inlineStr"/>
      <c r="T10" s="9" t="inlineStr"/>
      <c r="U10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1" ht="20" customHeight="1">
      <c r="A11" s="6" t="n">
        <v>8</v>
      </c>
      <c r="B11" s="7" t="inlineStr">
        <is>
          <t>Bê tông cọc khoan nhồi - C5 trụ T1 (L=40m)</t>
        </is>
      </c>
      <c r="C11" s="8" t="n"/>
      <c r="D11" s="38" t="n">
        <v>45.88</v>
      </c>
      <c r="E11" s="8">
        <f>IF(C11="","",C11+7)</f>
        <v/>
      </c>
      <c r="F11" s="8">
        <f>IF(C11="","",C11+28)</f>
        <v/>
      </c>
      <c r="G11" s="10" t="n">
        <v>0.445</v>
      </c>
      <c r="H11" s="10" t="n">
        <v>0.525</v>
      </c>
      <c r="I11" s="10" t="n">
        <v>0.696</v>
      </c>
      <c r="J11" s="6" t="inlineStr"/>
      <c r="K11" s="6" t="inlineStr"/>
      <c r="L11" s="6" t="inlineStr"/>
      <c r="M11" s="9">
        <f>IF(D11="","",ROUND(M10+IF(G11&gt;0,D11*G11,D11*J11),2))</f>
        <v/>
      </c>
      <c r="N11" s="9">
        <f>IF(D11="","",ROUND(N10+IF(H11&gt;0,D11*H11,D11*K11),2))</f>
        <v/>
      </c>
      <c r="O11" s="9">
        <f>IF(D11="","",ROUND(O10+IF(I11&gt;0,D11*I11,D11*L11),2))</f>
        <v/>
      </c>
      <c r="P11" s="11">
        <f>IF(M11="","",IF(ROUNDUP(M11/50,0)&gt;ROUNDUP(M10/50,0),"Lần " &amp; ROUNDUP(M11/50,0),""))</f>
        <v/>
      </c>
      <c r="Q11" s="12">
        <f>IF(N11="","",IF(ROUNDUP(N11/200,0)&gt;ROUNDUP(N10/200,0),"Lần " &amp; ROUNDUP(N11/200,0),""))</f>
        <v/>
      </c>
      <c r="R11" s="11">
        <f>IF(O11="","",IF(ROUNDUP(O11/350,0)&gt;ROUNDUP(O10/350,0),"Lần " &amp; ROUNDUP(O11/350,0),""))</f>
        <v/>
      </c>
      <c r="S11" s="6" t="inlineStr"/>
      <c r="T11" s="9" t="inlineStr"/>
      <c r="U11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2" ht="20" customHeight="1">
      <c r="A12" s="6" t="n">
        <v>9</v>
      </c>
      <c r="B12" s="7" t="inlineStr">
        <is>
          <t>Bê tông cọc khoan nhồi - C6 trụ T1 (L=40m)</t>
        </is>
      </c>
      <c r="C12" s="8" t="n"/>
      <c r="D12" s="38" t="n">
        <v>45.88</v>
      </c>
      <c r="E12" s="8">
        <f>IF(C12="","",C12+7)</f>
        <v/>
      </c>
      <c r="F12" s="8">
        <f>IF(C12="","",C12+28)</f>
        <v/>
      </c>
      <c r="G12" s="10" t="n">
        <v>0.445</v>
      </c>
      <c r="H12" s="10" t="n">
        <v>0.525</v>
      </c>
      <c r="I12" s="10" t="n">
        <v>0.696</v>
      </c>
      <c r="J12" s="6" t="inlineStr"/>
      <c r="K12" s="6" t="inlineStr"/>
      <c r="L12" s="6" t="inlineStr"/>
      <c r="M12" s="9">
        <f>IF(D12="","",ROUND(M11+IF(G12&gt;0,D12*G12,D12*J12),2))</f>
        <v/>
      </c>
      <c r="N12" s="9">
        <f>IF(D12="","",ROUND(N11+IF(H12&gt;0,D12*H12,D12*K12),2))</f>
        <v/>
      </c>
      <c r="O12" s="9">
        <f>IF(D12="","",ROUND(O11+IF(I12&gt;0,D12*I12,D12*L12),2))</f>
        <v/>
      </c>
      <c r="P12" s="11">
        <f>IF(M12="","",IF(ROUNDUP(M12/50,0)&gt;ROUNDUP(M11/50,0),"Lần " &amp; ROUNDUP(M12/50,0),""))</f>
        <v/>
      </c>
      <c r="Q12" s="12">
        <f>IF(N12="","",IF(ROUNDUP(N12/200,0)&gt;ROUNDUP(N11/200,0),"Lần " &amp; ROUNDUP(N12/200,0),""))</f>
        <v/>
      </c>
      <c r="R12" s="11">
        <f>IF(O12="","",IF(ROUNDUP(O12/350,0)&gt;ROUNDUP(O11/350,0),"Lần " &amp; ROUNDUP(O12/350,0),""))</f>
        <v/>
      </c>
      <c r="S12" s="6" t="inlineStr"/>
      <c r="T12" s="9" t="inlineStr"/>
      <c r="U12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3" ht="20" customHeight="1">
      <c r="A13" s="6" t="n">
        <v>10</v>
      </c>
      <c r="B13" s="7" t="inlineStr">
        <is>
          <t>Bê tông cọc khoan nhồi - C7 trụ T1 (L=40m)</t>
        </is>
      </c>
      <c r="C13" s="8" t="n"/>
      <c r="D13" s="38" t="n">
        <v>45.88</v>
      </c>
      <c r="E13" s="8">
        <f>IF(C13="","",C13+7)</f>
        <v/>
      </c>
      <c r="F13" s="8">
        <f>IF(C13="","",C13+28)</f>
        <v/>
      </c>
      <c r="G13" s="10" t="n">
        <v>0.445</v>
      </c>
      <c r="H13" s="10" t="n">
        <v>0.525</v>
      </c>
      <c r="I13" s="10" t="n">
        <v>0.696</v>
      </c>
      <c r="J13" s="6" t="inlineStr"/>
      <c r="K13" s="6" t="inlineStr"/>
      <c r="L13" s="6" t="inlineStr"/>
      <c r="M13" s="9">
        <f>IF(D13="","",ROUND(M12+IF(G13&gt;0,D13*G13,D13*J13),2))</f>
        <v/>
      </c>
      <c r="N13" s="9">
        <f>IF(D13="","",ROUND(N12+IF(H13&gt;0,D13*H13,D13*K13),2))</f>
        <v/>
      </c>
      <c r="O13" s="9">
        <f>IF(D13="","",ROUND(O12+IF(I13&gt;0,D13*I13,D13*L13),2))</f>
        <v/>
      </c>
      <c r="P13" s="11">
        <f>IF(M13="","",IF(ROUNDUP(M13/50,0)&gt;ROUNDUP(M12/50,0),"Lần " &amp; ROUNDUP(M13/50,0),""))</f>
        <v/>
      </c>
      <c r="Q13" s="12">
        <f>IF(N13="","",IF(ROUNDUP(N13/200,0)&gt;ROUNDUP(N12/200,0),"Lần " &amp; ROUNDUP(N13/200,0),""))</f>
        <v/>
      </c>
      <c r="R13" s="11">
        <f>IF(O13="","",IF(ROUNDUP(O13/350,0)&gt;ROUNDUP(O12/350,0),"Lần " &amp; ROUNDUP(O13/350,0),""))</f>
        <v/>
      </c>
      <c r="S13" s="6" t="inlineStr"/>
      <c r="T13" s="9" t="inlineStr"/>
      <c r="U13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4" ht="20" customHeight="1">
      <c r="A14" s="6" t="n">
        <v>11</v>
      </c>
      <c r="B14" s="7" t="inlineStr">
        <is>
          <t>Bê tông cọc khoan nhồi - C8 trụ T1 (L=40m)</t>
        </is>
      </c>
      <c r="C14" s="8" t="n"/>
      <c r="D14" s="38" t="n">
        <v>45.88</v>
      </c>
      <c r="E14" s="8">
        <f>IF(C14="","",C14+7)</f>
        <v/>
      </c>
      <c r="F14" s="8">
        <f>IF(C14="","",C14+28)</f>
        <v/>
      </c>
      <c r="G14" s="10" t="n">
        <v>0.445</v>
      </c>
      <c r="H14" s="10" t="n">
        <v>0.525</v>
      </c>
      <c r="I14" s="10" t="n">
        <v>0.696</v>
      </c>
      <c r="J14" s="6" t="inlineStr"/>
      <c r="K14" s="6" t="inlineStr"/>
      <c r="L14" s="6" t="inlineStr"/>
      <c r="M14" s="9">
        <f>IF(D14="","",ROUND(M13+IF(G14&gt;0,D14*G14,D14*J14),2))</f>
        <v/>
      </c>
      <c r="N14" s="9">
        <f>IF(D14="","",ROUND(N13+IF(H14&gt;0,D14*H14,D14*K14),2))</f>
        <v/>
      </c>
      <c r="O14" s="9">
        <f>IF(D14="","",ROUND(O13+IF(I14&gt;0,D14*I14,D14*L14),2))</f>
        <v/>
      </c>
      <c r="P14" s="11">
        <f>IF(M14="","",IF(ROUNDUP(M14/50,0)&gt;ROUNDUP(M13/50,0),"Lần " &amp; ROUNDUP(M14/50,0),""))</f>
        <v/>
      </c>
      <c r="Q14" s="12">
        <f>IF(N14="","",IF(ROUNDUP(N14/200,0)&gt;ROUNDUP(N13/200,0),"Lần " &amp; ROUNDUP(N14/200,0),""))</f>
        <v/>
      </c>
      <c r="R14" s="11">
        <f>IF(O14="","",IF(ROUNDUP(O14/350,0)&gt;ROUNDUP(O13/350,0),"Lần " &amp; ROUNDUP(O14/350,0),""))</f>
        <v/>
      </c>
      <c r="S14" s="6" t="inlineStr"/>
      <c r="T14" s="9" t="inlineStr"/>
      <c r="U14" s="39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</row>
    <row r="15" ht="20" customHeight="1">
      <c r="A15" s="6" t="n">
        <v>12</v>
      </c>
      <c r="B15" s="7" t="inlineStr">
        <is>
          <t>Bê tông cọc khoan nhồi - C1 trụ T2 (L=30m)</t>
        </is>
      </c>
      <c r="C15" s="8" t="n"/>
      <c r="D15" s="38" t="n">
        <v>34.73</v>
      </c>
      <c r="E15" s="8">
        <f>IF(C15="","",C15+7)</f>
        <v/>
      </c>
      <c r="F15" s="8">
        <f>IF(C15="","",C15+28)</f>
        <v/>
      </c>
      <c r="G15" s="10" t="n">
        <v>0.445</v>
      </c>
      <c r="H15" s="10" t="n">
        <v>0.525</v>
      </c>
      <c r="I15" s="10" t="n">
        <v>0.696</v>
      </c>
      <c r="J15" s="6" t="inlineStr"/>
      <c r="K15" s="6" t="inlineStr"/>
      <c r="L15" s="6" t="inlineStr"/>
      <c r="M15" s="9">
        <f>IF(D15="","",ROUND(M14+IF(G15&gt;0,D15*G15,D15*J15),2))</f>
        <v/>
      </c>
      <c r="N15" s="9">
        <f>IF(D15="","",ROUND(N14+IF(H15&gt;0,D15*H15,D15*K15),2))</f>
        <v/>
      </c>
      <c r="O15" s="9">
        <f>IF(D15="","",ROUND(O14+IF(I15&gt;0,D15*I15,D15*L15),2))</f>
        <v/>
      </c>
      <c r="P15" s="11">
        <f>IF(M15="","",IF(ROUNDUP(M15/50,0)&gt;ROUNDUP(M14/50,0),"Lần " &amp; ROUNDUP(M15/50,0),""))</f>
        <v/>
      </c>
      <c r="Q15" s="12">
        <f>IF(N15="","",IF(ROUNDUP(N15/200,0)&gt;ROUNDUP(N14/200,0),"Lần " &amp; ROUNDUP(N15/200,0),""))</f>
        <v/>
      </c>
      <c r="R15" s="11">
        <f>IF(O15="","",IF(ROUNDUP(O15/350,0)&gt;ROUNDUP(O14/350,0),"Lần " &amp; ROUNDUP(O15/350,0),""))</f>
        <v/>
      </c>
      <c r="S15" s="6" t="inlineStr"/>
      <c r="T15" s="9" t="inlineStr"/>
      <c r="U15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16" ht="20" customHeight="1">
      <c r="A16" s="6" t="n">
        <v>13</v>
      </c>
      <c r="B16" s="7" t="inlineStr">
        <is>
          <t>Bê tông cọc khoan nhồi - C2 trụ T2 (L=30m)</t>
        </is>
      </c>
      <c r="C16" s="8" t="n"/>
      <c r="D16" s="38" t="n">
        <v>34.73</v>
      </c>
      <c r="E16" s="8">
        <f>IF(C16="","",C16+7)</f>
        <v/>
      </c>
      <c r="F16" s="8">
        <f>IF(C16="","",C16+28)</f>
        <v/>
      </c>
      <c r="G16" s="10" t="n">
        <v>0.445</v>
      </c>
      <c r="H16" s="10" t="n">
        <v>0.525</v>
      </c>
      <c r="I16" s="10" t="n">
        <v>0.696</v>
      </c>
      <c r="J16" s="6" t="inlineStr"/>
      <c r="K16" s="6" t="inlineStr"/>
      <c r="L16" s="6" t="inlineStr"/>
      <c r="M16" s="9">
        <f>IF(D16="","",ROUND(M15+IF(G16&gt;0,D16*G16,D16*J16),2))</f>
        <v/>
      </c>
      <c r="N16" s="9">
        <f>IF(D16="","",ROUND(N15+IF(H16&gt;0,D16*H16,D16*K16),2))</f>
        <v/>
      </c>
      <c r="O16" s="9">
        <f>IF(D16="","",ROUND(O15+IF(I16&gt;0,D16*I16,D16*L16),2))</f>
        <v/>
      </c>
      <c r="P16" s="11">
        <f>IF(M16="","",IF(ROUNDUP(M16/50,0)&gt;ROUNDUP(M15/50,0),"Lần " &amp; ROUNDUP(M16/50,0),""))</f>
        <v/>
      </c>
      <c r="Q16" s="12">
        <f>IF(N16="","",IF(ROUNDUP(N16/200,0)&gt;ROUNDUP(N15/200,0),"Lần " &amp; ROUNDUP(N16/200,0),""))</f>
        <v/>
      </c>
      <c r="R16" s="11">
        <f>IF(O16="","",IF(ROUNDUP(O16/350,0)&gt;ROUNDUP(O15/350,0),"Lần " &amp; ROUNDUP(O16/350,0),""))</f>
        <v/>
      </c>
      <c r="S16" s="6" t="inlineStr"/>
      <c r="T16" s="9" t="inlineStr"/>
      <c r="U16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17" ht="20" customHeight="1">
      <c r="A17" s="6" t="n">
        <v>14</v>
      </c>
      <c r="B17" s="7" t="inlineStr">
        <is>
          <t>Bê tông cọc khoan nhồi - C3 trụ T2 (L=30m)</t>
        </is>
      </c>
      <c r="C17" s="8" t="n"/>
      <c r="D17" s="38" t="n">
        <v>34.73</v>
      </c>
      <c r="E17" s="8">
        <f>IF(C17="","",C17+7)</f>
        <v/>
      </c>
      <c r="F17" s="8">
        <f>IF(C17="","",C17+28)</f>
        <v/>
      </c>
      <c r="G17" s="10" t="n">
        <v>0.445</v>
      </c>
      <c r="H17" s="10" t="n">
        <v>0.525</v>
      </c>
      <c r="I17" s="10" t="n">
        <v>0.696</v>
      </c>
      <c r="J17" s="6" t="inlineStr"/>
      <c r="K17" s="6" t="inlineStr"/>
      <c r="L17" s="6" t="inlineStr"/>
      <c r="M17" s="9">
        <f>IF(D17="","",ROUND(M16+IF(G17&gt;0,D17*G17,D17*J17),2))</f>
        <v/>
      </c>
      <c r="N17" s="9">
        <f>IF(D17="","",ROUND(N16+IF(H17&gt;0,D17*H17,D17*K17),2))</f>
        <v/>
      </c>
      <c r="O17" s="9">
        <f>IF(D17="","",ROUND(O16+IF(I17&gt;0,D17*I17,D17*L17),2))</f>
        <v/>
      </c>
      <c r="P17" s="11">
        <f>IF(M17="","",IF(ROUNDUP(M17/50,0)&gt;ROUNDUP(M16/50,0),"Lần " &amp; ROUNDUP(M17/50,0),""))</f>
        <v/>
      </c>
      <c r="Q17" s="12">
        <f>IF(N17="","",IF(ROUNDUP(N17/200,0)&gt;ROUNDUP(N16/200,0),"Lần " &amp; ROUNDUP(N17/200,0),""))</f>
        <v/>
      </c>
      <c r="R17" s="11">
        <f>IF(O17="","",IF(ROUNDUP(O17/350,0)&gt;ROUNDUP(O16/350,0),"Lần " &amp; ROUNDUP(O17/350,0),""))</f>
        <v/>
      </c>
      <c r="S17" s="6" t="inlineStr"/>
      <c r="T17" s="9" t="inlineStr"/>
      <c r="U17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18" ht="20" customHeight="1">
      <c r="A18" s="6" t="n">
        <v>15</v>
      </c>
      <c r="B18" s="7" t="inlineStr">
        <is>
          <t>Bê tông cọc khoan nhồi - C4 trụ T2 (L=30m)</t>
        </is>
      </c>
      <c r="C18" s="8" t="n"/>
      <c r="D18" s="38" t="n">
        <v>34.73</v>
      </c>
      <c r="E18" s="8">
        <f>IF(C18="","",C18+7)</f>
        <v/>
      </c>
      <c r="F18" s="8">
        <f>IF(C18="","",C18+28)</f>
        <v/>
      </c>
      <c r="G18" s="10" t="n">
        <v>0.445</v>
      </c>
      <c r="H18" s="10" t="n">
        <v>0.525</v>
      </c>
      <c r="I18" s="10" t="n">
        <v>0.696</v>
      </c>
      <c r="J18" s="6" t="inlineStr"/>
      <c r="K18" s="6" t="inlineStr"/>
      <c r="L18" s="6" t="inlineStr"/>
      <c r="M18" s="9">
        <f>IF(D18="","",ROUND(M17+IF(G18&gt;0,D18*G18,D18*J18),2))</f>
        <v/>
      </c>
      <c r="N18" s="9">
        <f>IF(D18="","",ROUND(N17+IF(H18&gt;0,D18*H18,D18*K18),2))</f>
        <v/>
      </c>
      <c r="O18" s="9">
        <f>IF(D18="","",ROUND(O17+IF(I18&gt;0,D18*I18,D18*L18),2))</f>
        <v/>
      </c>
      <c r="P18" s="11">
        <f>IF(M18="","",IF(ROUNDUP(M18/50,0)&gt;ROUNDUP(M17/50,0),"Lần " &amp; ROUNDUP(M18/50,0),""))</f>
        <v/>
      </c>
      <c r="Q18" s="12">
        <f>IF(N18="","",IF(ROUNDUP(N18/200,0)&gt;ROUNDUP(N17/200,0),"Lần " &amp; ROUNDUP(N18/200,0),""))</f>
        <v/>
      </c>
      <c r="R18" s="11">
        <f>IF(O18="","",IF(ROUNDUP(O18/350,0)&gt;ROUNDUP(O17/350,0),"Lần " &amp; ROUNDUP(O18/350,0),""))</f>
        <v/>
      </c>
      <c r="S18" s="6" t="inlineStr"/>
      <c r="T18" s="9" t="inlineStr"/>
      <c r="U18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19" ht="20" customHeight="1">
      <c r="A19" s="6" t="n">
        <v>16</v>
      </c>
      <c r="B19" s="7" t="inlineStr">
        <is>
          <t>Bê tông cọc khoan nhồi - C5 trụ T2 (L=30m)</t>
        </is>
      </c>
      <c r="C19" s="8" t="n"/>
      <c r="D19" s="38" t="n">
        <v>34.73</v>
      </c>
      <c r="E19" s="8">
        <f>IF(C19="","",C19+7)</f>
        <v/>
      </c>
      <c r="F19" s="8">
        <f>IF(C19="","",C19+28)</f>
        <v/>
      </c>
      <c r="G19" s="10" t="n">
        <v>0.445</v>
      </c>
      <c r="H19" s="10" t="n">
        <v>0.525</v>
      </c>
      <c r="I19" s="10" t="n">
        <v>0.696</v>
      </c>
      <c r="J19" s="6" t="inlineStr"/>
      <c r="K19" s="6" t="inlineStr"/>
      <c r="L19" s="6" t="inlineStr"/>
      <c r="M19" s="9">
        <f>IF(D19="","",ROUND(M18+IF(G19&gt;0,D19*G19,D19*J19),2))</f>
        <v/>
      </c>
      <c r="N19" s="9">
        <f>IF(D19="","",ROUND(N18+IF(H19&gt;0,D19*H19,D19*K19),2))</f>
        <v/>
      </c>
      <c r="O19" s="9">
        <f>IF(D19="","",ROUND(O18+IF(I19&gt;0,D19*I19,D19*L19),2))</f>
        <v/>
      </c>
      <c r="P19" s="11">
        <f>IF(M19="","",IF(ROUNDUP(M19/50,0)&gt;ROUNDUP(M18/50,0),"Lần " &amp; ROUNDUP(M19/50,0),""))</f>
        <v/>
      </c>
      <c r="Q19" s="12">
        <f>IF(N19="","",IF(ROUNDUP(N19/200,0)&gt;ROUNDUP(N18/200,0),"Lần " &amp; ROUNDUP(N19/200,0),""))</f>
        <v/>
      </c>
      <c r="R19" s="11">
        <f>IF(O19="","",IF(ROUNDUP(O19/350,0)&gt;ROUNDUP(O18/350,0),"Lần " &amp; ROUNDUP(O19/350,0),""))</f>
        <v/>
      </c>
      <c r="S19" s="6" t="inlineStr"/>
      <c r="T19" s="9" t="inlineStr"/>
      <c r="U19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20" ht="20" customHeight="1">
      <c r="A20" s="6" t="n">
        <v>17</v>
      </c>
      <c r="B20" s="7" t="inlineStr">
        <is>
          <t>Bê tông cọc khoan nhồi - C6 trụ T2 (L=30m)</t>
        </is>
      </c>
      <c r="C20" s="8" t="n"/>
      <c r="D20" s="38" t="n">
        <v>34.73</v>
      </c>
      <c r="E20" s="8">
        <f>IF(C20="","",C20+7)</f>
        <v/>
      </c>
      <c r="F20" s="8">
        <f>IF(C20="","",C20+28)</f>
        <v/>
      </c>
      <c r="G20" s="10" t="n">
        <v>0.445</v>
      </c>
      <c r="H20" s="10" t="n">
        <v>0.525</v>
      </c>
      <c r="I20" s="10" t="n">
        <v>0.696</v>
      </c>
      <c r="J20" s="6" t="inlineStr"/>
      <c r="K20" s="6" t="inlineStr"/>
      <c r="L20" s="6" t="inlineStr"/>
      <c r="M20" s="9">
        <f>IF(D20="","",ROUND(M19+IF(G20&gt;0,D20*G20,D20*J20),2))</f>
        <v/>
      </c>
      <c r="N20" s="9">
        <f>IF(D20="","",ROUND(N19+IF(H20&gt;0,D20*H20,D20*K20),2))</f>
        <v/>
      </c>
      <c r="O20" s="9">
        <f>IF(D20="","",ROUND(O19+IF(I20&gt;0,D20*I20,D20*L20),2))</f>
        <v/>
      </c>
      <c r="P20" s="11">
        <f>IF(M20="","",IF(ROUNDUP(M20/50,0)&gt;ROUNDUP(M19/50,0),"Lần " &amp; ROUNDUP(M20/50,0),""))</f>
        <v/>
      </c>
      <c r="Q20" s="12">
        <f>IF(N20="","",IF(ROUNDUP(N20/200,0)&gt;ROUNDUP(N19/200,0),"Lần " &amp; ROUNDUP(N20/200,0),""))</f>
        <v/>
      </c>
      <c r="R20" s="11">
        <f>IF(O20="","",IF(ROUNDUP(O20/350,0)&gt;ROUNDUP(O19/350,0),"Lần " &amp; ROUNDUP(O20/350,0),""))</f>
        <v/>
      </c>
      <c r="S20" s="6" t="inlineStr"/>
      <c r="T20" s="9" t="inlineStr"/>
      <c r="U20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21" ht="20" customHeight="1">
      <c r="A21" s="6" t="n">
        <v>18</v>
      </c>
      <c r="B21" s="7" t="inlineStr">
        <is>
          <t>Bê tông cọc khoan nhồi - C7 trụ T2 (L=30m)</t>
        </is>
      </c>
      <c r="C21" s="8" t="n"/>
      <c r="D21" s="38" t="n">
        <v>34.73</v>
      </c>
      <c r="E21" s="8">
        <f>IF(C21="","",C21+7)</f>
        <v/>
      </c>
      <c r="F21" s="8">
        <f>IF(C21="","",C21+28)</f>
        <v/>
      </c>
      <c r="G21" s="10" t="n">
        <v>0.445</v>
      </c>
      <c r="H21" s="10" t="n">
        <v>0.525</v>
      </c>
      <c r="I21" s="10" t="n">
        <v>0.696</v>
      </c>
      <c r="J21" s="6" t="inlineStr"/>
      <c r="K21" s="6" t="inlineStr"/>
      <c r="L21" s="6" t="inlineStr"/>
      <c r="M21" s="9">
        <f>IF(D21="","",ROUND(M20+IF(G21&gt;0,D21*G21,D21*J21),2))</f>
        <v/>
      </c>
      <c r="N21" s="9">
        <f>IF(D21="","",ROUND(N20+IF(H21&gt;0,D21*H21,D21*K21),2))</f>
        <v/>
      </c>
      <c r="O21" s="9">
        <f>IF(D21="","",ROUND(O20+IF(I21&gt;0,D21*I21,D21*L21),2))</f>
        <v/>
      </c>
      <c r="P21" s="11">
        <f>IF(M21="","",IF(ROUNDUP(M21/50,0)&gt;ROUNDUP(M20/50,0),"Lần " &amp; ROUNDUP(M21/50,0),""))</f>
        <v/>
      </c>
      <c r="Q21" s="12">
        <f>IF(N21="","",IF(ROUNDUP(N21/200,0)&gt;ROUNDUP(N20/200,0),"Lần " &amp; ROUNDUP(N21/200,0),""))</f>
        <v/>
      </c>
      <c r="R21" s="11">
        <f>IF(O21="","",IF(ROUNDUP(O21/350,0)&gt;ROUNDUP(O20/350,0),"Lần " &amp; ROUNDUP(O21/350,0),""))</f>
        <v/>
      </c>
      <c r="S21" s="6" t="inlineStr"/>
      <c r="T21" s="9" t="inlineStr"/>
      <c r="U21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22" ht="20" customHeight="1">
      <c r="A22" s="6" t="n">
        <v>19</v>
      </c>
      <c r="B22" s="7" t="inlineStr">
        <is>
          <t>Bê tông cọc khoan nhồi - C8 trụ T2 (L=30m)</t>
        </is>
      </c>
      <c r="C22" s="8" t="n"/>
      <c r="D22" s="38" t="n">
        <v>34.73</v>
      </c>
      <c r="E22" s="8">
        <f>IF(C22="","",C22+7)</f>
        <v/>
      </c>
      <c r="F22" s="8">
        <f>IF(C22="","",C22+28)</f>
        <v/>
      </c>
      <c r="G22" s="10" t="n">
        <v>0.445</v>
      </c>
      <c r="H22" s="10" t="n">
        <v>0.525</v>
      </c>
      <c r="I22" s="10" t="n">
        <v>0.696</v>
      </c>
      <c r="J22" s="6" t="inlineStr"/>
      <c r="K22" s="6" t="inlineStr"/>
      <c r="L22" s="6" t="inlineStr"/>
      <c r="M22" s="9">
        <f>IF(D22="","",ROUND(M21+IF(G22&gt;0,D22*G22,D22*J22),2))</f>
        <v/>
      </c>
      <c r="N22" s="9">
        <f>IF(D22="","",ROUND(N21+IF(H22&gt;0,D22*H22,D22*K22),2))</f>
        <v/>
      </c>
      <c r="O22" s="9">
        <f>IF(D22="","",ROUND(O21+IF(I22&gt;0,D22*I22,D22*L22),2))</f>
        <v/>
      </c>
      <c r="P22" s="11">
        <f>IF(M22="","",IF(ROUNDUP(M22/50,0)&gt;ROUNDUP(M21/50,0),"Lần " &amp; ROUNDUP(M22/50,0),""))</f>
        <v/>
      </c>
      <c r="Q22" s="12">
        <f>IF(N22="","",IF(ROUNDUP(N22/200,0)&gt;ROUNDUP(N21/200,0),"Lần " &amp; ROUNDUP(N22/200,0),""))</f>
        <v/>
      </c>
      <c r="R22" s="11">
        <f>IF(O22="","",IF(ROUNDUP(O22/350,0)&gt;ROUNDUP(O21/350,0),"Lần " &amp; ROUNDUP(O22/350,0),""))</f>
        <v/>
      </c>
      <c r="S22" s="6" t="inlineStr"/>
      <c r="T22" s="9" t="inlineStr"/>
      <c r="U22" s="39" t="inlineStr">
        <is>
          <t>Bản vẽ: 35,86 → 34,73 m³ (tr.70 thể tích 1 cọc (đã gồm bê tông đầu cọc)). File cũ cộng thêm 1,13 m³ đập đầu cọc. Thay bằng phiếu đổ thực tế khi có.</t>
        </is>
      </c>
    </row>
    <row r="23" ht="20" customHeight="1">
      <c r="A23" s="6" t="n">
        <v>20</v>
      </c>
      <c r="B23" s="7" t="inlineStr">
        <is>
          <t>Bê tông cọc khoan nhồi - C1 mố M2 (L=36m)</t>
        </is>
      </c>
      <c r="C23" s="8" t="n"/>
      <c r="D23" s="38" t="n">
        <v>41.56</v>
      </c>
      <c r="E23" s="8">
        <f>IF(C23="","",C23+7)</f>
        <v/>
      </c>
      <c r="F23" s="8">
        <f>IF(C23="","",C23+28)</f>
        <v/>
      </c>
      <c r="G23" s="10" t="n">
        <v>0.445</v>
      </c>
      <c r="H23" s="10" t="n">
        <v>0.525</v>
      </c>
      <c r="I23" s="10" t="n">
        <v>0.696</v>
      </c>
      <c r="J23" s="6" t="inlineStr"/>
      <c r="K23" s="6" t="inlineStr"/>
      <c r="L23" s="6" t="inlineStr"/>
      <c r="M23" s="9">
        <f>IF(D23="","",ROUND(M22+IF(G23&gt;0,D23*G23,D23*J23),2))</f>
        <v/>
      </c>
      <c r="N23" s="9">
        <f>IF(D23="","",ROUND(N22+IF(H23&gt;0,D23*H23,D23*K23),2))</f>
        <v/>
      </c>
      <c r="O23" s="9">
        <f>IF(D23="","",ROUND(O22+IF(I23&gt;0,D23*I23,D23*L23),2))</f>
        <v/>
      </c>
      <c r="P23" s="11">
        <f>IF(M23="","",IF(ROUNDUP(M23/50,0)&gt;ROUNDUP(M22/50,0),"Lần " &amp; ROUNDUP(M23/50,0),""))</f>
        <v/>
      </c>
      <c r="Q23" s="12">
        <f>IF(N23="","",IF(ROUNDUP(N23/200,0)&gt;ROUNDUP(N22/200,0),"Lần " &amp; ROUNDUP(N23/200,0),""))</f>
        <v/>
      </c>
      <c r="R23" s="11">
        <f>IF(O23="","",IF(ROUNDUP(O23/350,0)&gt;ROUNDUP(O22/350,0),"Lần " &amp; ROUNDUP(O23/350,0),""))</f>
        <v/>
      </c>
      <c r="S23" s="6" t="inlineStr"/>
      <c r="T23" s="9" t="inlineStr"/>
      <c r="U23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4" ht="20" customHeight="1">
      <c r="A24" s="6" t="n">
        <v>21</v>
      </c>
      <c r="B24" s="7" t="inlineStr">
        <is>
          <t>Bê tông cọc khoan nhồi - C2 mố M2 (L=36m)</t>
        </is>
      </c>
      <c r="C24" s="8" t="n"/>
      <c r="D24" s="38" t="n">
        <v>41.56</v>
      </c>
      <c r="E24" s="8">
        <f>IF(C24="","",C24+7)</f>
        <v/>
      </c>
      <c r="F24" s="8">
        <f>IF(C24="","",C24+28)</f>
        <v/>
      </c>
      <c r="G24" s="10" t="n">
        <v>0.445</v>
      </c>
      <c r="H24" s="10" t="n">
        <v>0.525</v>
      </c>
      <c r="I24" s="10" t="n">
        <v>0.696</v>
      </c>
      <c r="J24" s="6" t="inlineStr"/>
      <c r="K24" s="6" t="inlineStr"/>
      <c r="L24" s="6" t="inlineStr"/>
      <c r="M24" s="9">
        <f>IF(D24="","",ROUND(M23+IF(G24&gt;0,D24*G24,D24*J24),2))</f>
        <v/>
      </c>
      <c r="N24" s="9">
        <f>IF(D24="","",ROUND(N23+IF(H24&gt;0,D24*H24,D24*K24),2))</f>
        <v/>
      </c>
      <c r="O24" s="9">
        <f>IF(D24="","",ROUND(O23+IF(I24&gt;0,D24*I24,D24*L24),2))</f>
        <v/>
      </c>
      <c r="P24" s="11">
        <f>IF(M24="","",IF(ROUNDUP(M24/50,0)&gt;ROUNDUP(M23/50,0),"Lần " &amp; ROUNDUP(M24/50,0),""))</f>
        <v/>
      </c>
      <c r="Q24" s="12">
        <f>IF(N24="","",IF(ROUNDUP(N24/200,0)&gt;ROUNDUP(N23/200,0),"Lần " &amp; ROUNDUP(N24/200,0),""))</f>
        <v/>
      </c>
      <c r="R24" s="11">
        <f>IF(O24="","",IF(ROUNDUP(O24/350,0)&gt;ROUNDUP(O23/350,0),"Lần " &amp; ROUNDUP(O24/350,0),""))</f>
        <v/>
      </c>
      <c r="S24" s="6" t="inlineStr"/>
      <c r="T24" s="9" t="inlineStr"/>
      <c r="U24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5" ht="20" customHeight="1">
      <c r="A25" s="6" t="n">
        <v>22</v>
      </c>
      <c r="B25" s="7" t="inlineStr">
        <is>
          <t>Bê tông cọc khoan nhồi - C3 mố M2 (L=36m)</t>
        </is>
      </c>
      <c r="C25" s="8" t="n"/>
      <c r="D25" s="38" t="n">
        <v>41.56</v>
      </c>
      <c r="E25" s="8">
        <f>IF(C25="","",C25+7)</f>
        <v/>
      </c>
      <c r="F25" s="8">
        <f>IF(C25="","",C25+28)</f>
        <v/>
      </c>
      <c r="G25" s="10" t="n">
        <v>0.445</v>
      </c>
      <c r="H25" s="10" t="n">
        <v>0.525</v>
      </c>
      <c r="I25" s="10" t="n">
        <v>0.696</v>
      </c>
      <c r="J25" s="6" t="inlineStr"/>
      <c r="K25" s="6" t="inlineStr"/>
      <c r="L25" s="6" t="inlineStr"/>
      <c r="M25" s="9">
        <f>IF(D25="","",ROUND(M24+IF(G25&gt;0,D25*G25,D25*J25),2))</f>
        <v/>
      </c>
      <c r="N25" s="9">
        <f>IF(D25="","",ROUND(N24+IF(H25&gt;0,D25*H25,D25*K25),2))</f>
        <v/>
      </c>
      <c r="O25" s="9">
        <f>IF(D25="","",ROUND(O24+IF(I25&gt;0,D25*I25,D25*L25),2))</f>
        <v/>
      </c>
      <c r="P25" s="11">
        <f>IF(M25="","",IF(ROUNDUP(M25/50,0)&gt;ROUNDUP(M24/50,0),"Lần " &amp; ROUNDUP(M25/50,0),""))</f>
        <v/>
      </c>
      <c r="Q25" s="12">
        <f>IF(N25="","",IF(ROUNDUP(N25/200,0)&gt;ROUNDUP(N24/200,0),"Lần " &amp; ROUNDUP(N25/200,0),""))</f>
        <v/>
      </c>
      <c r="R25" s="11">
        <f>IF(O25="","",IF(ROUNDUP(O25/350,0)&gt;ROUNDUP(O24/350,0),"Lần " &amp; ROUNDUP(O25/350,0),""))</f>
        <v/>
      </c>
      <c r="S25" s="6" t="inlineStr"/>
      <c r="T25" s="9" t="inlineStr"/>
      <c r="U25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6" ht="20" customHeight="1">
      <c r="A26" s="6" t="n">
        <v>23</v>
      </c>
      <c r="B26" s="7" t="inlineStr">
        <is>
          <t>Bê tông cọc khoan nhồi - C4 mố M2 (L=36m)</t>
        </is>
      </c>
      <c r="C26" s="8" t="n"/>
      <c r="D26" s="38" t="n">
        <v>41.56</v>
      </c>
      <c r="E26" s="8">
        <f>IF(C26="","",C26+7)</f>
        <v/>
      </c>
      <c r="F26" s="8">
        <f>IF(C26="","",C26+28)</f>
        <v/>
      </c>
      <c r="G26" s="10" t="n">
        <v>0.445</v>
      </c>
      <c r="H26" s="10" t="n">
        <v>0.525</v>
      </c>
      <c r="I26" s="10" t="n">
        <v>0.696</v>
      </c>
      <c r="J26" s="6" t="inlineStr"/>
      <c r="K26" s="6" t="inlineStr"/>
      <c r="L26" s="6" t="inlineStr"/>
      <c r="M26" s="9">
        <f>IF(D26="","",ROUND(M25+IF(G26&gt;0,D26*G26,D26*J26),2))</f>
        <v/>
      </c>
      <c r="N26" s="9">
        <f>IF(D26="","",ROUND(N25+IF(H26&gt;0,D26*H26,D26*K26),2))</f>
        <v/>
      </c>
      <c r="O26" s="9">
        <f>IF(D26="","",ROUND(O25+IF(I26&gt;0,D26*I26,D26*L26),2))</f>
        <v/>
      </c>
      <c r="P26" s="11">
        <f>IF(M26="","",IF(ROUNDUP(M26/50,0)&gt;ROUNDUP(M25/50,0),"Lần " &amp; ROUNDUP(M26/50,0),""))</f>
        <v/>
      </c>
      <c r="Q26" s="12">
        <f>IF(N26="","",IF(ROUNDUP(N26/200,0)&gt;ROUNDUP(N25/200,0),"Lần " &amp; ROUNDUP(N26/200,0),""))</f>
        <v/>
      </c>
      <c r="R26" s="11">
        <f>IF(O26="","",IF(ROUNDUP(O26/350,0)&gt;ROUNDUP(O25/350,0),"Lần " &amp; ROUNDUP(O26/350,0),""))</f>
        <v/>
      </c>
      <c r="S26" s="6" t="inlineStr"/>
      <c r="T26" s="9" t="inlineStr"/>
      <c r="U26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7" ht="20" customHeight="1">
      <c r="A27" s="6" t="n">
        <v>24</v>
      </c>
      <c r="B27" s="7" t="inlineStr">
        <is>
          <t>Bê tông cọc khoan nhồi - C5 mố M2 (L=36m)</t>
        </is>
      </c>
      <c r="C27" s="8" t="n"/>
      <c r="D27" s="38" t="n">
        <v>41.56</v>
      </c>
      <c r="E27" s="8">
        <f>IF(C27="","",C27+7)</f>
        <v/>
      </c>
      <c r="F27" s="8">
        <f>IF(C27="","",C27+28)</f>
        <v/>
      </c>
      <c r="G27" s="10" t="n">
        <v>0.445</v>
      </c>
      <c r="H27" s="10" t="n">
        <v>0.525</v>
      </c>
      <c r="I27" s="10" t="n">
        <v>0.696</v>
      </c>
      <c r="J27" s="6" t="inlineStr"/>
      <c r="K27" s="6" t="inlineStr"/>
      <c r="L27" s="6" t="inlineStr"/>
      <c r="M27" s="9">
        <f>IF(D27="","",ROUND(M26+IF(G27&gt;0,D27*G27,D27*J27),2))</f>
        <v/>
      </c>
      <c r="N27" s="9">
        <f>IF(D27="","",ROUND(N26+IF(H27&gt;0,D27*H27,D27*K27),2))</f>
        <v/>
      </c>
      <c r="O27" s="9">
        <f>IF(D27="","",ROUND(O26+IF(I27&gt;0,D27*I27,D27*L27),2))</f>
        <v/>
      </c>
      <c r="P27" s="11">
        <f>IF(M27="","",IF(ROUNDUP(M27/50,0)&gt;ROUNDUP(M26/50,0),"Lần " &amp; ROUNDUP(M27/50,0),""))</f>
        <v/>
      </c>
      <c r="Q27" s="12">
        <f>IF(N27="","",IF(ROUNDUP(N27/200,0)&gt;ROUNDUP(N26/200,0),"Lần " &amp; ROUNDUP(N27/200,0),""))</f>
        <v/>
      </c>
      <c r="R27" s="11">
        <f>IF(O27="","",IF(ROUNDUP(O27/350,0)&gt;ROUNDUP(O26/350,0),"Lần " &amp; ROUNDUP(O27/350,0),""))</f>
        <v/>
      </c>
      <c r="S27" s="6" t="inlineStr"/>
      <c r="T27" s="9" t="inlineStr"/>
      <c r="U27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8" ht="20" customHeight="1">
      <c r="A28" s="6" t="n">
        <v>25</v>
      </c>
      <c r="B28" s="7" t="inlineStr">
        <is>
          <t>Bê tông cọc khoan nhồi - C6 mố M2 (L=36m)</t>
        </is>
      </c>
      <c r="C28" s="8" t="n"/>
      <c r="D28" s="38" t="n">
        <v>41.56</v>
      </c>
      <c r="E28" s="8">
        <f>IF(C28="","",C28+7)</f>
        <v/>
      </c>
      <c r="F28" s="8">
        <f>IF(C28="","",C28+28)</f>
        <v/>
      </c>
      <c r="G28" s="10" t="n">
        <v>0.445</v>
      </c>
      <c r="H28" s="10" t="n">
        <v>0.525</v>
      </c>
      <c r="I28" s="10" t="n">
        <v>0.696</v>
      </c>
      <c r="J28" s="6" t="inlineStr"/>
      <c r="K28" s="6" t="inlineStr"/>
      <c r="L28" s="6" t="inlineStr"/>
      <c r="M28" s="9">
        <f>IF(D28="","",ROUND(M27+IF(G28&gt;0,D28*G28,D28*J28),2))</f>
        <v/>
      </c>
      <c r="N28" s="9">
        <f>IF(D28="","",ROUND(N27+IF(H28&gt;0,D28*H28,D28*K28),2))</f>
        <v/>
      </c>
      <c r="O28" s="9">
        <f>IF(D28="","",ROUND(O27+IF(I28&gt;0,D28*I28,D28*L28),2))</f>
        <v/>
      </c>
      <c r="P28" s="11">
        <f>IF(M28="","",IF(ROUNDUP(M28/50,0)&gt;ROUNDUP(M27/50,0),"Lần " &amp; ROUNDUP(M28/50,0),""))</f>
        <v/>
      </c>
      <c r="Q28" s="12">
        <f>IF(N28="","",IF(ROUNDUP(N28/200,0)&gt;ROUNDUP(N27/200,0),"Lần " &amp; ROUNDUP(N28/200,0),""))</f>
        <v/>
      </c>
      <c r="R28" s="11">
        <f>IF(O28="","",IF(ROUNDUP(O28/350,0)&gt;ROUNDUP(O27/350,0),"Lần " &amp; ROUNDUP(O28/350,0),""))</f>
        <v/>
      </c>
      <c r="S28" s="6" t="inlineStr"/>
      <c r="T28" s="9" t="inlineStr"/>
      <c r="U28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29" ht="20" customHeight="1">
      <c r="A29" s="6" t="n">
        <v>26</v>
      </c>
      <c r="B29" s="7" t="inlineStr">
        <is>
          <t>Bê tông cọc khoan nhồi - C7 mố M2 (L=36m)</t>
        </is>
      </c>
      <c r="C29" s="8" t="n"/>
      <c r="D29" s="38" t="n">
        <v>41.56</v>
      </c>
      <c r="E29" s="8">
        <f>IF(C29="","",C29+7)</f>
        <v/>
      </c>
      <c r="F29" s="8">
        <f>IF(C29="","",C29+28)</f>
        <v/>
      </c>
      <c r="G29" s="10" t="n">
        <v>0.445</v>
      </c>
      <c r="H29" s="10" t="n">
        <v>0.525</v>
      </c>
      <c r="I29" s="10" t="n">
        <v>0.696</v>
      </c>
      <c r="J29" s="6" t="inlineStr"/>
      <c r="K29" s="6" t="inlineStr"/>
      <c r="L29" s="6" t="inlineStr"/>
      <c r="M29" s="9">
        <f>IF(D29="","",ROUND(M28+IF(G29&gt;0,D29*G29,D29*J29),2))</f>
        <v/>
      </c>
      <c r="N29" s="9">
        <f>IF(D29="","",ROUND(N28+IF(H29&gt;0,D29*H29,D29*K29),2))</f>
        <v/>
      </c>
      <c r="O29" s="9">
        <f>IF(D29="","",ROUND(O28+IF(I29&gt;0,D29*I29,D29*L29),2))</f>
        <v/>
      </c>
      <c r="P29" s="11">
        <f>IF(M29="","",IF(ROUNDUP(M29/50,0)&gt;ROUNDUP(M28/50,0),"Lần " &amp; ROUNDUP(M29/50,0),""))</f>
        <v/>
      </c>
      <c r="Q29" s="12">
        <f>IF(N29="","",IF(ROUNDUP(N29/200,0)&gt;ROUNDUP(N28/200,0),"Lần " &amp; ROUNDUP(N29/200,0),""))</f>
        <v/>
      </c>
      <c r="R29" s="11">
        <f>IF(O29="","",IF(ROUNDUP(O29/350,0)&gt;ROUNDUP(O28/350,0),"Lần " &amp; ROUNDUP(O29/350,0),""))</f>
        <v/>
      </c>
      <c r="S29" s="6" t="inlineStr"/>
      <c r="T29" s="9" t="inlineStr"/>
      <c r="U29" s="39" t="inlineStr">
        <is>
          <t>Bản vẽ: 42,83 → 41,56 m³ (tr.66 thể tích 1 cọc (đã gồm bê tông đầu cọc)). File cũ cộng thêm 1,27 m³ đập đầu cọc. Thay bằng phiếu đổ thực tế khi có.</t>
        </is>
      </c>
    </row>
    <row r="30" ht="22" customHeight="1">
      <c r="A30" s="4" t="inlineStr">
        <is>
          <t>II. HẠNG MỤC BÊ TÔNG BỆ MỐ &amp; BỆ TRỤ (C30 ĐỘ SỤT 14±2CM)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4" t="n"/>
    </row>
    <row r="31" ht="20" customHeight="1">
      <c r="A31" s="6" t="n">
        <v>27</v>
      </c>
      <c r="B31" s="7" t="inlineStr">
        <is>
          <t>Bê tông lót móng bệ mố M1 (M100 đá 4x6)</t>
        </is>
      </c>
      <c r="C31" s="8" t="n"/>
      <c r="D31" s="38" t="n">
        <v>2.46</v>
      </c>
      <c r="E31" s="8">
        <f>IF(C31="","",C31+7)</f>
        <v/>
      </c>
      <c r="F31" s="8">
        <f>IF(C31="","",C31+28)</f>
        <v/>
      </c>
      <c r="G31" s="6" t="inlineStr"/>
      <c r="H31" s="6" t="inlineStr"/>
      <c r="I31" s="6" t="inlineStr"/>
      <c r="J31" s="10" t="n">
        <v>0.425</v>
      </c>
      <c r="K31" s="10" t="n">
        <v>0.555</v>
      </c>
      <c r="L31" s="10" t="n">
        <v>0.7</v>
      </c>
      <c r="M31" s="9">
        <f>IF(D31="","",ROUND(M29+IF(G31&gt;0,D31*G31,D31*J31),2))</f>
        <v/>
      </c>
      <c r="N31" s="9">
        <f>IF(D31="","",ROUND(N29+IF(H31&gt;0,D31*H31,D31*K31),2))</f>
        <v/>
      </c>
      <c r="O31" s="9">
        <f>IF(D31="","",ROUND(O29+IF(I31&gt;0,D31*I31,D31*L31),2))</f>
        <v/>
      </c>
      <c r="P31" s="11">
        <f>IF(M31="","",IF(ROUNDUP(M31/50,0)&gt;ROUNDUP(M29/50,0),"Lần " &amp; ROUNDUP(M31/50,0),""))</f>
        <v/>
      </c>
      <c r="Q31" s="12">
        <f>IF(N31="","",IF(ROUNDUP(N31/200,0)&gt;ROUNDUP(N29/200,0),"Lần " &amp; ROUNDUP(N31/200,0),""))</f>
        <v/>
      </c>
      <c r="R31" s="11">
        <f>IF(O31="","",IF(ROUNDUP(O31/350,0)&gt;ROUNDUP(O29/350,0),"Lần " &amp; ROUNDUP(O31/350,0),""))</f>
        <v/>
      </c>
      <c r="S31" s="6" t="inlineStr"/>
      <c r="T31" s="9" t="inlineStr"/>
      <c r="U31" s="39" t="inlineStr">
        <is>
          <t>Bản vẽ: 9,55 → 2,46 m³ (tr.31 bê tông đệm C10) | Mác M100 chưa có cấp phối riêng — đang dùng cấp phối C30 (0,425 t XM; 0,555 m³ cát; 0,700 m³ đá / m³). Nhập cấp phối được duyệt.</t>
        </is>
      </c>
    </row>
    <row r="32" ht="20" customHeight="1">
      <c r="A32" s="6" t="n">
        <v>28</v>
      </c>
      <c r="B32" s="7" t="inlineStr">
        <is>
          <t>Bê tông bệ mố M1 (C30 đá 1x2)</t>
        </is>
      </c>
      <c r="C32" s="8" t="n"/>
      <c r="D32" s="38" t="n">
        <v>0</v>
      </c>
      <c r="E32" s="8">
        <f>IF(C32="","",C32+7)</f>
        <v/>
      </c>
      <c r="F32" s="8">
        <f>IF(C32="","",C32+28)</f>
        <v/>
      </c>
      <c r="G32" s="6" t="inlineStr"/>
      <c r="H32" s="6" t="inlineStr"/>
      <c r="I32" s="6" t="inlineStr"/>
      <c r="J32" s="10" t="n">
        <v>0.425</v>
      </c>
      <c r="K32" s="10" t="n">
        <v>0.555</v>
      </c>
      <c r="L32" s="10" t="n">
        <v>0.7</v>
      </c>
      <c r="M32" s="9">
        <f>IF(D32="","",ROUND(M31+IF(G32&gt;0,D32*G32,D32*J32),2))</f>
        <v/>
      </c>
      <c r="N32" s="9">
        <f>IF(D32="","",ROUND(N31+IF(H32&gt;0,D32*H32,D32*K32),2))</f>
        <v/>
      </c>
      <c r="O32" s="9">
        <f>IF(D32="","",ROUND(O31+IF(I32&gt;0,D32*I32,D32*L32),2))</f>
        <v/>
      </c>
      <c r="P32" s="11">
        <f>IF(M32="","",IF(ROUNDUP(M32/50,0)&gt;ROUNDUP(M31/50,0),"Lần " &amp; ROUNDUP(M32/50,0),""))</f>
        <v/>
      </c>
      <c r="Q32" s="12">
        <f>IF(N32="","",IF(ROUNDUP(N32/200,0)&gt;ROUNDUP(N31/200,0),"Lần " &amp; ROUNDUP(N32/200,0),""))</f>
        <v/>
      </c>
      <c r="R32" s="11">
        <f>IF(O32="","",IF(ROUNDUP(O32/350,0)&gt;ROUNDUP(O31/350,0),"Lần " &amp; ROUNDUP(O32/350,0),""))</f>
        <v/>
      </c>
      <c r="S32" s="6" t="inlineStr"/>
      <c r="T32" s="9" t="inlineStr"/>
      <c r="U32" s="39" t="inlineStr">
        <is>
          <t>Bản vẽ: 74,50 → 0,00 m³ (tr.31 không có bệ mố M1). Tr.31 (mố M1 chân dê): tổng 75,12 m³ = tường thân 52,96 + tường đỉnh 14,23 + tường cánh 3,45 + gờ/ụ/tường tai 4,48 — không có bệ mố.</t>
        </is>
      </c>
    </row>
    <row r="33" ht="20" customHeight="1">
      <c r="A33" s="6" t="n">
        <v>29</v>
      </c>
      <c r="B33" s="7" t="inlineStr">
        <is>
          <t>Bê tông lót móng bệ trụ T1 (M100 đá 4x6)</t>
        </is>
      </c>
      <c r="C33" s="8" t="n"/>
      <c r="D33" s="38" t="n">
        <v>8.77</v>
      </c>
      <c r="E33" s="8">
        <f>IF(C33="","",C33+7)</f>
        <v/>
      </c>
      <c r="F33" s="8">
        <f>IF(C33="","",C33+28)</f>
        <v/>
      </c>
      <c r="G33" s="6" t="inlineStr"/>
      <c r="H33" s="6" t="inlineStr"/>
      <c r="I33" s="6" t="inlineStr"/>
      <c r="J33" s="10" t="n">
        <v>0.425</v>
      </c>
      <c r="K33" s="10" t="n">
        <v>0.555</v>
      </c>
      <c r="L33" s="10" t="n">
        <v>0.7</v>
      </c>
      <c r="M33" s="9">
        <f>IF(D33="","",ROUND(M32+IF(G33&gt;0,D33*G33,D33*J33),2))</f>
        <v/>
      </c>
      <c r="N33" s="9">
        <f>IF(D33="","",ROUND(N32+IF(H33&gt;0,D33*H33,D33*K33),2))</f>
        <v/>
      </c>
      <c r="O33" s="9">
        <f>IF(D33="","",ROUND(O32+IF(I33&gt;0,D33*I33,D33*L33),2))</f>
        <v/>
      </c>
      <c r="P33" s="11">
        <f>IF(M33="","",IF(ROUNDUP(M33/50,0)&gt;ROUNDUP(M32/50,0),"Lần " &amp; ROUNDUP(M33/50,0),""))</f>
        <v/>
      </c>
      <c r="Q33" s="12">
        <f>IF(N33="","",IF(ROUNDUP(N33/200,0)&gt;ROUNDUP(N32/200,0),"Lần " &amp; ROUNDUP(N33/200,0),""))</f>
        <v/>
      </c>
      <c r="R33" s="11">
        <f>IF(O33="","",IF(ROUNDUP(O33/350,0)&gt;ROUNDUP(O32/350,0),"Lần " &amp; ROUNDUP(O33/350,0),""))</f>
        <v/>
      </c>
      <c r="S33" s="6" t="inlineStr"/>
      <c r="T33" s="9" t="inlineStr"/>
      <c r="U33" s="39" t="inlineStr">
        <is>
          <t>Bản vẽ: 12,50 → 8,77 m³ (tr.44 bê tông đệm C10) | Mác M100 chưa có cấp phối riêng — đang dùng cấp phối C30 (0,425 t XM; 0,555 m³ cát; 0,700 m³ đá / m³). Nhập cấp phối được duyệt.</t>
        </is>
      </c>
    </row>
    <row r="34" ht="20" customHeight="1">
      <c r="A34" s="6" t="n">
        <v>30</v>
      </c>
      <c r="B34" s="7" t="inlineStr">
        <is>
          <t>Bê tông bệ trụ T1 - Đợt 1 (C30 đá 1x2)</t>
        </is>
      </c>
      <c r="C34" s="8" t="n"/>
      <c r="D34" s="38" t="n">
        <v>92.12</v>
      </c>
      <c r="E34" s="8">
        <f>IF(C34="","",C34+7)</f>
        <v/>
      </c>
      <c r="F34" s="8">
        <f>IF(C34="","",C34+28)</f>
        <v/>
      </c>
      <c r="G34" s="6" t="inlineStr"/>
      <c r="H34" s="6" t="inlineStr"/>
      <c r="I34" s="6" t="inlineStr"/>
      <c r="J34" s="10" t="n">
        <v>0.425</v>
      </c>
      <c r="K34" s="10" t="n">
        <v>0.555</v>
      </c>
      <c r="L34" s="10" t="n">
        <v>0.7</v>
      </c>
      <c r="M34" s="9">
        <f>IF(D34="","",ROUND(M33+IF(G34&gt;0,D34*G34,D34*J34),2))</f>
        <v/>
      </c>
      <c r="N34" s="9">
        <f>IF(D34="","",ROUND(N33+IF(H34&gt;0,D34*H34,D34*K34),2))</f>
        <v/>
      </c>
      <c r="O34" s="9">
        <f>IF(D34="","",ROUND(O33+IF(I34&gt;0,D34*I34,D34*L34),2))</f>
        <v/>
      </c>
      <c r="P34" s="11">
        <f>IF(M34="","",IF(ROUNDUP(M34/50,0)&gt;ROUNDUP(M33/50,0),"Lần " &amp; ROUNDUP(M34/50,0),""))</f>
        <v/>
      </c>
      <c r="Q34" s="12">
        <f>IF(N34="","",IF(ROUNDUP(N34/200,0)&gt;ROUNDUP(N33/200,0),"Lần " &amp; ROUNDUP(N34/200,0),""))</f>
        <v/>
      </c>
      <c r="R34" s="11">
        <f>IF(O34="","",IF(ROUNDUP(O34/350,0)&gt;ROUNDUP(O33/350,0),"Lần " &amp; ROUNDUP(O34/350,0),""))</f>
        <v/>
      </c>
      <c r="S34" s="6" t="inlineStr"/>
      <c r="T34" s="9" t="inlineStr"/>
      <c r="U34" s="39" t="inlineStr">
        <is>
          <t>Bản vẽ: 82,50 → 92,12 m³ (tr.44 bệ trụ T1, chia theo tỷ lệ 2 đợt cũ)</t>
        </is>
      </c>
    </row>
    <row r="35" ht="20" customHeight="1">
      <c r="A35" s="6" t="n">
        <v>31</v>
      </c>
      <c r="B35" s="7" t="inlineStr">
        <is>
          <t>Bê tông bệ trụ T1 - Đợt 2 (C30 đá 1x2)</t>
        </is>
      </c>
      <c r="C35" s="8" t="n"/>
      <c r="D35" s="38" t="n">
        <v>92.12</v>
      </c>
      <c r="E35" s="8">
        <f>IF(C35="","",C35+7)</f>
        <v/>
      </c>
      <c r="F35" s="8">
        <f>IF(C35="","",C35+28)</f>
        <v/>
      </c>
      <c r="G35" s="6" t="inlineStr"/>
      <c r="H35" s="6" t="inlineStr"/>
      <c r="I35" s="6" t="inlineStr"/>
      <c r="J35" s="10" t="n">
        <v>0.425</v>
      </c>
      <c r="K35" s="10" t="n">
        <v>0.555</v>
      </c>
      <c r="L35" s="10" t="n">
        <v>0.7</v>
      </c>
      <c r="M35" s="9">
        <f>IF(D35="","",ROUND(M34+IF(G35&gt;0,D35*G35,D35*J35),2))</f>
        <v/>
      </c>
      <c r="N35" s="9">
        <f>IF(D35="","",ROUND(N34+IF(H35&gt;0,D35*H35,D35*K35),2))</f>
        <v/>
      </c>
      <c r="O35" s="9">
        <f>IF(D35="","",ROUND(O34+IF(I35&gt;0,D35*I35,D35*L35),2))</f>
        <v/>
      </c>
      <c r="P35" s="11">
        <f>IF(M35="","",IF(ROUNDUP(M35/50,0)&gt;ROUNDUP(M34/50,0),"Lần " &amp; ROUNDUP(M35/50,0),""))</f>
        <v/>
      </c>
      <c r="Q35" s="12">
        <f>IF(N35="","",IF(ROUNDUP(N35/200,0)&gt;ROUNDUP(N34/200,0),"Lần " &amp; ROUNDUP(N35/200,0),""))</f>
        <v/>
      </c>
      <c r="R35" s="11">
        <f>IF(O35="","",IF(ROUNDUP(O35/350,0)&gt;ROUNDUP(O34/350,0),"Lần " &amp; ROUNDUP(O35/350,0),""))</f>
        <v/>
      </c>
      <c r="S35" s="6" t="inlineStr"/>
      <c r="T35" s="9" t="inlineStr"/>
      <c r="U35" s="39" t="inlineStr">
        <is>
          <t>Bản vẽ: 82,50 → 92,12 m³ (tr.44 bệ trụ T1, chia theo tỷ lệ 2 đợt cũ)</t>
        </is>
      </c>
    </row>
    <row r="36" ht="20" customHeight="1">
      <c r="A36" s="6" t="n">
        <v>32</v>
      </c>
      <c r="B36" s="7" t="inlineStr">
        <is>
          <t>Bê tông lót móng bệ trụ T2 (M100 đá 4x6)</t>
        </is>
      </c>
      <c r="C36" s="8" t="n"/>
      <c r="D36" s="38" t="n">
        <v>8.77</v>
      </c>
      <c r="E36" s="8">
        <f>IF(C36="","",C36+7)</f>
        <v/>
      </c>
      <c r="F36" s="8">
        <f>IF(C36="","",C36+28)</f>
        <v/>
      </c>
      <c r="G36" s="6" t="inlineStr"/>
      <c r="H36" s="6" t="inlineStr"/>
      <c r="I36" s="6" t="inlineStr"/>
      <c r="J36" s="10" t="n">
        <v>0.425</v>
      </c>
      <c r="K36" s="10" t="n">
        <v>0.555</v>
      </c>
      <c r="L36" s="10" t="n">
        <v>0.7</v>
      </c>
      <c r="M36" s="9">
        <f>IF(D36="","",ROUND(M35+IF(G36&gt;0,D36*G36,D36*J36),2))</f>
        <v/>
      </c>
      <c r="N36" s="9">
        <f>IF(D36="","",ROUND(N35+IF(H36&gt;0,D36*H36,D36*K36),2))</f>
        <v/>
      </c>
      <c r="O36" s="9">
        <f>IF(D36="","",ROUND(O35+IF(I36&gt;0,D36*I36,D36*L36),2))</f>
        <v/>
      </c>
      <c r="P36" s="11">
        <f>IF(M36="","",IF(ROUNDUP(M36/50,0)&gt;ROUNDUP(M35/50,0),"Lần " &amp; ROUNDUP(M36/50,0),""))</f>
        <v/>
      </c>
      <c r="Q36" s="12">
        <f>IF(N36="","",IF(ROUNDUP(N36/200,0)&gt;ROUNDUP(N35/200,0),"Lần " &amp; ROUNDUP(N36/200,0),""))</f>
        <v/>
      </c>
      <c r="R36" s="11">
        <f>IF(O36="","",IF(ROUNDUP(O36/350,0)&gt;ROUNDUP(O35/350,0),"Lần " &amp; ROUNDUP(O36/350,0),""))</f>
        <v/>
      </c>
      <c r="S36" s="6" t="inlineStr"/>
      <c r="T36" s="9" t="inlineStr"/>
      <c r="U36" s="39" t="inlineStr">
        <is>
          <t>Bản vẽ: 12,50 → 8,77 m³ (tr.55 bê tông đệm C10) | Mác M100 chưa có cấp phối riêng — đang dùng cấp phối C30 (0,425 t XM; 0,555 m³ cát; 0,700 m³ đá / m³). Nhập cấp phối được duyệt.</t>
        </is>
      </c>
    </row>
    <row r="37" ht="20" customHeight="1">
      <c r="A37" s="6" t="n">
        <v>33</v>
      </c>
      <c r="B37" s="7" t="inlineStr">
        <is>
          <t>Bê tông bệ trụ T2 - Đợt 1 (C30 đá 1x2)</t>
        </is>
      </c>
      <c r="C37" s="8" t="n"/>
      <c r="D37" s="38" t="n">
        <v>92.12</v>
      </c>
      <c r="E37" s="8">
        <f>IF(C37="","",C37+7)</f>
        <v/>
      </c>
      <c r="F37" s="8">
        <f>IF(C37="","",C37+28)</f>
        <v/>
      </c>
      <c r="G37" s="6" t="inlineStr"/>
      <c r="H37" s="6" t="inlineStr"/>
      <c r="I37" s="6" t="inlineStr"/>
      <c r="J37" s="10" t="n">
        <v>0.425</v>
      </c>
      <c r="K37" s="10" t="n">
        <v>0.555</v>
      </c>
      <c r="L37" s="10" t="n">
        <v>0.7</v>
      </c>
      <c r="M37" s="9">
        <f>IF(D37="","",ROUND(M36+IF(G37&gt;0,D37*G37,D37*J37),2))</f>
        <v/>
      </c>
      <c r="N37" s="9">
        <f>IF(D37="","",ROUND(N36+IF(H37&gt;0,D37*H37,D37*K37),2))</f>
        <v/>
      </c>
      <c r="O37" s="9">
        <f>IF(D37="","",ROUND(O36+IF(I37&gt;0,D37*I37,D37*L37),2))</f>
        <v/>
      </c>
      <c r="P37" s="11">
        <f>IF(M37="","",IF(ROUNDUP(M37/50,0)&gt;ROUNDUP(M36/50,0),"Lần " &amp; ROUNDUP(M37/50,0),""))</f>
        <v/>
      </c>
      <c r="Q37" s="12">
        <f>IF(N37="","",IF(ROUNDUP(N37/200,0)&gt;ROUNDUP(N36/200,0),"Lần " &amp; ROUNDUP(N37/200,0),""))</f>
        <v/>
      </c>
      <c r="R37" s="11">
        <f>IF(O37="","",IF(ROUNDUP(O37/350,0)&gt;ROUNDUP(O36/350,0),"Lần " &amp; ROUNDUP(O37/350,0),""))</f>
        <v/>
      </c>
      <c r="S37" s="6" t="inlineStr"/>
      <c r="T37" s="9" t="inlineStr"/>
      <c r="U37" s="39" t="inlineStr">
        <is>
          <t>Bản vẽ: 82,50 → 92,12 m³ (tr.55 bệ trụ T2, chia theo tỷ lệ 2 đợt cũ)</t>
        </is>
      </c>
    </row>
    <row r="38" ht="20" customHeight="1">
      <c r="A38" s="6" t="n">
        <v>34</v>
      </c>
      <c r="B38" s="7" t="inlineStr">
        <is>
          <t>Bê tông bệ trụ T2 - Đợt 2 (C30 đá 1x2)</t>
        </is>
      </c>
      <c r="C38" s="8" t="n"/>
      <c r="D38" s="38" t="n">
        <v>92.12</v>
      </c>
      <c r="E38" s="8">
        <f>IF(C38="","",C38+7)</f>
        <v/>
      </c>
      <c r="F38" s="8">
        <f>IF(C38="","",C38+28)</f>
        <v/>
      </c>
      <c r="G38" s="6" t="inlineStr"/>
      <c r="H38" s="6" t="inlineStr"/>
      <c r="I38" s="6" t="inlineStr"/>
      <c r="J38" s="10" t="n">
        <v>0.425</v>
      </c>
      <c r="K38" s="10" t="n">
        <v>0.555</v>
      </c>
      <c r="L38" s="10" t="n">
        <v>0.7</v>
      </c>
      <c r="M38" s="9">
        <f>IF(D38="","",ROUND(M37+IF(G38&gt;0,D38*G38,D38*J38),2))</f>
        <v/>
      </c>
      <c r="N38" s="9">
        <f>IF(D38="","",ROUND(N37+IF(H38&gt;0,D38*H38,D38*K38),2))</f>
        <v/>
      </c>
      <c r="O38" s="9">
        <f>IF(D38="","",ROUND(O37+IF(I38&gt;0,D38*I38,D38*L38),2))</f>
        <v/>
      </c>
      <c r="P38" s="11">
        <f>IF(M38="","",IF(ROUNDUP(M38/50,0)&gt;ROUNDUP(M37/50,0),"Lần " &amp; ROUNDUP(M38/50,0),""))</f>
        <v/>
      </c>
      <c r="Q38" s="12">
        <f>IF(N38="","",IF(ROUNDUP(N38/200,0)&gt;ROUNDUP(N37/200,0),"Lần " &amp; ROUNDUP(N38/200,0),""))</f>
        <v/>
      </c>
      <c r="R38" s="11">
        <f>IF(O38="","",IF(ROUNDUP(O38/350,0)&gt;ROUNDUP(O37/350,0),"Lần " &amp; ROUNDUP(O38/350,0),""))</f>
        <v/>
      </c>
      <c r="S38" s="6" t="inlineStr"/>
      <c r="T38" s="9" t="inlineStr"/>
      <c r="U38" s="39" t="inlineStr">
        <is>
          <t>Bản vẽ: 82,50 → 92,12 m³ (tr.55 bệ trụ T2, chia theo tỷ lệ 2 đợt cũ)</t>
        </is>
      </c>
    </row>
    <row r="39" ht="20" customHeight="1">
      <c r="A39" s="6" t="n">
        <v>35</v>
      </c>
      <c r="B39" s="7" t="inlineStr">
        <is>
          <t>Bê tông lót móng bệ mố M2 (M100 đá 4x6)</t>
        </is>
      </c>
      <c r="C39" s="8" t="n"/>
      <c r="D39" s="38" t="n">
        <v>7.09</v>
      </c>
      <c r="E39" s="8">
        <f>IF(C39="","",C39+7)</f>
        <v/>
      </c>
      <c r="F39" s="8">
        <f>IF(C39="","",C39+28)</f>
        <v/>
      </c>
      <c r="G39" s="6" t="inlineStr"/>
      <c r="H39" s="6" t="inlineStr"/>
      <c r="I39" s="6" t="inlineStr"/>
      <c r="J39" s="10" t="n">
        <v>0.425</v>
      </c>
      <c r="K39" s="10" t="n">
        <v>0.555</v>
      </c>
      <c r="L39" s="10" t="n">
        <v>0.7</v>
      </c>
      <c r="M39" s="9">
        <f>IF(D39="","",ROUND(M38+IF(G39&gt;0,D39*G39,D39*J39),2))</f>
        <v/>
      </c>
      <c r="N39" s="9">
        <f>IF(D39="","",ROUND(N38+IF(H39&gt;0,D39*H39,D39*K39),2))</f>
        <v/>
      </c>
      <c r="O39" s="9">
        <f>IF(D39="","",ROUND(O38+IF(I39&gt;0,D39*I39,D39*L39),2))</f>
        <v/>
      </c>
      <c r="P39" s="11">
        <f>IF(M39="","",IF(ROUNDUP(M39/50,0)&gt;ROUNDUP(M38/50,0),"Lần " &amp; ROUNDUP(M39/50,0),""))</f>
        <v/>
      </c>
      <c r="Q39" s="12">
        <f>IF(N39="","",IF(ROUNDUP(N39/200,0)&gt;ROUNDUP(N38/200,0),"Lần " &amp; ROUNDUP(N39/200,0),""))</f>
        <v/>
      </c>
      <c r="R39" s="11">
        <f>IF(O39="","",IF(ROUNDUP(O39/350,0)&gt;ROUNDUP(O38/350,0),"Lần " &amp; ROUNDUP(O39/350,0),""))</f>
        <v/>
      </c>
      <c r="S39" s="6" t="inlineStr"/>
      <c r="T39" s="9" t="inlineStr"/>
      <c r="U39" s="39" t="inlineStr">
        <is>
          <t>Bản vẽ: 9,55 → 7,09 m³ (tr.40 bê tông đệm C10). File cũ 9,55 m³ là tổng đệm của CẢ 2 mố (tr.175). | Mác M100 chưa có cấp phối riêng — đang dùng cấp phối C30 (0,425 t XM; 0,555 m³ cát; 0,700 m³ đá / m³). Nhập cấp phối được duyệt.</t>
        </is>
      </c>
    </row>
    <row r="40" ht="20" customHeight="1">
      <c r="A40" s="6" t="n">
        <v>36</v>
      </c>
      <c r="B40" s="7" t="inlineStr">
        <is>
          <t>Bê tông bệ mố M2 (C30 đá 1x2)</t>
        </is>
      </c>
      <c r="C40" s="8" t="n"/>
      <c r="D40" s="38" t="n">
        <v>148.99</v>
      </c>
      <c r="E40" s="8">
        <f>IF(C40="","",C40+7)</f>
        <v/>
      </c>
      <c r="F40" s="8">
        <f>IF(C40="","",C40+28)</f>
        <v/>
      </c>
      <c r="G40" s="6" t="inlineStr"/>
      <c r="H40" s="6" t="inlineStr"/>
      <c r="I40" s="6" t="inlineStr"/>
      <c r="J40" s="10" t="n">
        <v>0.425</v>
      </c>
      <c r="K40" s="10" t="n">
        <v>0.555</v>
      </c>
      <c r="L40" s="10" t="n">
        <v>0.7</v>
      </c>
      <c r="M40" s="9">
        <f>IF(D40="","",ROUND(M39+IF(G40&gt;0,D40*G40,D40*J40),2))</f>
        <v/>
      </c>
      <c r="N40" s="9">
        <f>IF(D40="","",ROUND(N39+IF(H40&gt;0,D40*H40,D40*K40),2))</f>
        <v/>
      </c>
      <c r="O40" s="9">
        <f>IF(D40="","",ROUND(O39+IF(I40&gt;0,D40*I40,D40*L40),2))</f>
        <v/>
      </c>
      <c r="P40" s="11">
        <f>IF(M40="","",IF(ROUNDUP(M40/50,0)&gt;ROUNDUP(M39/50,0),"Lần " &amp; ROUNDUP(M40/50,0),""))</f>
        <v/>
      </c>
      <c r="Q40" s="12">
        <f>IF(N40="","",IF(ROUNDUP(N40/200,0)&gt;ROUNDUP(N39/200,0),"Lần " &amp; ROUNDUP(N40/200,0),""))</f>
        <v/>
      </c>
      <c r="R40" s="11">
        <f>IF(O40="","",IF(ROUNDUP(O40/350,0)&gt;ROUNDUP(O39/350,0),"Lần " &amp; ROUNDUP(O40/350,0),""))</f>
        <v/>
      </c>
      <c r="S40" s="6" t="inlineStr"/>
      <c r="T40" s="9" t="inlineStr"/>
      <c r="U40" s="39" t="inlineStr">
        <is>
          <t>Bản vẽ: 74,50 → 148,99 m³ (tr.40 bệ mố M2)</t>
        </is>
      </c>
    </row>
    <row r="41" ht="22" customHeight="1">
      <c r="A41" s="4" t="inlineStr">
        <is>
          <t>III. HẠNG MỤC THÂN TRỤ, THÂN MỐ &amp; XÀ MŨ (CÁC ĐỐT LÊN HOÀN THIỆN)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4" t="n"/>
    </row>
    <row r="42" ht="20" customHeight="1">
      <c r="A42" s="6" t="n">
        <v>37</v>
      </c>
      <c r="B42" s="7" t="inlineStr">
        <is>
          <t>Bê tông thân trụ T1 - Đốt 1 (C30 đá 1x2)</t>
        </is>
      </c>
      <c r="C42" s="8" t="n"/>
      <c r="D42" s="38" t="n">
        <v>80.87</v>
      </c>
      <c r="E42" s="8">
        <f>IF(C42="","",C42+7)</f>
        <v/>
      </c>
      <c r="F42" s="8">
        <f>IF(C42="","",C42+28)</f>
        <v/>
      </c>
      <c r="G42" s="6" t="inlineStr"/>
      <c r="H42" s="6" t="inlineStr"/>
      <c r="I42" s="6" t="inlineStr"/>
      <c r="J42" s="10" t="n">
        <v>0.425</v>
      </c>
      <c r="K42" s="10" t="n">
        <v>0.555</v>
      </c>
      <c r="L42" s="10" t="n">
        <v>0.7</v>
      </c>
      <c r="M42" s="9">
        <f>IF(D42="","",ROUND(M40+IF(G42&gt;0,D42*G42,D42*J42),2))</f>
        <v/>
      </c>
      <c r="N42" s="9">
        <f>IF(D42="","",ROUND(N40+IF(H42&gt;0,D42*H42,D42*K42),2))</f>
        <v/>
      </c>
      <c r="O42" s="9">
        <f>IF(D42="","",ROUND(O40+IF(I42&gt;0,D42*I42,D42*L42),2))</f>
        <v/>
      </c>
      <c r="P42" s="11">
        <f>IF(M42="","",IF(ROUNDUP(M42/50,0)&gt;ROUNDUP(M40/50,0),"Lần " &amp; ROUNDUP(M42/50,0),""))</f>
        <v/>
      </c>
      <c r="Q42" s="12">
        <f>IF(N42="","",IF(ROUNDUP(N42/200,0)&gt;ROUNDUP(N40/200,0),"Lần " &amp; ROUNDUP(N42/200,0),""))</f>
        <v/>
      </c>
      <c r="R42" s="11">
        <f>IF(O42="","",IF(ROUNDUP(O42/350,0)&gt;ROUNDUP(O40/350,0),"Lần " &amp; ROUNDUP(O42/350,0),""))</f>
        <v/>
      </c>
      <c r="S42" s="6" t="inlineStr"/>
      <c r="T42" s="9" t="inlineStr"/>
      <c r="U42" s="39" t="inlineStr">
        <is>
          <t>Bản vẽ: 42,00 → 80,87 m³ (tr.48 thân trụ T1, chia theo tỷ lệ 3 đốt cũ). Bản vẽ 234,92 m³ (file cũ 122 m³) — chia 3 đốt theo tỷ lệ cũ; xác nhận chiều cao từng đốt.</t>
        </is>
      </c>
    </row>
    <row r="43" ht="20" customHeight="1">
      <c r="A43" s="6" t="n">
        <v>38</v>
      </c>
      <c r="B43" s="7" t="inlineStr">
        <is>
          <t>Bê tông thân trụ T1 - Đốt 2 (C30 đá 1x2)</t>
        </is>
      </c>
      <c r="C43" s="8" t="n"/>
      <c r="D43" s="38" t="n">
        <v>80.87</v>
      </c>
      <c r="E43" s="8">
        <f>IF(C43="","",C43+7)</f>
        <v/>
      </c>
      <c r="F43" s="8">
        <f>IF(C43="","",C43+28)</f>
        <v/>
      </c>
      <c r="G43" s="6" t="inlineStr"/>
      <c r="H43" s="6" t="inlineStr"/>
      <c r="I43" s="6" t="inlineStr"/>
      <c r="J43" s="10" t="n">
        <v>0.425</v>
      </c>
      <c r="K43" s="10" t="n">
        <v>0.555</v>
      </c>
      <c r="L43" s="10" t="n">
        <v>0.7</v>
      </c>
      <c r="M43" s="9">
        <f>IF(D43="","",ROUND(M42+IF(G43&gt;0,D43*G43,D43*J43),2))</f>
        <v/>
      </c>
      <c r="N43" s="9">
        <f>IF(D43="","",ROUND(N42+IF(H43&gt;0,D43*H43,D43*K43),2))</f>
        <v/>
      </c>
      <c r="O43" s="9">
        <f>IF(D43="","",ROUND(O42+IF(I43&gt;0,D43*I43,D43*L43),2))</f>
        <v/>
      </c>
      <c r="P43" s="11">
        <f>IF(M43="","",IF(ROUNDUP(M43/50,0)&gt;ROUNDUP(M42/50,0),"Lần " &amp; ROUNDUP(M43/50,0),""))</f>
        <v/>
      </c>
      <c r="Q43" s="12">
        <f>IF(N43="","",IF(ROUNDUP(N43/200,0)&gt;ROUNDUP(N42/200,0),"Lần " &amp; ROUNDUP(N43/200,0),""))</f>
        <v/>
      </c>
      <c r="R43" s="11">
        <f>IF(O43="","",IF(ROUNDUP(O43/350,0)&gt;ROUNDUP(O42/350,0),"Lần " &amp; ROUNDUP(O43/350,0),""))</f>
        <v/>
      </c>
      <c r="S43" s="6" t="inlineStr"/>
      <c r="T43" s="9" t="inlineStr"/>
      <c r="U43" s="39" t="inlineStr">
        <is>
          <t>Bản vẽ: 42,00 → 80,87 m³ (tr.48 thân trụ T1, chia theo tỷ lệ 3 đốt cũ). Bản vẽ 234,92 m³ (file cũ 122 m³) — chia 3 đốt theo tỷ lệ cũ; xác nhận chiều cao từng đốt.</t>
        </is>
      </c>
    </row>
    <row r="44" ht="20" customHeight="1">
      <c r="A44" s="6" t="n">
        <v>39</v>
      </c>
      <c r="B44" s="7" t="inlineStr">
        <is>
          <t>Bê tông thân trụ T1 - Đốt 3 (C30 đá 1x2)</t>
        </is>
      </c>
      <c r="C44" s="8" t="n"/>
      <c r="D44" s="38" t="n">
        <v>73.18000000000001</v>
      </c>
      <c r="E44" s="8">
        <f>IF(C44="","",C44+7)</f>
        <v/>
      </c>
      <c r="F44" s="8">
        <f>IF(C44="","",C44+28)</f>
        <v/>
      </c>
      <c r="G44" s="6" t="inlineStr"/>
      <c r="H44" s="6" t="inlineStr"/>
      <c r="I44" s="6" t="inlineStr"/>
      <c r="J44" s="10" t="n">
        <v>0.425</v>
      </c>
      <c r="K44" s="10" t="n">
        <v>0.555</v>
      </c>
      <c r="L44" s="10" t="n">
        <v>0.7</v>
      </c>
      <c r="M44" s="9">
        <f>IF(D44="","",ROUND(M43+IF(G44&gt;0,D44*G44,D44*J44),2))</f>
        <v/>
      </c>
      <c r="N44" s="9">
        <f>IF(D44="","",ROUND(N43+IF(H44&gt;0,D44*H44,D44*K44),2))</f>
        <v/>
      </c>
      <c r="O44" s="9">
        <f>IF(D44="","",ROUND(O43+IF(I44&gt;0,D44*I44,D44*L44),2))</f>
        <v/>
      </c>
      <c r="P44" s="11">
        <f>IF(M44="","",IF(ROUNDUP(M44/50,0)&gt;ROUNDUP(M43/50,0),"Lần " &amp; ROUNDUP(M44/50,0),""))</f>
        <v/>
      </c>
      <c r="Q44" s="12">
        <f>IF(N44="","",IF(ROUNDUP(N44/200,0)&gt;ROUNDUP(N43/200,0),"Lần " &amp; ROUNDUP(N44/200,0),""))</f>
        <v/>
      </c>
      <c r="R44" s="11">
        <f>IF(O44="","",IF(ROUNDUP(O44/350,0)&gt;ROUNDUP(O43/350,0),"Lần " &amp; ROUNDUP(O44/350,0),""))</f>
        <v/>
      </c>
      <c r="S44" s="6" t="inlineStr"/>
      <c r="T44" s="9" t="inlineStr"/>
      <c r="U44" s="39" t="inlineStr">
        <is>
          <t>Bản vẽ: 38,00 → 73,18 m³ (tr.48 thân trụ T1, chia theo tỷ lệ 3 đốt cũ). Bản vẽ 234,92 m³ (file cũ 122 m³) — chia 3 đốt theo tỷ lệ cũ; xác nhận chiều cao từng đốt.</t>
        </is>
      </c>
    </row>
    <row r="45" ht="20" customHeight="1">
      <c r="A45" s="6" t="n">
        <v>40</v>
      </c>
      <c r="B45" s="7" t="inlineStr">
        <is>
          <t>Bê tông xà mũ trụ T1 &amp; đá kê gối (C35/C30 đá 1x2)</t>
        </is>
      </c>
      <c r="C45" s="8" t="n"/>
      <c r="D45" s="38" t="n">
        <v>72.51000000000001</v>
      </c>
      <c r="E45" s="8">
        <f>IF(C45="","",C45+7)</f>
        <v/>
      </c>
      <c r="F45" s="8">
        <f>IF(C45="","",C45+28)</f>
        <v/>
      </c>
      <c r="G45" s="6" t="inlineStr"/>
      <c r="H45" s="6" t="inlineStr"/>
      <c r="I45" s="6" t="inlineStr"/>
      <c r="J45" s="10" t="n">
        <v>0.425</v>
      </c>
      <c r="K45" s="10" t="n">
        <v>0.555</v>
      </c>
      <c r="L45" s="10" t="n">
        <v>0.7</v>
      </c>
      <c r="M45" s="9">
        <f>IF(D45="","",ROUND(M44+IF(G45&gt;0,D45*G45,D45*J45),2))</f>
        <v/>
      </c>
      <c r="N45" s="9">
        <f>IF(D45="","",ROUND(N44+IF(H45&gt;0,D45*H45,D45*K45),2))</f>
        <v/>
      </c>
      <c r="O45" s="9">
        <f>IF(D45="","",ROUND(O44+IF(I45&gt;0,D45*I45,D45*L45),2))</f>
        <v/>
      </c>
      <c r="P45" s="11">
        <f>IF(M45="","",IF(ROUNDUP(M45/50,0)&gt;ROUNDUP(M44/50,0),"Lần " &amp; ROUNDUP(M45/50,0),""))</f>
        <v/>
      </c>
      <c r="Q45" s="12">
        <f>IF(N45="","",IF(ROUNDUP(N45/200,0)&gt;ROUNDUP(N44/200,0),"Lần " &amp; ROUNDUP(N45/200,0),""))</f>
        <v/>
      </c>
      <c r="R45" s="11">
        <f>IF(O45="","",IF(ROUNDUP(O45/350,0)&gt;ROUNDUP(O44/350,0),"Lần " &amp; ROUNDUP(O45/350,0),""))</f>
        <v/>
      </c>
      <c r="S45" s="6" t="inlineStr"/>
      <c r="T45" s="9" t="inlineStr"/>
      <c r="U45" s="39" t="inlineStr">
        <is>
          <t>Bản vẽ: 45,00 → 72,51 m³ (tr.51 xà mũ trụ T1) | Mác C35 chưa có cấp phối riêng — đang dùng cấp phối C30 (0,425 t XM; 0,555 m³ cát; 0,700 m³ đá / m³). Nhập cấp phối được duyệt.</t>
        </is>
      </c>
    </row>
    <row r="46" ht="20" customHeight="1">
      <c r="A46" s="6" t="n">
        <v>41</v>
      </c>
      <c r="B46" s="7" t="inlineStr">
        <is>
          <t>Bê tông thân trụ T2 - Đốt 1 (C30 đá 1x2)</t>
        </is>
      </c>
      <c r="C46" s="8" t="n"/>
      <c r="D46" s="38" t="n">
        <v>90.95</v>
      </c>
      <c r="E46" s="8">
        <f>IF(C46="","",C46+7)</f>
        <v/>
      </c>
      <c r="F46" s="8">
        <f>IF(C46="","",C46+28)</f>
        <v/>
      </c>
      <c r="G46" s="6" t="inlineStr"/>
      <c r="H46" s="6" t="inlineStr"/>
      <c r="I46" s="6" t="inlineStr"/>
      <c r="J46" s="10" t="n">
        <v>0.425</v>
      </c>
      <c r="K46" s="10" t="n">
        <v>0.555</v>
      </c>
      <c r="L46" s="10" t="n">
        <v>0.7</v>
      </c>
      <c r="M46" s="9">
        <f>IF(D46="","",ROUND(M45+IF(G46&gt;0,D46*G46,D46*J46),2))</f>
        <v/>
      </c>
      <c r="N46" s="9">
        <f>IF(D46="","",ROUND(N45+IF(H46&gt;0,D46*H46,D46*K46),2))</f>
        <v/>
      </c>
      <c r="O46" s="9">
        <f>IF(D46="","",ROUND(O45+IF(I46&gt;0,D46*I46,D46*L46),2))</f>
        <v/>
      </c>
      <c r="P46" s="11">
        <f>IF(M46="","",IF(ROUNDUP(M46/50,0)&gt;ROUNDUP(M45/50,0),"Lần " &amp; ROUNDUP(M46/50,0),""))</f>
        <v/>
      </c>
      <c r="Q46" s="12">
        <f>IF(N46="","",IF(ROUNDUP(N46/200,0)&gt;ROUNDUP(N45/200,0),"Lần " &amp; ROUNDUP(N46/200,0),""))</f>
        <v/>
      </c>
      <c r="R46" s="11">
        <f>IF(O46="","",IF(ROUNDUP(O46/350,0)&gt;ROUNDUP(O45/350,0),"Lần " &amp; ROUNDUP(O46/350,0),""))</f>
        <v/>
      </c>
      <c r="S46" s="6" t="inlineStr"/>
      <c r="T46" s="9" t="inlineStr"/>
      <c r="U46" s="39" t="inlineStr">
        <is>
          <t>Bản vẽ: 45,00 → 90,95 m³ (tr.59 thân trụ T2, chia theo tỷ lệ 3 đốt cũ). Bản vẽ 266,79 m³ (file cũ 132 m³) — chia 3 đốt theo tỷ lệ cũ; xác nhận chiều cao từng đốt.</t>
        </is>
      </c>
    </row>
    <row r="47" ht="20" customHeight="1">
      <c r="A47" s="6" t="n">
        <v>42</v>
      </c>
      <c r="B47" s="7" t="inlineStr">
        <is>
          <t>Bê tông thân trụ T2 - Đốt 2 (C30 đá 1x2)</t>
        </is>
      </c>
      <c r="C47" s="8" t="n"/>
      <c r="D47" s="38" t="n">
        <v>90.95</v>
      </c>
      <c r="E47" s="8">
        <f>IF(C47="","",C47+7)</f>
        <v/>
      </c>
      <c r="F47" s="8">
        <f>IF(C47="","",C47+28)</f>
        <v/>
      </c>
      <c r="G47" s="6" t="inlineStr"/>
      <c r="H47" s="6" t="inlineStr"/>
      <c r="I47" s="6" t="inlineStr"/>
      <c r="J47" s="10" t="n">
        <v>0.425</v>
      </c>
      <c r="K47" s="10" t="n">
        <v>0.555</v>
      </c>
      <c r="L47" s="10" t="n">
        <v>0.7</v>
      </c>
      <c r="M47" s="9">
        <f>IF(D47="","",ROUND(M46+IF(G47&gt;0,D47*G47,D47*J47),2))</f>
        <v/>
      </c>
      <c r="N47" s="9">
        <f>IF(D47="","",ROUND(N46+IF(H47&gt;0,D47*H47,D47*K47),2))</f>
        <v/>
      </c>
      <c r="O47" s="9">
        <f>IF(D47="","",ROUND(O46+IF(I47&gt;0,D47*I47,D47*L47),2))</f>
        <v/>
      </c>
      <c r="P47" s="11">
        <f>IF(M47="","",IF(ROUNDUP(M47/50,0)&gt;ROUNDUP(M46/50,0),"Lần " &amp; ROUNDUP(M47/50,0),""))</f>
        <v/>
      </c>
      <c r="Q47" s="12">
        <f>IF(N47="","",IF(ROUNDUP(N47/200,0)&gt;ROUNDUP(N46/200,0),"Lần " &amp; ROUNDUP(N47/200,0),""))</f>
        <v/>
      </c>
      <c r="R47" s="11">
        <f>IF(O47="","",IF(ROUNDUP(O47/350,0)&gt;ROUNDUP(O46/350,0),"Lần " &amp; ROUNDUP(O47/350,0),""))</f>
        <v/>
      </c>
      <c r="S47" s="6" t="inlineStr"/>
      <c r="T47" s="9" t="inlineStr"/>
      <c r="U47" s="39" t="inlineStr">
        <is>
          <t>Bản vẽ: 45,00 → 90,95 m³ (tr.59 thân trụ T2, chia theo tỷ lệ 3 đốt cũ). Bản vẽ 266,79 m³ (file cũ 132 m³) — chia 3 đốt theo tỷ lệ cũ; xác nhận chiều cao từng đốt.</t>
        </is>
      </c>
    </row>
    <row r="48" ht="20" customHeight="1">
      <c r="A48" s="6" t="n">
        <v>43</v>
      </c>
      <c r="B48" s="7" t="inlineStr">
        <is>
          <t>Bê tông thân trụ T2 - Đốt 3 (C30 đá 1x2)</t>
        </is>
      </c>
      <c r="C48" s="8" t="n"/>
      <c r="D48" s="38" t="n">
        <v>84.89</v>
      </c>
      <c r="E48" s="8">
        <f>IF(C48="","",C48+7)</f>
        <v/>
      </c>
      <c r="F48" s="8">
        <f>IF(C48="","",C48+28)</f>
        <v/>
      </c>
      <c r="G48" s="6" t="inlineStr"/>
      <c r="H48" s="6" t="inlineStr"/>
      <c r="I48" s="6" t="inlineStr"/>
      <c r="J48" s="10" t="n">
        <v>0.425</v>
      </c>
      <c r="K48" s="10" t="n">
        <v>0.555</v>
      </c>
      <c r="L48" s="10" t="n">
        <v>0.7</v>
      </c>
      <c r="M48" s="9">
        <f>IF(D48="","",ROUND(M47+IF(G48&gt;0,D48*G48,D48*J48),2))</f>
        <v/>
      </c>
      <c r="N48" s="9">
        <f>IF(D48="","",ROUND(N47+IF(H48&gt;0,D48*H48,D48*K48),2))</f>
        <v/>
      </c>
      <c r="O48" s="9">
        <f>IF(D48="","",ROUND(O47+IF(I48&gt;0,D48*I48,D48*L48),2))</f>
        <v/>
      </c>
      <c r="P48" s="11">
        <f>IF(M48="","",IF(ROUNDUP(M48/50,0)&gt;ROUNDUP(M47/50,0),"Lần " &amp; ROUNDUP(M48/50,0),""))</f>
        <v/>
      </c>
      <c r="Q48" s="12">
        <f>IF(N48="","",IF(ROUNDUP(N48/200,0)&gt;ROUNDUP(N47/200,0),"Lần " &amp; ROUNDUP(N48/200,0),""))</f>
        <v/>
      </c>
      <c r="R48" s="11">
        <f>IF(O48="","",IF(ROUNDUP(O48/350,0)&gt;ROUNDUP(O47/350,0),"Lần " &amp; ROUNDUP(O48/350,0),""))</f>
        <v/>
      </c>
      <c r="S48" s="6" t="inlineStr"/>
      <c r="T48" s="9" t="inlineStr"/>
      <c r="U48" s="39" t="inlineStr">
        <is>
          <t>Bản vẽ: 42,00 → 84,89 m³ (tr.59 thân trụ T2, chia theo tỷ lệ 3 đốt cũ). Bản vẽ 266,79 m³ (file cũ 132 m³) — chia 3 đốt theo tỷ lệ cũ; xác nhận chiều cao từng đốt.</t>
        </is>
      </c>
    </row>
    <row r="49" ht="20" customHeight="1">
      <c r="A49" s="6" t="n">
        <v>44</v>
      </c>
      <c r="B49" s="7" t="inlineStr">
        <is>
          <t>Bê tông xà mũ trụ T2 &amp; đá kê gối (C35/C30 đá 1x2)</t>
        </is>
      </c>
      <c r="C49" s="8" t="n"/>
      <c r="D49" s="38" t="n">
        <v>72.51000000000001</v>
      </c>
      <c r="E49" s="8">
        <f>IF(C49="","",C49+7)</f>
        <v/>
      </c>
      <c r="F49" s="8">
        <f>IF(C49="","",C49+28)</f>
        <v/>
      </c>
      <c r="G49" s="6" t="inlineStr"/>
      <c r="H49" s="6" t="inlineStr"/>
      <c r="I49" s="6" t="inlineStr"/>
      <c r="J49" s="10" t="n">
        <v>0.425</v>
      </c>
      <c r="K49" s="10" t="n">
        <v>0.555</v>
      </c>
      <c r="L49" s="10" t="n">
        <v>0.7</v>
      </c>
      <c r="M49" s="9">
        <f>IF(D49="","",ROUND(M48+IF(G49&gt;0,D49*G49,D49*J49),2))</f>
        <v/>
      </c>
      <c r="N49" s="9">
        <f>IF(D49="","",ROUND(N48+IF(H49&gt;0,D49*H49,D49*K49),2))</f>
        <v/>
      </c>
      <c r="O49" s="9">
        <f>IF(D49="","",ROUND(O48+IF(I49&gt;0,D49*I49,D49*L49),2))</f>
        <v/>
      </c>
      <c r="P49" s="11">
        <f>IF(M49="","",IF(ROUNDUP(M49/50,0)&gt;ROUNDUP(M48/50,0),"Lần " &amp; ROUNDUP(M49/50,0),""))</f>
        <v/>
      </c>
      <c r="Q49" s="12">
        <f>IF(N49="","",IF(ROUNDUP(N49/200,0)&gt;ROUNDUP(N48/200,0),"Lần " &amp; ROUNDUP(N49/200,0),""))</f>
        <v/>
      </c>
      <c r="R49" s="11">
        <f>IF(O49="","",IF(ROUNDUP(O49/350,0)&gt;ROUNDUP(O48/350,0),"Lần " &amp; ROUNDUP(O49/350,0),""))</f>
        <v/>
      </c>
      <c r="S49" s="6" t="inlineStr"/>
      <c r="T49" s="9" t="inlineStr"/>
      <c r="U49" s="39" t="inlineStr">
        <is>
          <t>Bản vẽ: 45,00 → 72,51 m³ (tr.62 xà mũ trụ T2) | Mác C35 chưa có cấp phối riêng — đang dùng cấp phối C30 (0,425 t XM; 0,555 m³ cát; 0,700 m³ đá / m³). Nhập cấp phối được duyệt.</t>
        </is>
      </c>
    </row>
    <row r="50" ht="20" customHeight="1">
      <c r="A50" s="6" t="n">
        <v>45</v>
      </c>
      <c r="B50" s="7" t="inlineStr">
        <is>
          <t>Bê tông tường thân mố M1 - Đợt 1 (C30 đá 1x2)</t>
        </is>
      </c>
      <c r="C50" s="8" t="n"/>
      <c r="D50" s="38" t="n">
        <v>28.22</v>
      </c>
      <c r="E50" s="8">
        <f>IF(C50="","",C50+7)</f>
        <v/>
      </c>
      <c r="F50" s="8">
        <f>IF(C50="","",C50+28)</f>
        <v/>
      </c>
      <c r="G50" s="6" t="inlineStr"/>
      <c r="H50" s="6" t="inlineStr"/>
      <c r="I50" s="6" t="inlineStr"/>
      <c r="J50" s="10" t="n">
        <v>0.425</v>
      </c>
      <c r="K50" s="10" t="n">
        <v>0.555</v>
      </c>
      <c r="L50" s="10" t="n">
        <v>0.7</v>
      </c>
      <c r="M50" s="9">
        <f>IF(D50="","",ROUND(M49+IF(G50&gt;0,D50*G50,D50*J50),2))</f>
        <v/>
      </c>
      <c r="N50" s="9">
        <f>IF(D50="","",ROUND(N49+IF(H50&gt;0,D50*H50,D50*K50),2))</f>
        <v/>
      </c>
      <c r="O50" s="9">
        <f>IF(D50="","",ROUND(O49+IF(I50&gt;0,D50*I50,D50*L50),2))</f>
        <v/>
      </c>
      <c r="P50" s="11">
        <f>IF(M50="","",IF(ROUNDUP(M50/50,0)&gt;ROUNDUP(M49/50,0),"Lần " &amp; ROUNDUP(M50/50,0),""))</f>
        <v/>
      </c>
      <c r="Q50" s="12">
        <f>IF(N50="","",IF(ROUNDUP(N50/200,0)&gt;ROUNDUP(N49/200,0),"Lần " &amp; ROUNDUP(N50/200,0),""))</f>
        <v/>
      </c>
      <c r="R50" s="11">
        <f>IF(O50="","",IF(ROUNDUP(O50/350,0)&gt;ROUNDUP(O49/350,0),"Lần " &amp; ROUNDUP(O50/350,0),""))</f>
        <v/>
      </c>
      <c r="S50" s="6" t="inlineStr"/>
      <c r="T50" s="9" t="inlineStr"/>
      <c r="U50" s="39" t="inlineStr">
        <is>
          <t>Bản vẽ: 45,00 → 28,22 m³ (tr.31 tường thân mố M1, chia theo tỷ lệ 2 đợt cũ). Bản vẽ 52,96 m³ (file cũ 84,44 m³, giống số của mố M2) — chia 2 đợt theo tỷ lệ cũ; xác nhận cao độ mạch ngừng.</t>
        </is>
      </c>
    </row>
    <row r="51" ht="20" customHeight="1">
      <c r="A51" s="6" t="n">
        <v>46</v>
      </c>
      <c r="B51" s="7" t="inlineStr">
        <is>
          <t>Bê tông tường thân mố M1 - Đợt 2 (C30 đá 1x2)</t>
        </is>
      </c>
      <c r="C51" s="8" t="n"/>
      <c r="D51" s="38" t="n">
        <v>24.74</v>
      </c>
      <c r="E51" s="8">
        <f>IF(C51="","",C51+7)</f>
        <v/>
      </c>
      <c r="F51" s="8">
        <f>IF(C51="","",C51+28)</f>
        <v/>
      </c>
      <c r="G51" s="6" t="inlineStr"/>
      <c r="H51" s="6" t="inlineStr"/>
      <c r="I51" s="6" t="inlineStr"/>
      <c r="J51" s="10" t="n">
        <v>0.425</v>
      </c>
      <c r="K51" s="10" t="n">
        <v>0.555</v>
      </c>
      <c r="L51" s="10" t="n">
        <v>0.7</v>
      </c>
      <c r="M51" s="9">
        <f>IF(D51="","",ROUND(M50+IF(G51&gt;0,D51*G51,D51*J51),2))</f>
        <v/>
      </c>
      <c r="N51" s="9">
        <f>IF(D51="","",ROUND(N50+IF(H51&gt;0,D51*H51,D51*K51),2))</f>
        <v/>
      </c>
      <c r="O51" s="9">
        <f>IF(D51="","",ROUND(O50+IF(I51&gt;0,D51*I51,D51*L51),2))</f>
        <v/>
      </c>
      <c r="P51" s="11">
        <f>IF(M51="","",IF(ROUNDUP(M51/50,0)&gt;ROUNDUP(M50/50,0),"Lần " &amp; ROUNDUP(M51/50,0),""))</f>
        <v/>
      </c>
      <c r="Q51" s="12">
        <f>IF(N51="","",IF(ROUNDUP(N51/200,0)&gt;ROUNDUP(N50/200,0),"Lần " &amp; ROUNDUP(N51/200,0),""))</f>
        <v/>
      </c>
      <c r="R51" s="11">
        <f>IF(O51="","",IF(ROUNDUP(O51/350,0)&gt;ROUNDUP(O50/350,0),"Lần " &amp; ROUNDUP(O51/350,0),""))</f>
        <v/>
      </c>
      <c r="S51" s="6" t="inlineStr"/>
      <c r="T51" s="9" t="inlineStr"/>
      <c r="U51" s="39" t="inlineStr">
        <is>
          <t>Bản vẽ: 39,44 → 24,74 m³ (tr.31 tường thân mố M1, chia theo tỷ lệ 2 đợt cũ). Bản vẽ 52,96 m³ (file cũ 84,44 m³, giống số của mố M2) — chia 2 đợt theo tỷ lệ cũ; xác nhận cao độ mạch ngừng.</t>
        </is>
      </c>
    </row>
    <row r="52" ht="20" customHeight="1">
      <c r="A52" s="6" t="n">
        <v>47</v>
      </c>
      <c r="B52" s="7" t="inlineStr">
        <is>
          <t>Bê tông tường đỉnh mố M1 &amp; đá kê gối (C30)</t>
        </is>
      </c>
      <c r="C52" s="8" t="n"/>
      <c r="D52" s="38" t="n">
        <v>14.23</v>
      </c>
      <c r="E52" s="8">
        <f>IF(C52="","",C52+7)</f>
        <v/>
      </c>
      <c r="F52" s="8">
        <f>IF(C52="","",C52+28)</f>
        <v/>
      </c>
      <c r="G52" s="6" t="inlineStr"/>
      <c r="H52" s="6" t="inlineStr"/>
      <c r="I52" s="6" t="inlineStr"/>
      <c r="J52" s="10" t="n">
        <v>0.425</v>
      </c>
      <c r="K52" s="10" t="n">
        <v>0.555</v>
      </c>
      <c r="L52" s="10" t="n">
        <v>0.7</v>
      </c>
      <c r="M52" s="9">
        <f>IF(D52="","",ROUND(M51+IF(G52&gt;0,D52*G52,D52*J52),2))</f>
        <v/>
      </c>
      <c r="N52" s="9">
        <f>IF(D52="","",ROUND(N51+IF(H52&gt;0,D52*H52,D52*K52),2))</f>
        <v/>
      </c>
      <c r="O52" s="9">
        <f>IF(D52="","",ROUND(O51+IF(I52&gt;0,D52*I52,D52*L52),2))</f>
        <v/>
      </c>
      <c r="P52" s="11">
        <f>IF(M52="","",IF(ROUNDUP(M52/50,0)&gt;ROUNDUP(M51/50,0),"Lần " &amp; ROUNDUP(M52/50,0),""))</f>
        <v/>
      </c>
      <c r="Q52" s="12">
        <f>IF(N52="","",IF(ROUNDUP(N52/200,0)&gt;ROUNDUP(N51/200,0),"Lần " &amp; ROUNDUP(N52/200,0),""))</f>
        <v/>
      </c>
      <c r="R52" s="11">
        <f>IF(O52="","",IF(ROUNDUP(O52/350,0)&gt;ROUNDUP(O51/350,0),"Lần " &amp; ROUNDUP(O52/350,0),""))</f>
        <v/>
      </c>
      <c r="S52" s="6" t="inlineStr"/>
      <c r="T52" s="9" t="inlineStr"/>
      <c r="U52" s="39" t="inlineStr">
        <is>
          <t>Bản vẽ: 14,33 → 14,23 m³ (tr.31 tường đỉnh mố M1)</t>
        </is>
      </c>
    </row>
    <row r="53" ht="20" customHeight="1">
      <c r="A53" s="6" t="n">
        <v>48</v>
      </c>
      <c r="B53" s="7" t="inlineStr">
        <is>
          <t>Bê tông tường cánh, gờ lan can, ụ chống chuyển vị, tường tai mố M1 (C30)</t>
        </is>
      </c>
      <c r="C53" s="8" t="n"/>
      <c r="D53" s="38" t="n">
        <v>7.93</v>
      </c>
      <c r="E53" s="8">
        <f>IF(C53="","",C53+7)</f>
        <v/>
      </c>
      <c r="F53" s="8">
        <f>IF(C53="","",C53+28)</f>
        <v/>
      </c>
      <c r="G53" s="6" t="inlineStr"/>
      <c r="H53" s="6" t="inlineStr"/>
      <c r="I53" s="6" t="inlineStr"/>
      <c r="J53" s="10" t="n">
        <v>0.425</v>
      </c>
      <c r="K53" s="10" t="n">
        <v>0.555</v>
      </c>
      <c r="L53" s="10" t="n">
        <v>0.7</v>
      </c>
      <c r="M53" s="9">
        <f>IF(D53="","",ROUND(M52+IF(G53&gt;0,D53*G53,D53*J53),2))</f>
        <v/>
      </c>
      <c r="N53" s="9">
        <f>IF(D53="","",ROUND(N52+IF(H53&gt;0,D53*H53,D53*K53),2))</f>
        <v/>
      </c>
      <c r="O53" s="9">
        <f>IF(D53="","",ROUND(O52+IF(I53&gt;0,D53*I53,D53*L53),2))</f>
        <v/>
      </c>
      <c r="P53" s="11">
        <f>IF(M53="","",IF(ROUNDUP(M53/50,0)&gt;ROUNDUP(M52/50,0),"Lần " &amp; ROUNDUP(M53/50,0),""))</f>
        <v/>
      </c>
      <c r="Q53" s="12">
        <f>IF(N53="","",IF(ROUNDUP(N53/200,0)&gt;ROUNDUP(N52/200,0),"Lần " &amp; ROUNDUP(N53/200,0),""))</f>
        <v/>
      </c>
      <c r="R53" s="11">
        <f>IF(O53="","",IF(ROUNDUP(O53/350,0)&gt;ROUNDUP(O52/350,0),"Lần " &amp; ROUNDUP(O53/350,0),""))</f>
        <v/>
      </c>
      <c r="S53" s="6" t="inlineStr"/>
      <c r="T53" s="9" t="inlineStr"/>
      <c r="U53" s="39" t="inlineStr">
        <is>
          <t>Bản vẽ: 10,13 → 7,93 m³ (tr.31 tường cánh 3,45 + gờ lan can/ụ chống chuyển vị/tường tai 4,48). Gộp 'gờ lan can, ụ chống chuyển vị, tường tai' (tr.31) vào dòng tường cánh vì file chưa có dòng riêng.</t>
        </is>
      </c>
    </row>
    <row r="54" ht="20" customHeight="1">
      <c r="A54" s="6" t="n">
        <v>49</v>
      </c>
      <c r="B54" s="7" t="inlineStr">
        <is>
          <t>Bê tông tường thân mố M2 - Đợt 1 (C30 đá 1x2)</t>
        </is>
      </c>
      <c r="C54" s="8" t="n"/>
      <c r="D54" s="38" t="n">
        <v>61.77</v>
      </c>
      <c r="E54" s="8">
        <f>IF(C54="","",C54+7)</f>
        <v/>
      </c>
      <c r="F54" s="8">
        <f>IF(C54="","",C54+28)</f>
        <v/>
      </c>
      <c r="G54" s="6" t="inlineStr"/>
      <c r="H54" s="6" t="inlineStr"/>
      <c r="I54" s="6" t="inlineStr"/>
      <c r="J54" s="10" t="n">
        <v>0.425</v>
      </c>
      <c r="K54" s="10" t="n">
        <v>0.555</v>
      </c>
      <c r="L54" s="10" t="n">
        <v>0.7</v>
      </c>
      <c r="M54" s="9">
        <f>IF(D54="","",ROUND(M53+IF(G54&gt;0,D54*G54,D54*J54),2))</f>
        <v/>
      </c>
      <c r="N54" s="9">
        <f>IF(D54="","",ROUND(N53+IF(H54&gt;0,D54*H54,D54*K54),2))</f>
        <v/>
      </c>
      <c r="O54" s="9">
        <f>IF(D54="","",ROUND(O53+IF(I54&gt;0,D54*I54,D54*L54),2))</f>
        <v/>
      </c>
      <c r="P54" s="11">
        <f>IF(M54="","",IF(ROUNDUP(M54/50,0)&gt;ROUNDUP(M53/50,0),"Lần " &amp; ROUNDUP(M54/50,0),""))</f>
        <v/>
      </c>
      <c r="Q54" s="12">
        <f>IF(N54="","",IF(ROUNDUP(N54/200,0)&gt;ROUNDUP(N53/200,0),"Lần " &amp; ROUNDUP(N54/200,0),""))</f>
        <v/>
      </c>
      <c r="R54" s="11">
        <f>IF(O54="","",IF(ROUNDUP(O54/350,0)&gt;ROUNDUP(O53/350,0),"Lần " &amp; ROUNDUP(O54/350,0),""))</f>
        <v/>
      </c>
      <c r="S54" s="6" t="inlineStr"/>
      <c r="T54" s="9" t="inlineStr"/>
      <c r="U54" s="39" t="inlineStr">
        <is>
          <t>Bản vẽ: 45,00 → 61,77 m³ (tr.40 tường thân mố M2, chia theo tỷ lệ 2 đợt cũ). Bản vẽ 115,91 m³ (file cũ 84,44 m³) — chia 2 đợt theo tỷ lệ cũ; xác nhận cao độ mạch ngừng.</t>
        </is>
      </c>
    </row>
    <row r="55" ht="20" customHeight="1">
      <c r="A55" s="6" t="n">
        <v>50</v>
      </c>
      <c r="B55" s="7" t="inlineStr">
        <is>
          <t>Bê tông tường thân mố M2 - Đợt 2 (C30 đá 1x2)</t>
        </is>
      </c>
      <c r="C55" s="8" t="n"/>
      <c r="D55" s="38" t="n">
        <v>54.14</v>
      </c>
      <c r="E55" s="8">
        <f>IF(C55="","",C55+7)</f>
        <v/>
      </c>
      <c r="F55" s="8">
        <f>IF(C55="","",C55+28)</f>
        <v/>
      </c>
      <c r="G55" s="6" t="inlineStr"/>
      <c r="H55" s="6" t="inlineStr"/>
      <c r="I55" s="6" t="inlineStr"/>
      <c r="J55" s="10" t="n">
        <v>0.425</v>
      </c>
      <c r="K55" s="10" t="n">
        <v>0.555</v>
      </c>
      <c r="L55" s="10" t="n">
        <v>0.7</v>
      </c>
      <c r="M55" s="9">
        <f>IF(D55="","",ROUND(M54+IF(G55&gt;0,D55*G55,D55*J55),2))</f>
        <v/>
      </c>
      <c r="N55" s="9">
        <f>IF(D55="","",ROUND(N54+IF(H55&gt;0,D55*H55,D55*K55),2))</f>
        <v/>
      </c>
      <c r="O55" s="9">
        <f>IF(D55="","",ROUND(O54+IF(I55&gt;0,D55*I55,D55*L55),2))</f>
        <v/>
      </c>
      <c r="P55" s="11">
        <f>IF(M55="","",IF(ROUNDUP(M55/50,0)&gt;ROUNDUP(M54/50,0),"Lần " &amp; ROUNDUP(M55/50,0),""))</f>
        <v/>
      </c>
      <c r="Q55" s="12">
        <f>IF(N55="","",IF(ROUNDUP(N55/200,0)&gt;ROUNDUP(N54/200,0),"Lần " &amp; ROUNDUP(N55/200,0),""))</f>
        <v/>
      </c>
      <c r="R55" s="11">
        <f>IF(O55="","",IF(ROUNDUP(O55/350,0)&gt;ROUNDUP(O54/350,0),"Lần " &amp; ROUNDUP(O55/350,0),""))</f>
        <v/>
      </c>
      <c r="S55" s="6" t="inlineStr"/>
      <c r="T55" s="9" t="inlineStr"/>
      <c r="U55" s="39" t="inlineStr">
        <is>
          <t>Bản vẽ: 39,44 → 54,14 m³ (tr.40 tường thân mố M2, chia theo tỷ lệ 2 đợt cũ). Bản vẽ 115,91 m³ (file cũ 84,44 m³) — chia 2 đợt theo tỷ lệ cũ; xác nhận cao độ mạch ngừng.</t>
        </is>
      </c>
    </row>
    <row r="56" ht="20" customHeight="1">
      <c r="A56" s="6" t="n">
        <v>51</v>
      </c>
      <c r="B56" s="7" t="inlineStr">
        <is>
          <t>Bê tông tường đỉnh mố M2 &amp; đá kê gối (C30)</t>
        </is>
      </c>
      <c r="C56" s="8" t="n"/>
      <c r="D56" s="38" t="n">
        <v>14.43</v>
      </c>
      <c r="E56" s="8">
        <f>IF(C56="","",C56+7)</f>
        <v/>
      </c>
      <c r="F56" s="8">
        <f>IF(C56="","",C56+28)</f>
        <v/>
      </c>
      <c r="G56" s="6" t="inlineStr"/>
      <c r="H56" s="6" t="inlineStr"/>
      <c r="I56" s="6" t="inlineStr"/>
      <c r="J56" s="10" t="n">
        <v>0.425</v>
      </c>
      <c r="K56" s="10" t="n">
        <v>0.555</v>
      </c>
      <c r="L56" s="10" t="n">
        <v>0.7</v>
      </c>
      <c r="M56" s="9">
        <f>IF(D56="","",ROUND(M55+IF(G56&gt;0,D56*G56,D56*J56),2))</f>
        <v/>
      </c>
      <c r="N56" s="9">
        <f>IF(D56="","",ROUND(N55+IF(H56&gt;0,D56*H56,D56*K56),2))</f>
        <v/>
      </c>
      <c r="O56" s="9">
        <f>IF(D56="","",ROUND(O55+IF(I56&gt;0,D56*I56,D56*L56),2))</f>
        <v/>
      </c>
      <c r="P56" s="11">
        <f>IF(M56="","",IF(ROUNDUP(M56/50,0)&gt;ROUNDUP(M55/50,0),"Lần " &amp; ROUNDUP(M56/50,0),""))</f>
        <v/>
      </c>
      <c r="Q56" s="12">
        <f>IF(N56="","",IF(ROUNDUP(N56/200,0)&gt;ROUNDUP(N55/200,0),"Lần " &amp; ROUNDUP(N56/200,0),""))</f>
        <v/>
      </c>
      <c r="R56" s="11">
        <f>IF(O56="","",IF(ROUNDUP(O56/350,0)&gt;ROUNDUP(O55/350,0),"Lần " &amp; ROUNDUP(O56/350,0),""))</f>
        <v/>
      </c>
      <c r="S56" s="6" t="inlineStr"/>
      <c r="T56" s="9" t="inlineStr"/>
      <c r="U56" s="39" t="inlineStr">
        <is>
          <t>Bản vẽ: 14,33 → 14,43 m³ (tr.40 tường đỉnh mố M2)</t>
        </is>
      </c>
    </row>
    <row r="57" ht="20" customHeight="1">
      <c r="A57" s="6" t="n">
        <v>52</v>
      </c>
      <c r="B57" s="7" t="inlineStr">
        <is>
          <t>Bê tông tường cánh, gờ lan can, ụ chống chuyển vị, tường tai mố M2 (C30)</t>
        </is>
      </c>
      <c r="C57" s="8" t="n"/>
      <c r="D57" s="38" t="n">
        <v>21.91</v>
      </c>
      <c r="E57" s="8">
        <f>IF(C57="","",C57+7)</f>
        <v/>
      </c>
      <c r="F57" s="8">
        <f>IF(C57="","",C57+28)</f>
        <v/>
      </c>
      <c r="G57" s="6" t="inlineStr"/>
      <c r="H57" s="6" t="inlineStr"/>
      <c r="I57" s="6" t="inlineStr"/>
      <c r="J57" s="10" t="n">
        <v>0.425</v>
      </c>
      <c r="K57" s="10" t="n">
        <v>0.555</v>
      </c>
      <c r="L57" s="10" t="n">
        <v>0.7</v>
      </c>
      <c r="M57" s="9">
        <f>IF(D57="","",ROUND(M56+IF(G57&gt;0,D57*G57,D57*J57),2))</f>
        <v/>
      </c>
      <c r="N57" s="9">
        <f>IF(D57="","",ROUND(N56+IF(H57&gt;0,D57*H57,D57*K57),2))</f>
        <v/>
      </c>
      <c r="O57" s="9">
        <f>IF(D57="","",ROUND(O56+IF(I57&gt;0,D57*I57,D57*L57),2))</f>
        <v/>
      </c>
      <c r="P57" s="11">
        <f>IF(M57="","",IF(ROUNDUP(M57/50,0)&gt;ROUNDUP(M56/50,0),"Lần " &amp; ROUNDUP(M57/50,0),""))</f>
        <v/>
      </c>
      <c r="Q57" s="12">
        <f>IF(N57="","",IF(ROUNDUP(N57/200,0)&gt;ROUNDUP(N56/200,0),"Lần " &amp; ROUNDUP(N57/200,0),""))</f>
        <v/>
      </c>
      <c r="R57" s="11">
        <f>IF(O57="","",IF(ROUNDUP(O57/350,0)&gt;ROUNDUP(O56/350,0),"Lần " &amp; ROUNDUP(O57/350,0),""))</f>
        <v/>
      </c>
      <c r="S57" s="6" t="inlineStr"/>
      <c r="T57" s="9" t="inlineStr"/>
      <c r="U57" s="39" t="inlineStr">
        <is>
          <t>Bản vẽ: 10,13 → 21,91 m³ (tr.40 tường cánh 16,81 + gờ lan can/ụ chống chuyển vị/tường tai 5,10). Gộp 'gờ lan can, ụ chống chuyển vị, tường tai' (tr.40) vào dòng tường cánh.</t>
        </is>
      </c>
    </row>
    <row r="58" ht="22" customHeight="1">
      <c r="A58" s="4" t="inlineStr">
        <is>
          <t>IV. HẠNG MỤC DẦM CHỦ SUPER-T L=38.2M (15 PHIẾN DẦM C45/C35)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4" t="n"/>
    </row>
    <row r="59" ht="20" customHeight="1">
      <c r="A59" s="6" t="n">
        <v>53</v>
      </c>
      <c r="B59" s="7" t="inlineStr">
        <is>
          <t>Bê tông dầm Super-T Nhịp 1 - Phiến D1 (C45 đá 1x2)</t>
        </is>
      </c>
      <c r="C59" s="8" t="n"/>
      <c r="D59" s="38" t="n">
        <v>28.99</v>
      </c>
      <c r="E59" s="8">
        <f>IF(C59="","",C59+7)</f>
        <v/>
      </c>
      <c r="F59" s="8">
        <f>IF(C59="","",C59+28)</f>
        <v/>
      </c>
      <c r="G59" s="6" t="inlineStr"/>
      <c r="H59" s="6" t="inlineStr"/>
      <c r="I59" s="6" t="inlineStr"/>
      <c r="J59" s="10" t="n">
        <v>0.425</v>
      </c>
      <c r="K59" s="10" t="n">
        <v>0.555</v>
      </c>
      <c r="L59" s="10" t="n">
        <v>0.7</v>
      </c>
      <c r="M59" s="9">
        <f>IF(D59="","",ROUND(M57+IF(G59&gt;0,D59*G59,D59*J59),2))</f>
        <v/>
      </c>
      <c r="N59" s="9">
        <f>IF(D59="","",ROUND(N57+IF(H59&gt;0,D59*H59,D59*K59),2))</f>
        <v/>
      </c>
      <c r="O59" s="9">
        <f>IF(D59="","",ROUND(O57+IF(I59&gt;0,D59*I59,D59*L59),2))</f>
        <v/>
      </c>
      <c r="P59" s="11">
        <f>IF(M59="","",IF(ROUNDUP(M59/50,0)&gt;ROUNDUP(M57/50,0),"Lần " &amp; ROUNDUP(M59/50,0),""))</f>
        <v/>
      </c>
      <c r="Q59" s="12">
        <f>IF(N59="","",IF(ROUNDUP(N59/200,0)&gt;ROUNDUP(N57/200,0),"Lần " &amp; ROUNDUP(N59/200,0),""))</f>
        <v/>
      </c>
      <c r="R59" s="11">
        <f>IF(O59="","",IF(ROUNDUP(O59/350,0)&gt;ROUNDUP(O57/350,0),"Lần " &amp; ROUNDUP(O59/350,0),""))</f>
        <v/>
      </c>
      <c r="S59" s="6" t="inlineStr"/>
      <c r="T59" s="9" t="inlineStr"/>
      <c r="U59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0" ht="20" customHeight="1">
      <c r="A60" s="6" t="n">
        <v>54</v>
      </c>
      <c r="B60" s="7" t="inlineStr">
        <is>
          <t>Bê tông dầm Super-T Nhịp 1 - Phiến D2 (C45 đá 1x2)</t>
        </is>
      </c>
      <c r="C60" s="8" t="n"/>
      <c r="D60" s="38" t="n">
        <v>28.99</v>
      </c>
      <c r="E60" s="8">
        <f>IF(C60="","",C60+7)</f>
        <v/>
      </c>
      <c r="F60" s="8">
        <f>IF(C60="","",C60+28)</f>
        <v/>
      </c>
      <c r="G60" s="6" t="inlineStr"/>
      <c r="H60" s="6" t="inlineStr"/>
      <c r="I60" s="6" t="inlineStr"/>
      <c r="J60" s="10" t="n">
        <v>0.425</v>
      </c>
      <c r="K60" s="10" t="n">
        <v>0.555</v>
      </c>
      <c r="L60" s="10" t="n">
        <v>0.7</v>
      </c>
      <c r="M60" s="9">
        <f>IF(D60="","",ROUND(M59+IF(G60&gt;0,D60*G60,D60*J60),2))</f>
        <v/>
      </c>
      <c r="N60" s="9">
        <f>IF(D60="","",ROUND(N59+IF(H60&gt;0,D60*H60,D60*K60),2))</f>
        <v/>
      </c>
      <c r="O60" s="9">
        <f>IF(D60="","",ROUND(O59+IF(I60&gt;0,D60*I60,D60*L60),2))</f>
        <v/>
      </c>
      <c r="P60" s="11">
        <f>IF(M60="","",IF(ROUNDUP(M60/50,0)&gt;ROUNDUP(M59/50,0),"Lần " &amp; ROUNDUP(M60/50,0),""))</f>
        <v/>
      </c>
      <c r="Q60" s="12">
        <f>IF(N60="","",IF(ROUNDUP(N60/200,0)&gt;ROUNDUP(N59/200,0),"Lần " &amp; ROUNDUP(N60/200,0),""))</f>
        <v/>
      </c>
      <c r="R60" s="11">
        <f>IF(O60="","",IF(ROUNDUP(O60/350,0)&gt;ROUNDUP(O59/350,0),"Lần " &amp; ROUNDUP(O60/350,0),""))</f>
        <v/>
      </c>
      <c r="S60" s="6" t="inlineStr"/>
      <c r="T60" s="9" t="inlineStr"/>
      <c r="U60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1" ht="20" customHeight="1">
      <c r="A61" s="6" t="n">
        <v>55</v>
      </c>
      <c r="B61" s="7" t="inlineStr">
        <is>
          <t>Bê tông dầm Super-T Nhịp 1 - Phiến D3 (C45 đá 1x2)</t>
        </is>
      </c>
      <c r="C61" s="8" t="n"/>
      <c r="D61" s="38" t="n">
        <v>28.99</v>
      </c>
      <c r="E61" s="8">
        <f>IF(C61="","",C61+7)</f>
        <v/>
      </c>
      <c r="F61" s="8">
        <f>IF(C61="","",C61+28)</f>
        <v/>
      </c>
      <c r="G61" s="6" t="inlineStr"/>
      <c r="H61" s="6" t="inlineStr"/>
      <c r="I61" s="6" t="inlineStr"/>
      <c r="J61" s="10" t="n">
        <v>0.425</v>
      </c>
      <c r="K61" s="10" t="n">
        <v>0.555</v>
      </c>
      <c r="L61" s="10" t="n">
        <v>0.7</v>
      </c>
      <c r="M61" s="9">
        <f>IF(D61="","",ROUND(M60+IF(G61&gt;0,D61*G61,D61*J61),2))</f>
        <v/>
      </c>
      <c r="N61" s="9">
        <f>IF(D61="","",ROUND(N60+IF(H61&gt;0,D61*H61,D61*K61),2))</f>
        <v/>
      </c>
      <c r="O61" s="9">
        <f>IF(D61="","",ROUND(O60+IF(I61&gt;0,D61*I61,D61*L61),2))</f>
        <v/>
      </c>
      <c r="P61" s="11">
        <f>IF(M61="","",IF(ROUNDUP(M61/50,0)&gt;ROUNDUP(M60/50,0),"Lần " &amp; ROUNDUP(M61/50,0),""))</f>
        <v/>
      </c>
      <c r="Q61" s="12">
        <f>IF(N61="","",IF(ROUNDUP(N61/200,0)&gt;ROUNDUP(N60/200,0),"Lần " &amp; ROUNDUP(N61/200,0),""))</f>
        <v/>
      </c>
      <c r="R61" s="11">
        <f>IF(O61="","",IF(ROUNDUP(O61/350,0)&gt;ROUNDUP(O60/350,0),"Lần " &amp; ROUNDUP(O61/350,0),""))</f>
        <v/>
      </c>
      <c r="S61" s="6" t="inlineStr"/>
      <c r="T61" s="9" t="inlineStr"/>
      <c r="U61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2" ht="20" customHeight="1">
      <c r="A62" s="6" t="n">
        <v>56</v>
      </c>
      <c r="B62" s="7" t="inlineStr">
        <is>
          <t>Bê tông dầm Super-T Nhịp 1 - Phiến D4 (C45 đá 1x2)</t>
        </is>
      </c>
      <c r="C62" s="8" t="n"/>
      <c r="D62" s="38" t="n">
        <v>28.99</v>
      </c>
      <c r="E62" s="8">
        <f>IF(C62="","",C62+7)</f>
        <v/>
      </c>
      <c r="F62" s="8">
        <f>IF(C62="","",C62+28)</f>
        <v/>
      </c>
      <c r="G62" s="6" t="inlineStr"/>
      <c r="H62" s="6" t="inlineStr"/>
      <c r="I62" s="6" t="inlineStr"/>
      <c r="J62" s="10" t="n">
        <v>0.425</v>
      </c>
      <c r="K62" s="10" t="n">
        <v>0.555</v>
      </c>
      <c r="L62" s="10" t="n">
        <v>0.7</v>
      </c>
      <c r="M62" s="9">
        <f>IF(D62="","",ROUND(M61+IF(G62&gt;0,D62*G62,D62*J62),2))</f>
        <v/>
      </c>
      <c r="N62" s="9">
        <f>IF(D62="","",ROUND(N61+IF(H62&gt;0,D62*H62,D62*K62),2))</f>
        <v/>
      </c>
      <c r="O62" s="9">
        <f>IF(D62="","",ROUND(O61+IF(I62&gt;0,D62*I62,D62*L62),2))</f>
        <v/>
      </c>
      <c r="P62" s="11">
        <f>IF(M62="","",IF(ROUNDUP(M62/50,0)&gt;ROUNDUP(M61/50,0),"Lần " &amp; ROUNDUP(M62/50,0),""))</f>
        <v/>
      </c>
      <c r="Q62" s="12">
        <f>IF(N62="","",IF(ROUNDUP(N62/200,0)&gt;ROUNDUP(N61/200,0),"Lần " &amp; ROUNDUP(N62/200,0),""))</f>
        <v/>
      </c>
      <c r="R62" s="11">
        <f>IF(O62="","",IF(ROUNDUP(O62/350,0)&gt;ROUNDUP(O61/350,0),"Lần " &amp; ROUNDUP(O62/350,0),""))</f>
        <v/>
      </c>
      <c r="S62" s="6" t="inlineStr"/>
      <c r="T62" s="9" t="inlineStr"/>
      <c r="U62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3" ht="20" customHeight="1">
      <c r="A63" s="6" t="n">
        <v>57</v>
      </c>
      <c r="B63" s="7" t="inlineStr">
        <is>
          <t>Bê tông dầm Super-T Nhịp 1 - Phiến D5 (C45 đá 1x2)</t>
        </is>
      </c>
      <c r="C63" s="8" t="n"/>
      <c r="D63" s="38" t="n">
        <v>28.99</v>
      </c>
      <c r="E63" s="8">
        <f>IF(C63="","",C63+7)</f>
        <v/>
      </c>
      <c r="F63" s="8">
        <f>IF(C63="","",C63+28)</f>
        <v/>
      </c>
      <c r="G63" s="6" t="inlineStr"/>
      <c r="H63" s="6" t="inlineStr"/>
      <c r="I63" s="6" t="inlineStr"/>
      <c r="J63" s="10" t="n">
        <v>0.425</v>
      </c>
      <c r="K63" s="10" t="n">
        <v>0.555</v>
      </c>
      <c r="L63" s="10" t="n">
        <v>0.7</v>
      </c>
      <c r="M63" s="9">
        <f>IF(D63="","",ROUND(M62+IF(G63&gt;0,D63*G63,D63*J63),2))</f>
        <v/>
      </c>
      <c r="N63" s="9">
        <f>IF(D63="","",ROUND(N62+IF(H63&gt;0,D63*H63,D63*K63),2))</f>
        <v/>
      </c>
      <c r="O63" s="9">
        <f>IF(D63="","",ROUND(O62+IF(I63&gt;0,D63*I63,D63*L63),2))</f>
        <v/>
      </c>
      <c r="P63" s="11">
        <f>IF(M63="","",IF(ROUNDUP(M63/50,0)&gt;ROUNDUP(M62/50,0),"Lần " &amp; ROUNDUP(M63/50,0),""))</f>
        <v/>
      </c>
      <c r="Q63" s="12">
        <f>IF(N63="","",IF(ROUNDUP(N63/200,0)&gt;ROUNDUP(N62/200,0),"Lần " &amp; ROUNDUP(N63/200,0),""))</f>
        <v/>
      </c>
      <c r="R63" s="11">
        <f>IF(O63="","",IF(ROUNDUP(O63/350,0)&gt;ROUNDUP(O62/350,0),"Lần " &amp; ROUNDUP(O63/350,0),""))</f>
        <v/>
      </c>
      <c r="S63" s="6" t="inlineStr"/>
      <c r="T63" s="9" t="inlineStr"/>
      <c r="U63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4" ht="20" customHeight="1">
      <c r="A64" s="6" t="n">
        <v>58</v>
      </c>
      <c r="B64" s="7" t="inlineStr">
        <is>
          <t>Bê tông dầm Super-T Nhịp 2 - Phiến D1 (C45 đá 1x2)</t>
        </is>
      </c>
      <c r="C64" s="8" t="n"/>
      <c r="D64" s="38" t="n">
        <v>28.99</v>
      </c>
      <c r="E64" s="8">
        <f>IF(C64="","",C64+7)</f>
        <v/>
      </c>
      <c r="F64" s="8">
        <f>IF(C64="","",C64+28)</f>
        <v/>
      </c>
      <c r="G64" s="6" t="inlineStr"/>
      <c r="H64" s="6" t="inlineStr"/>
      <c r="I64" s="6" t="inlineStr"/>
      <c r="J64" s="10" t="n">
        <v>0.425</v>
      </c>
      <c r="K64" s="10" t="n">
        <v>0.555</v>
      </c>
      <c r="L64" s="10" t="n">
        <v>0.7</v>
      </c>
      <c r="M64" s="9">
        <f>IF(D64="","",ROUND(M63+IF(G64&gt;0,D64*G64,D64*J64),2))</f>
        <v/>
      </c>
      <c r="N64" s="9">
        <f>IF(D64="","",ROUND(N63+IF(H64&gt;0,D64*H64,D64*K64),2))</f>
        <v/>
      </c>
      <c r="O64" s="9">
        <f>IF(D64="","",ROUND(O63+IF(I64&gt;0,D64*I64,D64*L64),2))</f>
        <v/>
      </c>
      <c r="P64" s="11">
        <f>IF(M64="","",IF(ROUNDUP(M64/50,0)&gt;ROUNDUP(M63/50,0),"Lần " &amp; ROUNDUP(M64/50,0),""))</f>
        <v/>
      </c>
      <c r="Q64" s="12">
        <f>IF(N64="","",IF(ROUNDUP(N64/200,0)&gt;ROUNDUP(N63/200,0),"Lần " &amp; ROUNDUP(N64/200,0),""))</f>
        <v/>
      </c>
      <c r="R64" s="11">
        <f>IF(O64="","",IF(ROUNDUP(O64/350,0)&gt;ROUNDUP(O63/350,0),"Lần " &amp; ROUNDUP(O64/350,0),""))</f>
        <v/>
      </c>
      <c r="S64" s="6" t="inlineStr"/>
      <c r="T64" s="9" t="inlineStr"/>
      <c r="U64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5" ht="20" customHeight="1">
      <c r="A65" s="6" t="n">
        <v>59</v>
      </c>
      <c r="B65" s="7" t="inlineStr">
        <is>
          <t>Bê tông dầm Super-T Nhịp 2 - Phiến D2 (C45 đá 1x2)</t>
        </is>
      </c>
      <c r="C65" s="8" t="n"/>
      <c r="D65" s="38" t="n">
        <v>28.99</v>
      </c>
      <c r="E65" s="8">
        <f>IF(C65="","",C65+7)</f>
        <v/>
      </c>
      <c r="F65" s="8">
        <f>IF(C65="","",C65+28)</f>
        <v/>
      </c>
      <c r="G65" s="6" t="inlineStr"/>
      <c r="H65" s="6" t="inlineStr"/>
      <c r="I65" s="6" t="inlineStr"/>
      <c r="J65" s="10" t="n">
        <v>0.425</v>
      </c>
      <c r="K65" s="10" t="n">
        <v>0.555</v>
      </c>
      <c r="L65" s="10" t="n">
        <v>0.7</v>
      </c>
      <c r="M65" s="9">
        <f>IF(D65="","",ROUND(M64+IF(G65&gt;0,D65*G65,D65*J65),2))</f>
        <v/>
      </c>
      <c r="N65" s="9">
        <f>IF(D65="","",ROUND(N64+IF(H65&gt;0,D65*H65,D65*K65),2))</f>
        <v/>
      </c>
      <c r="O65" s="9">
        <f>IF(D65="","",ROUND(O64+IF(I65&gt;0,D65*I65,D65*L65),2))</f>
        <v/>
      </c>
      <c r="P65" s="11">
        <f>IF(M65="","",IF(ROUNDUP(M65/50,0)&gt;ROUNDUP(M64/50,0),"Lần " &amp; ROUNDUP(M65/50,0),""))</f>
        <v/>
      </c>
      <c r="Q65" s="12">
        <f>IF(N65="","",IF(ROUNDUP(N65/200,0)&gt;ROUNDUP(N64/200,0),"Lần " &amp; ROUNDUP(N65/200,0),""))</f>
        <v/>
      </c>
      <c r="R65" s="11">
        <f>IF(O65="","",IF(ROUNDUP(O65/350,0)&gt;ROUNDUP(O64/350,0),"Lần " &amp; ROUNDUP(O65/350,0),""))</f>
        <v/>
      </c>
      <c r="S65" s="6" t="inlineStr"/>
      <c r="T65" s="9" t="inlineStr"/>
      <c r="U65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6" ht="20" customHeight="1">
      <c r="A66" s="6" t="n">
        <v>60</v>
      </c>
      <c r="B66" s="7" t="inlineStr">
        <is>
          <t>Bê tông dầm Super-T Nhịp 2 - Phiến D3 (C45 đá 1x2)</t>
        </is>
      </c>
      <c r="C66" s="8" t="n"/>
      <c r="D66" s="38" t="n">
        <v>28.99</v>
      </c>
      <c r="E66" s="8">
        <f>IF(C66="","",C66+7)</f>
        <v/>
      </c>
      <c r="F66" s="8">
        <f>IF(C66="","",C66+28)</f>
        <v/>
      </c>
      <c r="G66" s="6" t="inlineStr"/>
      <c r="H66" s="6" t="inlineStr"/>
      <c r="I66" s="6" t="inlineStr"/>
      <c r="J66" s="10" t="n">
        <v>0.425</v>
      </c>
      <c r="K66" s="10" t="n">
        <v>0.555</v>
      </c>
      <c r="L66" s="10" t="n">
        <v>0.7</v>
      </c>
      <c r="M66" s="9">
        <f>IF(D66="","",ROUND(M65+IF(G66&gt;0,D66*G66,D66*J66),2))</f>
        <v/>
      </c>
      <c r="N66" s="9">
        <f>IF(D66="","",ROUND(N65+IF(H66&gt;0,D66*H66,D66*K66),2))</f>
        <v/>
      </c>
      <c r="O66" s="9">
        <f>IF(D66="","",ROUND(O65+IF(I66&gt;0,D66*I66,D66*L66),2))</f>
        <v/>
      </c>
      <c r="P66" s="11">
        <f>IF(M66="","",IF(ROUNDUP(M66/50,0)&gt;ROUNDUP(M65/50,0),"Lần " &amp; ROUNDUP(M66/50,0),""))</f>
        <v/>
      </c>
      <c r="Q66" s="12">
        <f>IF(N66="","",IF(ROUNDUP(N66/200,0)&gt;ROUNDUP(N65/200,0),"Lần " &amp; ROUNDUP(N66/200,0),""))</f>
        <v/>
      </c>
      <c r="R66" s="11">
        <f>IF(O66="","",IF(ROUNDUP(O66/350,0)&gt;ROUNDUP(O65/350,0),"Lần " &amp; ROUNDUP(O66/350,0),""))</f>
        <v/>
      </c>
      <c r="S66" s="6" t="inlineStr"/>
      <c r="T66" s="9" t="inlineStr"/>
      <c r="U66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7" ht="20" customHeight="1">
      <c r="A67" s="6" t="n">
        <v>61</v>
      </c>
      <c r="B67" s="7" t="inlineStr">
        <is>
          <t>Bê tông dầm Super-T Nhịp 2 - Phiến D4 (C45 đá 1x2)</t>
        </is>
      </c>
      <c r="C67" s="8" t="n"/>
      <c r="D67" s="38" t="n">
        <v>28.99</v>
      </c>
      <c r="E67" s="8">
        <f>IF(C67="","",C67+7)</f>
        <v/>
      </c>
      <c r="F67" s="8">
        <f>IF(C67="","",C67+28)</f>
        <v/>
      </c>
      <c r="G67" s="6" t="inlineStr"/>
      <c r="H67" s="6" t="inlineStr"/>
      <c r="I67" s="6" t="inlineStr"/>
      <c r="J67" s="10" t="n">
        <v>0.425</v>
      </c>
      <c r="K67" s="10" t="n">
        <v>0.555</v>
      </c>
      <c r="L67" s="10" t="n">
        <v>0.7</v>
      </c>
      <c r="M67" s="9">
        <f>IF(D67="","",ROUND(M66+IF(G67&gt;0,D67*G67,D67*J67),2))</f>
        <v/>
      </c>
      <c r="N67" s="9">
        <f>IF(D67="","",ROUND(N66+IF(H67&gt;0,D67*H67,D67*K67),2))</f>
        <v/>
      </c>
      <c r="O67" s="9">
        <f>IF(D67="","",ROUND(O66+IF(I67&gt;0,D67*I67,D67*L67),2))</f>
        <v/>
      </c>
      <c r="P67" s="11">
        <f>IF(M67="","",IF(ROUNDUP(M67/50,0)&gt;ROUNDUP(M66/50,0),"Lần " &amp; ROUNDUP(M67/50,0),""))</f>
        <v/>
      </c>
      <c r="Q67" s="12">
        <f>IF(N67="","",IF(ROUNDUP(N67/200,0)&gt;ROUNDUP(N66/200,0),"Lần " &amp; ROUNDUP(N67/200,0),""))</f>
        <v/>
      </c>
      <c r="R67" s="11">
        <f>IF(O67="","",IF(ROUNDUP(O67/350,0)&gt;ROUNDUP(O66/350,0),"Lần " &amp; ROUNDUP(O67/350,0),""))</f>
        <v/>
      </c>
      <c r="S67" s="6" t="inlineStr"/>
      <c r="T67" s="9" t="inlineStr"/>
      <c r="U67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8" ht="20" customHeight="1">
      <c r="A68" s="6" t="n">
        <v>62</v>
      </c>
      <c r="B68" s="7" t="inlineStr">
        <is>
          <t>Bê tông dầm Super-T Nhịp 2 - Phiến D5 (C45 đá 1x2)</t>
        </is>
      </c>
      <c r="C68" s="8" t="n"/>
      <c r="D68" s="38" t="n">
        <v>28.99</v>
      </c>
      <c r="E68" s="8">
        <f>IF(C68="","",C68+7)</f>
        <v/>
      </c>
      <c r="F68" s="8">
        <f>IF(C68="","",C68+28)</f>
        <v/>
      </c>
      <c r="G68" s="6" t="inlineStr"/>
      <c r="H68" s="6" t="inlineStr"/>
      <c r="I68" s="6" t="inlineStr"/>
      <c r="J68" s="10" t="n">
        <v>0.425</v>
      </c>
      <c r="K68" s="10" t="n">
        <v>0.555</v>
      </c>
      <c r="L68" s="10" t="n">
        <v>0.7</v>
      </c>
      <c r="M68" s="9">
        <f>IF(D68="","",ROUND(M67+IF(G68&gt;0,D68*G68,D68*J68),2))</f>
        <v/>
      </c>
      <c r="N68" s="9">
        <f>IF(D68="","",ROUND(N67+IF(H68&gt;0,D68*H68,D68*K68),2))</f>
        <v/>
      </c>
      <c r="O68" s="9">
        <f>IF(D68="","",ROUND(O67+IF(I68&gt;0,D68*I68,D68*L68),2))</f>
        <v/>
      </c>
      <c r="P68" s="11">
        <f>IF(M68="","",IF(ROUNDUP(M68/50,0)&gt;ROUNDUP(M67/50,0),"Lần " &amp; ROUNDUP(M68/50,0),""))</f>
        <v/>
      </c>
      <c r="Q68" s="12">
        <f>IF(N68="","",IF(ROUNDUP(N68/200,0)&gt;ROUNDUP(N67/200,0),"Lần " &amp; ROUNDUP(N68/200,0),""))</f>
        <v/>
      </c>
      <c r="R68" s="11">
        <f>IF(O68="","",IF(ROUNDUP(O68/350,0)&gt;ROUNDUP(O67/350,0),"Lần " &amp; ROUNDUP(O68/350,0),""))</f>
        <v/>
      </c>
      <c r="S68" s="6" t="inlineStr"/>
      <c r="T68" s="9" t="inlineStr"/>
      <c r="U68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69" ht="20" customHeight="1">
      <c r="A69" s="6" t="n">
        <v>63</v>
      </c>
      <c r="B69" s="7" t="inlineStr">
        <is>
          <t>Bê tông dầm Super-T Nhịp 3 - Phiến D1 (C45 đá 1x2)</t>
        </is>
      </c>
      <c r="C69" s="8" t="n"/>
      <c r="D69" s="38" t="n">
        <v>28.99</v>
      </c>
      <c r="E69" s="8">
        <f>IF(C69="","",C69+7)</f>
        <v/>
      </c>
      <c r="F69" s="8">
        <f>IF(C69="","",C69+28)</f>
        <v/>
      </c>
      <c r="G69" s="6" t="inlineStr"/>
      <c r="H69" s="6" t="inlineStr"/>
      <c r="I69" s="6" t="inlineStr"/>
      <c r="J69" s="10" t="n">
        <v>0.425</v>
      </c>
      <c r="K69" s="10" t="n">
        <v>0.555</v>
      </c>
      <c r="L69" s="10" t="n">
        <v>0.7</v>
      </c>
      <c r="M69" s="9">
        <f>IF(D69="","",ROUND(M68+IF(G69&gt;0,D69*G69,D69*J69),2))</f>
        <v/>
      </c>
      <c r="N69" s="9">
        <f>IF(D69="","",ROUND(N68+IF(H69&gt;0,D69*H69,D69*K69),2))</f>
        <v/>
      </c>
      <c r="O69" s="9">
        <f>IF(D69="","",ROUND(O68+IF(I69&gt;0,D69*I69,D69*L69),2))</f>
        <v/>
      </c>
      <c r="P69" s="11">
        <f>IF(M69="","",IF(ROUNDUP(M69/50,0)&gt;ROUNDUP(M68/50,0),"Lần " &amp; ROUNDUP(M69/50,0),""))</f>
        <v/>
      </c>
      <c r="Q69" s="12">
        <f>IF(N69="","",IF(ROUNDUP(N69/200,0)&gt;ROUNDUP(N68/200,0),"Lần " &amp; ROUNDUP(N69/200,0),""))</f>
        <v/>
      </c>
      <c r="R69" s="11">
        <f>IF(O69="","",IF(ROUNDUP(O69/350,0)&gt;ROUNDUP(O68/350,0),"Lần " &amp; ROUNDUP(O69/350,0),""))</f>
        <v/>
      </c>
      <c r="S69" s="6" t="inlineStr"/>
      <c r="T69" s="9" t="inlineStr"/>
      <c r="U69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70" ht="20" customHeight="1">
      <c r="A70" s="6" t="n">
        <v>64</v>
      </c>
      <c r="B70" s="7" t="inlineStr">
        <is>
          <t>Bê tông dầm Super-T Nhịp 3 - Phiến D2 (C45 đá 1x2)</t>
        </is>
      </c>
      <c r="C70" s="8" t="n"/>
      <c r="D70" s="38" t="n">
        <v>28.99</v>
      </c>
      <c r="E70" s="8">
        <f>IF(C70="","",C70+7)</f>
        <v/>
      </c>
      <c r="F70" s="8">
        <f>IF(C70="","",C70+28)</f>
        <v/>
      </c>
      <c r="G70" s="6" t="inlineStr"/>
      <c r="H70" s="6" t="inlineStr"/>
      <c r="I70" s="6" t="inlineStr"/>
      <c r="J70" s="10" t="n">
        <v>0.425</v>
      </c>
      <c r="K70" s="10" t="n">
        <v>0.555</v>
      </c>
      <c r="L70" s="10" t="n">
        <v>0.7</v>
      </c>
      <c r="M70" s="9">
        <f>IF(D70="","",ROUND(M69+IF(G70&gt;0,D70*G70,D70*J70),2))</f>
        <v/>
      </c>
      <c r="N70" s="9">
        <f>IF(D70="","",ROUND(N69+IF(H70&gt;0,D70*H70,D70*K70),2))</f>
        <v/>
      </c>
      <c r="O70" s="9">
        <f>IF(D70="","",ROUND(O69+IF(I70&gt;0,D70*I70,D70*L70),2))</f>
        <v/>
      </c>
      <c r="P70" s="11">
        <f>IF(M70="","",IF(ROUNDUP(M70/50,0)&gt;ROUNDUP(M69/50,0),"Lần " &amp; ROUNDUP(M70/50,0),""))</f>
        <v/>
      </c>
      <c r="Q70" s="12">
        <f>IF(N70="","",IF(ROUNDUP(N70/200,0)&gt;ROUNDUP(N69/200,0),"Lần " &amp; ROUNDUP(N70/200,0),""))</f>
        <v/>
      </c>
      <c r="R70" s="11">
        <f>IF(O70="","",IF(ROUNDUP(O70/350,0)&gt;ROUNDUP(O69/350,0),"Lần " &amp; ROUNDUP(O70/350,0),""))</f>
        <v/>
      </c>
      <c r="S70" s="6" t="inlineStr"/>
      <c r="T70" s="9" t="inlineStr"/>
      <c r="U70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71" ht="20" customHeight="1">
      <c r="A71" s="6" t="n">
        <v>65</v>
      </c>
      <c r="B71" s="7" t="inlineStr">
        <is>
          <t>Bê tông dầm Super-T Nhịp 3 - Phiến D3 (C45 đá 1x2)</t>
        </is>
      </c>
      <c r="C71" s="8" t="n"/>
      <c r="D71" s="38" t="n">
        <v>28.99</v>
      </c>
      <c r="E71" s="8">
        <f>IF(C71="","",C71+7)</f>
        <v/>
      </c>
      <c r="F71" s="8">
        <f>IF(C71="","",C71+28)</f>
        <v/>
      </c>
      <c r="G71" s="6" t="inlineStr"/>
      <c r="H71" s="6" t="inlineStr"/>
      <c r="I71" s="6" t="inlineStr"/>
      <c r="J71" s="10" t="n">
        <v>0.425</v>
      </c>
      <c r="K71" s="10" t="n">
        <v>0.555</v>
      </c>
      <c r="L71" s="10" t="n">
        <v>0.7</v>
      </c>
      <c r="M71" s="9">
        <f>IF(D71="","",ROUND(M70+IF(G71&gt;0,D71*G71,D71*J71),2))</f>
        <v/>
      </c>
      <c r="N71" s="9">
        <f>IF(D71="","",ROUND(N70+IF(H71&gt;0,D71*H71,D71*K71),2))</f>
        <v/>
      </c>
      <c r="O71" s="9">
        <f>IF(D71="","",ROUND(O70+IF(I71&gt;0,D71*I71,D71*L71),2))</f>
        <v/>
      </c>
      <c r="P71" s="11">
        <f>IF(M71="","",IF(ROUNDUP(M71/50,0)&gt;ROUNDUP(M70/50,0),"Lần " &amp; ROUNDUP(M71/50,0),""))</f>
        <v/>
      </c>
      <c r="Q71" s="12">
        <f>IF(N71="","",IF(ROUNDUP(N71/200,0)&gt;ROUNDUP(N70/200,0),"Lần " &amp; ROUNDUP(N71/200,0),""))</f>
        <v/>
      </c>
      <c r="R71" s="11">
        <f>IF(O71="","",IF(ROUNDUP(O71/350,0)&gt;ROUNDUP(O70/350,0),"Lần " &amp; ROUNDUP(O71/350,0),""))</f>
        <v/>
      </c>
      <c r="S71" s="6" t="inlineStr"/>
      <c r="T71" s="9" t="inlineStr"/>
      <c r="U71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72" ht="20" customHeight="1">
      <c r="A72" s="6" t="n">
        <v>66</v>
      </c>
      <c r="B72" s="7" t="inlineStr">
        <is>
          <t>Bê tông dầm Super-T Nhịp 3 - Phiến D4 (C45 đá 1x2)</t>
        </is>
      </c>
      <c r="C72" s="8" t="n"/>
      <c r="D72" s="38" t="n">
        <v>28.99</v>
      </c>
      <c r="E72" s="8">
        <f>IF(C72="","",C72+7)</f>
        <v/>
      </c>
      <c r="F72" s="8">
        <f>IF(C72="","",C72+28)</f>
        <v/>
      </c>
      <c r="G72" s="6" t="inlineStr"/>
      <c r="H72" s="6" t="inlineStr"/>
      <c r="I72" s="6" t="inlineStr"/>
      <c r="J72" s="10" t="n">
        <v>0.425</v>
      </c>
      <c r="K72" s="10" t="n">
        <v>0.555</v>
      </c>
      <c r="L72" s="10" t="n">
        <v>0.7</v>
      </c>
      <c r="M72" s="9">
        <f>IF(D72="","",ROUND(M71+IF(G72&gt;0,D72*G72,D72*J72),2))</f>
        <v/>
      </c>
      <c r="N72" s="9">
        <f>IF(D72="","",ROUND(N71+IF(H72&gt;0,D72*H72,D72*K72),2))</f>
        <v/>
      </c>
      <c r="O72" s="9">
        <f>IF(D72="","",ROUND(O71+IF(I72&gt;0,D72*I72,D72*L72),2))</f>
        <v/>
      </c>
      <c r="P72" s="11">
        <f>IF(M72="","",IF(ROUNDUP(M72/50,0)&gt;ROUNDUP(M71/50,0),"Lần " &amp; ROUNDUP(M72/50,0),""))</f>
        <v/>
      </c>
      <c r="Q72" s="12">
        <f>IF(N72="","",IF(ROUNDUP(N72/200,0)&gt;ROUNDUP(N71/200,0),"Lần " &amp; ROUNDUP(N72/200,0),""))</f>
        <v/>
      </c>
      <c r="R72" s="11">
        <f>IF(O72="","",IF(ROUNDUP(O72/350,0)&gt;ROUNDUP(O71/350,0),"Lần " &amp; ROUNDUP(O72/350,0),""))</f>
        <v/>
      </c>
      <c r="S72" s="6" t="inlineStr"/>
      <c r="T72" s="9" t="inlineStr"/>
      <c r="U72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73" ht="20" customHeight="1">
      <c r="A73" s="6" t="n">
        <v>67</v>
      </c>
      <c r="B73" s="7" t="inlineStr">
        <is>
          <t>Bê tông dầm Super-T Nhịp 3 - Phiến D5 (C45 đá 1x2)</t>
        </is>
      </c>
      <c r="C73" s="8" t="n"/>
      <c r="D73" s="38" t="n">
        <v>28.99</v>
      </c>
      <c r="E73" s="8">
        <f>IF(C73="","",C73+7)</f>
        <v/>
      </c>
      <c r="F73" s="8">
        <f>IF(C73="","",C73+28)</f>
        <v/>
      </c>
      <c r="G73" s="6" t="inlineStr"/>
      <c r="H73" s="6" t="inlineStr"/>
      <c r="I73" s="6" t="inlineStr"/>
      <c r="J73" s="10" t="n">
        <v>0.425</v>
      </c>
      <c r="K73" s="10" t="n">
        <v>0.555</v>
      </c>
      <c r="L73" s="10" t="n">
        <v>0.7</v>
      </c>
      <c r="M73" s="9">
        <f>IF(D73="","",ROUND(M72+IF(G73&gt;0,D73*G73,D73*J73),2))</f>
        <v/>
      </c>
      <c r="N73" s="9">
        <f>IF(D73="","",ROUND(N72+IF(H73&gt;0,D73*H73,D73*K73),2))</f>
        <v/>
      </c>
      <c r="O73" s="9">
        <f>IF(D73="","",ROUND(O72+IF(I73&gt;0,D73*I73,D73*L73),2))</f>
        <v/>
      </c>
      <c r="P73" s="11">
        <f>IF(M73="","",IF(ROUNDUP(M73/50,0)&gt;ROUNDUP(M72/50,0),"Lần " &amp; ROUNDUP(M73/50,0),""))</f>
        <v/>
      </c>
      <c r="Q73" s="12">
        <f>IF(N73="","",IF(ROUNDUP(N73/200,0)&gt;ROUNDUP(N72/200,0),"Lần " &amp; ROUNDUP(N73/200,0),""))</f>
        <v/>
      </c>
      <c r="R73" s="11">
        <f>IF(O73="","",IF(ROUNDUP(O73/350,0)&gt;ROUNDUP(O72/350,0),"Lần " &amp; ROUNDUP(O73/350,0),""))</f>
        <v/>
      </c>
      <c r="S73" s="6" t="inlineStr"/>
      <c r="T73" s="9" t="inlineStr"/>
      <c r="U73" s="39" t="inlineStr">
        <is>
          <t>Khớp bản vẽ (tr.175 bê tông 15 phiến ÷ 15). Bình quân 15 phiến; từng loại: S1B1 29,25 (tr.88), S1G 28,83 (tr.94) m³ — thay theo loại phiến khi có sơ đồ vị trí. | Mác C45 chưa có cấp phối riêng — đang dùng cấp phối C30 (0,425 t XM; 0,555 m³ cát; 0,700 m³ đá / m³). Nhập cấp phối được duyệt.</t>
        </is>
      </c>
    </row>
    <row r="74" ht="22" customHeight="1">
      <c r="A74" s="4" t="inlineStr">
        <is>
          <t>V. HẠNG MỤC DẦM NGANG, BẢN MẶT CẦU &amp; KẾT CẤU HOÀN THIỆN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4" t="n"/>
    </row>
    <row r="75" ht="20" customHeight="1">
      <c r="A75" s="6" t="n">
        <v>68</v>
      </c>
      <c r="B75" s="7" t="inlineStr">
        <is>
          <t>Bê tông dầm ngang mố M1 &amp; Trụ T1 (C35 đá 1x2)</t>
        </is>
      </c>
      <c r="C75" s="8" t="n"/>
      <c r="D75" s="38" t="n">
        <v>6.46</v>
      </c>
      <c r="E75" s="8">
        <f>IF(C75="","",C75+7)</f>
        <v/>
      </c>
      <c r="F75" s="8">
        <f>IF(C75="","",C75+28)</f>
        <v/>
      </c>
      <c r="G75" s="6" t="inlineStr"/>
      <c r="H75" s="6" t="inlineStr"/>
      <c r="I75" s="6" t="inlineStr"/>
      <c r="J75" s="10" t="n">
        <v>0.425</v>
      </c>
      <c r="K75" s="10" t="n">
        <v>0.555</v>
      </c>
      <c r="L75" s="10" t="n">
        <v>0.7</v>
      </c>
      <c r="M75" s="9">
        <f>IF(D75="","",ROUND(M73+IF(G75&gt;0,D75*G75,D75*J75),2))</f>
        <v/>
      </c>
      <c r="N75" s="9">
        <f>IF(D75="","",ROUND(N73+IF(H75&gt;0,D75*H75,D75*K75),2))</f>
        <v/>
      </c>
      <c r="O75" s="9">
        <f>IF(D75="","",ROUND(O73+IF(I75&gt;0,D75*I75,D75*L75),2))</f>
        <v/>
      </c>
      <c r="P75" s="11">
        <f>IF(M75="","",IF(ROUNDUP(M75/50,0)&gt;ROUNDUP(M73/50,0),"Lần " &amp; ROUNDUP(M75/50,0),""))</f>
        <v/>
      </c>
      <c r="Q75" s="12">
        <f>IF(N75="","",IF(ROUNDUP(N75/200,0)&gt;ROUNDUP(N73/200,0),"Lần " &amp; ROUNDUP(N75/200,0),""))</f>
        <v/>
      </c>
      <c r="R75" s="11">
        <f>IF(O75="","",IF(ROUNDUP(O75/350,0)&gt;ROUNDUP(O73/350,0),"Lần " &amp; ROUNDUP(O75/350,0),""))</f>
        <v/>
      </c>
      <c r="S75" s="6" t="inlineStr"/>
      <c r="T75" s="9" t="inlineStr"/>
      <c r="U75" s="39" t="inlineStr">
        <is>
          <t>Khớp bản vẽ (tr.96: 3 dầm ngang, 19,38 ÷ 3) | Mác C35 chưa có cấp phối riêng — đang dùng cấp phối C30 (0,425 t XM; 0,555 m³ cát; 0,700 m³ đá / m³). Nhập cấp phối được duyệt.</t>
        </is>
      </c>
    </row>
    <row r="76" ht="20" customHeight="1">
      <c r="A76" s="6" t="n">
        <v>69</v>
      </c>
      <c r="B76" s="7" t="inlineStr">
        <is>
          <t>Bê tông dầm ngang Trụ T1 &amp; Trụ T2 (C35 đá 1x2)</t>
        </is>
      </c>
      <c r="C76" s="8" t="n"/>
      <c r="D76" s="38" t="n">
        <v>6.46</v>
      </c>
      <c r="E76" s="8">
        <f>IF(C76="","",C76+7)</f>
        <v/>
      </c>
      <c r="F76" s="8">
        <f>IF(C76="","",C76+28)</f>
        <v/>
      </c>
      <c r="G76" s="6" t="inlineStr"/>
      <c r="H76" s="6" t="inlineStr"/>
      <c r="I76" s="6" t="inlineStr"/>
      <c r="J76" s="10" t="n">
        <v>0.425</v>
      </c>
      <c r="K76" s="10" t="n">
        <v>0.555</v>
      </c>
      <c r="L76" s="10" t="n">
        <v>0.7</v>
      </c>
      <c r="M76" s="9">
        <f>IF(D76="","",ROUND(M75+IF(G76&gt;0,D76*G76,D76*J76),2))</f>
        <v/>
      </c>
      <c r="N76" s="9">
        <f>IF(D76="","",ROUND(N75+IF(H76&gt;0,D76*H76,D76*K76),2))</f>
        <v/>
      </c>
      <c r="O76" s="9">
        <f>IF(D76="","",ROUND(O75+IF(I76&gt;0,D76*I76,D76*L76),2))</f>
        <v/>
      </c>
      <c r="P76" s="11">
        <f>IF(M76="","",IF(ROUNDUP(M76/50,0)&gt;ROUNDUP(M75/50,0),"Lần " &amp; ROUNDUP(M76/50,0),""))</f>
        <v/>
      </c>
      <c r="Q76" s="12">
        <f>IF(N76="","",IF(ROUNDUP(N76/200,0)&gt;ROUNDUP(N75/200,0),"Lần " &amp; ROUNDUP(N76/200,0),""))</f>
        <v/>
      </c>
      <c r="R76" s="11">
        <f>IF(O76="","",IF(ROUNDUP(O76/350,0)&gt;ROUNDUP(O75/350,0),"Lần " &amp; ROUNDUP(O76/350,0),""))</f>
        <v/>
      </c>
      <c r="S76" s="6" t="inlineStr"/>
      <c r="T76" s="9" t="inlineStr"/>
      <c r="U76" s="39" t="inlineStr">
        <is>
          <t>Khớp bản vẽ (tr.96: 3 dầm ngang, 19,38 ÷ 3) | Mác C35 chưa có cấp phối riêng — đang dùng cấp phối C30 (0,425 t XM; 0,555 m³ cát; 0,700 m³ đá / m³). Nhập cấp phối được duyệt.</t>
        </is>
      </c>
    </row>
    <row r="77" ht="20" customHeight="1">
      <c r="A77" s="6" t="n">
        <v>70</v>
      </c>
      <c r="B77" s="7" t="inlineStr">
        <is>
          <t>Bê tông dầm ngang Trụ T2 &amp; Mố M2 (C35 đá 1x2)</t>
        </is>
      </c>
      <c r="C77" s="8" t="n"/>
      <c r="D77" s="38" t="n">
        <v>6.46</v>
      </c>
      <c r="E77" s="8">
        <f>IF(C77="","",C77+7)</f>
        <v/>
      </c>
      <c r="F77" s="8">
        <f>IF(C77="","",C77+28)</f>
        <v/>
      </c>
      <c r="G77" s="6" t="inlineStr"/>
      <c r="H77" s="6" t="inlineStr"/>
      <c r="I77" s="6" t="inlineStr"/>
      <c r="J77" s="10" t="n">
        <v>0.425</v>
      </c>
      <c r="K77" s="10" t="n">
        <v>0.555</v>
      </c>
      <c r="L77" s="10" t="n">
        <v>0.7</v>
      </c>
      <c r="M77" s="9">
        <f>IF(D77="","",ROUND(M76+IF(G77&gt;0,D77*G77,D77*J77),2))</f>
        <v/>
      </c>
      <c r="N77" s="9">
        <f>IF(D77="","",ROUND(N76+IF(H77&gt;0,D77*H77,D77*K77),2))</f>
        <v/>
      </c>
      <c r="O77" s="9">
        <f>IF(D77="","",ROUND(O76+IF(I77&gt;0,D77*I77,D77*L77),2))</f>
        <v/>
      </c>
      <c r="P77" s="11">
        <f>IF(M77="","",IF(ROUNDUP(M77/50,0)&gt;ROUNDUP(M76/50,0),"Lần " &amp; ROUNDUP(M77/50,0),""))</f>
        <v/>
      </c>
      <c r="Q77" s="12">
        <f>IF(N77="","",IF(ROUNDUP(N77/200,0)&gt;ROUNDUP(N76/200,0),"Lần " &amp; ROUNDUP(N77/200,0),""))</f>
        <v/>
      </c>
      <c r="R77" s="11">
        <f>IF(O77="","",IF(ROUNDUP(O77/350,0)&gt;ROUNDUP(O76/350,0),"Lần " &amp; ROUNDUP(O77/350,0),""))</f>
        <v/>
      </c>
      <c r="S77" s="6" t="inlineStr"/>
      <c r="T77" s="9" t="inlineStr"/>
      <c r="U77" s="39" t="inlineStr">
        <is>
          <t>Khớp bản vẽ (tr.96: 3 dầm ngang, 19,38 ÷ 3) | Mác C35 chưa có cấp phối riêng — đang dùng cấp phối C30 (0,425 t XM; 0,555 m³ cát; 0,700 m³ đá / m³). Nhập cấp phối được duyệt.</t>
        </is>
      </c>
    </row>
    <row r="78" ht="20" customHeight="1">
      <c r="A78" s="6" t="n">
        <v>71</v>
      </c>
      <c r="B78" s="7" t="inlineStr">
        <is>
          <t>Bê tông bản liên tục nhiệt tại trụ T1, T2 (C35 đá 1x2)</t>
        </is>
      </c>
      <c r="C78" s="8" t="n"/>
      <c r="D78" s="38" t="n">
        <v>21.87</v>
      </c>
      <c r="E78" s="8">
        <f>IF(C78="","",C78+7)</f>
        <v/>
      </c>
      <c r="F78" s="8">
        <f>IF(C78="","",C78+28)</f>
        <v/>
      </c>
      <c r="G78" s="6" t="inlineStr"/>
      <c r="H78" s="6" t="inlineStr"/>
      <c r="I78" s="6" t="inlineStr"/>
      <c r="J78" s="10" t="n">
        <v>0.425</v>
      </c>
      <c r="K78" s="10" t="n">
        <v>0.555</v>
      </c>
      <c r="L78" s="10" t="n">
        <v>0.7</v>
      </c>
      <c r="M78" s="9">
        <f>IF(D78="","",ROUND(M77+IF(G78&gt;0,D78*G78,D78*J78),2))</f>
        <v/>
      </c>
      <c r="N78" s="9">
        <f>IF(D78="","",ROUND(N77+IF(H78&gt;0,D78*H78,D78*K78),2))</f>
        <v/>
      </c>
      <c r="O78" s="9">
        <f>IF(D78="","",ROUND(O77+IF(I78&gt;0,D78*I78,D78*L78),2))</f>
        <v/>
      </c>
      <c r="P78" s="11">
        <f>IF(M78="","",IF(ROUNDUP(M78/50,0)&gt;ROUNDUP(M77/50,0),"Lần " &amp; ROUNDUP(M78/50,0),""))</f>
        <v/>
      </c>
      <c r="Q78" s="12">
        <f>IF(N78="","",IF(ROUNDUP(N78/200,0)&gt;ROUNDUP(N77/200,0),"Lần " &amp; ROUNDUP(N78/200,0),""))</f>
        <v/>
      </c>
      <c r="R78" s="11">
        <f>IF(O78="","",IF(ROUNDUP(O78/350,0)&gt;ROUNDUP(O77/350,0),"Lần " &amp; ROUNDUP(O78/350,0),""))</f>
        <v/>
      </c>
      <c r="S78" s="6" t="inlineStr"/>
      <c r="T78" s="9" t="inlineStr"/>
      <c r="U78" s="39" t="inlineStr">
        <is>
          <t>Bản vẽ: 8,50 → 21,87 m³ (tr.175 (tr.112: 2 vị trí × 10,93)). File cũ 8,5 m³ ghi C45; bản vẽ 21,87 m³ C35, đổ ở 2 vị trí — nên tách 2 dòng để lấy mẫu từng lần đổ. | Mác C35 chưa có cấp phối riêng — đang dùng cấp phối C30 (0,425 t XM; 0,555 m³ cát; 0,700 m³ đá / m³). Nhập cấp phối được duyệt.</t>
        </is>
      </c>
    </row>
    <row r="79" ht="20" customHeight="1">
      <c r="A79" s="6" t="n">
        <v>72</v>
      </c>
      <c r="B79" s="7" t="inlineStr">
        <is>
          <t>Bê tông bản mặt cầu Nhịp 1 (C35 đá 1x2)</t>
        </is>
      </c>
      <c r="C79" s="8" t="n"/>
      <c r="D79" s="38" t="n">
        <v>102.53</v>
      </c>
      <c r="E79" s="8">
        <f>IF(C79="","",C79+7)</f>
        <v/>
      </c>
      <c r="F79" s="8">
        <f>IF(C79="","",C79+28)</f>
        <v/>
      </c>
      <c r="G79" s="6" t="inlineStr"/>
      <c r="H79" s="6" t="inlineStr"/>
      <c r="I79" s="6" t="inlineStr"/>
      <c r="J79" s="10" t="n">
        <v>0.425</v>
      </c>
      <c r="K79" s="10" t="n">
        <v>0.555</v>
      </c>
      <c r="L79" s="10" t="n">
        <v>0.7</v>
      </c>
      <c r="M79" s="9">
        <f>IF(D79="","",ROUND(M78+IF(G79&gt;0,D79*G79,D79*J79),2))</f>
        <v/>
      </c>
      <c r="N79" s="9">
        <f>IF(D79="","",ROUND(N78+IF(H79&gt;0,D79*H79,D79*K79),2))</f>
        <v/>
      </c>
      <c r="O79" s="9">
        <f>IF(D79="","",ROUND(O78+IF(I79&gt;0,D79*I79,D79*L79),2))</f>
        <v/>
      </c>
      <c r="P79" s="11">
        <f>IF(M79="","",IF(ROUNDUP(M79/50,0)&gt;ROUNDUP(M78/50,0),"Lần " &amp; ROUNDUP(M79/50,0),""))</f>
        <v/>
      </c>
      <c r="Q79" s="12">
        <f>IF(N79="","",IF(ROUNDUP(N79/200,0)&gt;ROUNDUP(N78/200,0),"Lần " &amp; ROUNDUP(N79/200,0),""))</f>
        <v/>
      </c>
      <c r="R79" s="11">
        <f>IF(O79="","",IF(ROUNDUP(O79/350,0)&gt;ROUNDUP(O78/350,0),"Lần " &amp; ROUNDUP(O79/350,0),""))</f>
        <v/>
      </c>
      <c r="S79" s="6" t="inlineStr"/>
      <c r="T79" s="9" t="inlineStr"/>
      <c r="U79" s="39" t="inlineStr">
        <is>
          <t>Bản vẽ: 85,00 → 102,53 m³ (tr.112 bản mặt cầu loại 1 (1 nhịp)). Tr.112/175: 2 nhịp loại 1 (102,53) + 1 nhịp loại 2 (100,40) = 305,465 m³. Chưa rõ nhịp nào loại 2 — đang gán nhịp 2. | Mác C35 chưa có cấp phối riêng — đang dùng cấp phối C30 (0,425 t XM; 0,555 m³ cát; 0,700 m³ đá / m³). Nhập cấp phối được duyệt.</t>
        </is>
      </c>
    </row>
    <row r="80" ht="20" customHeight="1">
      <c r="A80" s="6" t="n">
        <v>73</v>
      </c>
      <c r="B80" s="7" t="inlineStr">
        <is>
          <t>Bê tông bản mặt cầu Nhịp 2 (C35 đá 1x2)</t>
        </is>
      </c>
      <c r="C80" s="8" t="n"/>
      <c r="D80" s="38" t="n">
        <v>100.4</v>
      </c>
      <c r="E80" s="8">
        <f>IF(C80="","",C80+7)</f>
        <v/>
      </c>
      <c r="F80" s="8">
        <f>IF(C80="","",C80+28)</f>
        <v/>
      </c>
      <c r="G80" s="6" t="inlineStr"/>
      <c r="H80" s="6" t="inlineStr"/>
      <c r="I80" s="6" t="inlineStr"/>
      <c r="J80" s="10" t="n">
        <v>0.425</v>
      </c>
      <c r="K80" s="10" t="n">
        <v>0.555</v>
      </c>
      <c r="L80" s="10" t="n">
        <v>0.7</v>
      </c>
      <c r="M80" s="9">
        <f>IF(D80="","",ROUND(M79+IF(G80&gt;0,D80*G80,D80*J80),2))</f>
        <v/>
      </c>
      <c r="N80" s="9">
        <f>IF(D80="","",ROUND(N79+IF(H80&gt;0,D80*H80,D80*K80),2))</f>
        <v/>
      </c>
      <c r="O80" s="9">
        <f>IF(D80="","",ROUND(O79+IF(I80&gt;0,D80*I80,D80*L80),2))</f>
        <v/>
      </c>
      <c r="P80" s="11">
        <f>IF(M80="","",IF(ROUNDUP(M80/50,0)&gt;ROUNDUP(M79/50,0),"Lần " &amp; ROUNDUP(M80/50,0),""))</f>
        <v/>
      </c>
      <c r="Q80" s="12">
        <f>IF(N80="","",IF(ROUNDUP(N80/200,0)&gt;ROUNDUP(N79/200,0),"Lần " &amp; ROUNDUP(N80/200,0),""))</f>
        <v/>
      </c>
      <c r="R80" s="11">
        <f>IF(O80="","",IF(ROUNDUP(O80/350,0)&gt;ROUNDUP(O79/350,0),"Lần " &amp; ROUNDUP(O80/350,0),""))</f>
        <v/>
      </c>
      <c r="S80" s="6" t="inlineStr"/>
      <c r="T80" s="9" t="inlineStr"/>
      <c r="U80" s="39" t="inlineStr">
        <is>
          <t>Bản vẽ: 85,00 → 100,40 m³ (tr.112 bản mặt cầu loại 2 (1 nhịp)). Chưa rõ nhịp nào loại 2 — đang gán nhịp 2. | Mác C35 chưa có cấp phối riêng — đang dùng cấp phối C30 (0,425 t XM; 0,555 m³ cát; 0,700 m³ đá / m³). Nhập cấp phối được duyệt.</t>
        </is>
      </c>
    </row>
    <row r="81" ht="20" customHeight="1">
      <c r="A81" s="6" t="n">
        <v>74</v>
      </c>
      <c r="B81" s="7" t="inlineStr">
        <is>
          <t>Bê tông bản mặt cầu Nhịp 3 (C35 đá 1x2)</t>
        </is>
      </c>
      <c r="C81" s="8" t="n"/>
      <c r="D81" s="38" t="n">
        <v>102.53</v>
      </c>
      <c r="E81" s="8">
        <f>IF(C81="","",C81+7)</f>
        <v/>
      </c>
      <c r="F81" s="8">
        <f>IF(C81="","",C81+28)</f>
        <v/>
      </c>
      <c r="G81" s="6" t="inlineStr"/>
      <c r="H81" s="6" t="inlineStr"/>
      <c r="I81" s="6" t="inlineStr"/>
      <c r="J81" s="10" t="n">
        <v>0.425</v>
      </c>
      <c r="K81" s="10" t="n">
        <v>0.555</v>
      </c>
      <c r="L81" s="10" t="n">
        <v>0.7</v>
      </c>
      <c r="M81" s="9">
        <f>IF(D81="","",ROUND(M80+IF(G81&gt;0,D81*G81,D81*J81),2))</f>
        <v/>
      </c>
      <c r="N81" s="9">
        <f>IF(D81="","",ROUND(N80+IF(H81&gt;0,D81*H81,D81*K81),2))</f>
        <v/>
      </c>
      <c r="O81" s="9">
        <f>IF(D81="","",ROUND(O80+IF(I81&gt;0,D81*I81,D81*L81),2))</f>
        <v/>
      </c>
      <c r="P81" s="11">
        <f>IF(M81="","",IF(ROUNDUP(M81/50,0)&gt;ROUNDUP(M80/50,0),"Lần " &amp; ROUNDUP(M81/50,0),""))</f>
        <v/>
      </c>
      <c r="Q81" s="12">
        <f>IF(N81="","",IF(ROUNDUP(N81/200,0)&gt;ROUNDUP(N80/200,0),"Lần " &amp; ROUNDUP(N81/200,0),""))</f>
        <v/>
      </c>
      <c r="R81" s="11">
        <f>IF(O81="","",IF(ROUNDUP(O81/350,0)&gt;ROUNDUP(O80/350,0),"Lần " &amp; ROUNDUP(O81/350,0),""))</f>
        <v/>
      </c>
      <c r="S81" s="6" t="inlineStr"/>
      <c r="T81" s="9" t="inlineStr"/>
      <c r="U81" s="39" t="inlineStr">
        <is>
          <t>Bản vẽ: 85,00 → 102,53 m³ (tr.112 bản mặt cầu loại 1 (1 nhịp)) | Mác C35 chưa có cấp phối riêng — đang dùng cấp phối C30 (0,425 t XM; 0,555 m³ cát; 0,700 m³ đá / m³). Nhập cấp phối được duyệt.</t>
        </is>
      </c>
    </row>
    <row r="82" ht="20" customHeight="1">
      <c r="A82" s="6" t="n">
        <v>75</v>
      </c>
      <c r="B82" s="7" t="inlineStr">
        <is>
          <t>Bê tông bản quá độ mố M1 (C25 đá 1x2)</t>
        </is>
      </c>
      <c r="C82" s="8" t="n"/>
      <c r="D82" s="38" t="n">
        <v>29.1</v>
      </c>
      <c r="E82" s="8">
        <f>IF(C82="","",C82+7)</f>
        <v/>
      </c>
      <c r="F82" s="8">
        <f>IF(C82="","",C82+28)</f>
        <v/>
      </c>
      <c r="G82" s="6" t="inlineStr"/>
      <c r="H82" s="6" t="inlineStr"/>
      <c r="I82" s="6" t="inlineStr"/>
      <c r="J82" s="10" t="n">
        <v>0.425</v>
      </c>
      <c r="K82" s="10" t="n">
        <v>0.555</v>
      </c>
      <c r="L82" s="10" t="n">
        <v>0.7</v>
      </c>
      <c r="M82" s="9">
        <f>IF(D82="","",ROUND(M81+IF(G82&gt;0,D82*G82,D82*J82),2))</f>
        <v/>
      </c>
      <c r="N82" s="9">
        <f>IF(D82="","",ROUND(N81+IF(H82&gt;0,D82*H82,D82*K82),2))</f>
        <v/>
      </c>
      <c r="O82" s="9">
        <f>IF(D82="","",ROUND(O81+IF(I82&gt;0,D82*I82,D82*L82),2))</f>
        <v/>
      </c>
      <c r="P82" s="11">
        <f>IF(M82="","",IF(ROUNDUP(M82/50,0)&gt;ROUNDUP(M81/50,0),"Lần " &amp; ROUNDUP(M82/50,0),""))</f>
        <v/>
      </c>
      <c r="Q82" s="12">
        <f>IF(N82="","",IF(ROUNDUP(N82/200,0)&gt;ROUNDUP(N81/200,0),"Lần " &amp; ROUNDUP(N82/200,0),""))</f>
        <v/>
      </c>
      <c r="R82" s="11">
        <f>IF(O82="","",IF(ROUNDUP(O82/350,0)&gt;ROUNDUP(O81/350,0),"Lần " &amp; ROUNDUP(O82/350,0),""))</f>
        <v/>
      </c>
      <c r="S82" s="6" t="inlineStr"/>
      <c r="T82" s="9" t="inlineStr"/>
      <c r="U82" s="39" t="inlineStr">
        <is>
          <t>Bản vẽ: 16,00 → 29,10 m³ (tr.126 bản quá độ A1). File cũ 16 m³ ghi C30; bản vẽ 29,10 m³ C25. | Mác C25 chưa có cấp phối riêng — đang dùng cấp phối C30 (0,425 t XM; 0,555 m³ cát; 0,700 m³ đá / m³). Nhập cấp phối được duyệt.</t>
        </is>
      </c>
    </row>
    <row r="83" ht="20" customHeight="1">
      <c r="A83" s="6" t="n">
        <v>76</v>
      </c>
      <c r="B83" s="7" t="inlineStr">
        <is>
          <t>Bê tông bản quá độ mố M2 (C25 đá 1x2)</t>
        </is>
      </c>
      <c r="C83" s="8" t="n"/>
      <c r="D83" s="38" t="n">
        <v>38.28</v>
      </c>
      <c r="E83" s="8">
        <f>IF(C83="","",C83+7)</f>
        <v/>
      </c>
      <c r="F83" s="8">
        <f>IF(C83="","",C83+28)</f>
        <v/>
      </c>
      <c r="G83" s="6" t="inlineStr"/>
      <c r="H83" s="6" t="inlineStr"/>
      <c r="I83" s="6" t="inlineStr"/>
      <c r="J83" s="10" t="n">
        <v>0.425</v>
      </c>
      <c r="K83" s="10" t="n">
        <v>0.555</v>
      </c>
      <c r="L83" s="10" t="n">
        <v>0.7</v>
      </c>
      <c r="M83" s="9">
        <f>IF(D83="","",ROUND(M82+IF(G83&gt;0,D83*G83,D83*J83),2))</f>
        <v/>
      </c>
      <c r="N83" s="9">
        <f>IF(D83="","",ROUND(N82+IF(H83&gt;0,D83*H83,D83*K83),2))</f>
        <v/>
      </c>
      <c r="O83" s="9">
        <f>IF(D83="","",ROUND(O82+IF(I83&gt;0,D83*I83,D83*L83),2))</f>
        <v/>
      </c>
      <c r="P83" s="11">
        <f>IF(M83="","",IF(ROUNDUP(M83/50,0)&gt;ROUNDUP(M82/50,0),"Lần " &amp; ROUNDUP(M83/50,0),""))</f>
        <v/>
      </c>
      <c r="Q83" s="12">
        <f>IF(N83="","",IF(ROUNDUP(N83/200,0)&gt;ROUNDUP(N82/200,0),"Lần " &amp; ROUNDUP(N83/200,0),""))</f>
        <v/>
      </c>
      <c r="R83" s="11">
        <f>IF(O83="","",IF(ROUNDUP(O83/350,0)&gt;ROUNDUP(O82/350,0),"Lần " &amp; ROUNDUP(O83/350,0),""))</f>
        <v/>
      </c>
      <c r="S83" s="6" t="inlineStr"/>
      <c r="T83" s="9" t="inlineStr"/>
      <c r="U83" s="39" t="inlineStr">
        <is>
          <t>Bản vẽ: 16,00 → 38,28 m³ (tr.128 bản quá độ A2). File cũ 16 m³ ghi C30; bản vẽ 38,28 m³ C25. | Mác C25 chưa có cấp phối riêng — đang dùng cấp phối C30 (0,425 t XM; 0,555 m³ cát; 0,700 m³ đá / m³). Nhập cấp phối được duyệt.</t>
        </is>
      </c>
    </row>
    <row r="84" ht="20" customHeight="1">
      <c r="A84" s="6" t="n">
        <v>77</v>
      </c>
      <c r="B84" s="7" t="inlineStr">
        <is>
          <t>Bê tông gờ lan can mố M1 &amp; Nhịp 1 (C25 đá 1x2)</t>
        </is>
      </c>
      <c r="C84" s="8" t="n"/>
      <c r="D84" s="38" t="n">
        <v>52.14</v>
      </c>
      <c r="E84" s="8">
        <f>IF(C84="","",C84+7)</f>
        <v/>
      </c>
      <c r="F84" s="8">
        <f>IF(C84="","",C84+28)</f>
        <v/>
      </c>
      <c r="G84" s="6" t="inlineStr"/>
      <c r="H84" s="6" t="inlineStr"/>
      <c r="I84" s="6" t="inlineStr"/>
      <c r="J84" s="10" t="n">
        <v>0.425</v>
      </c>
      <c r="K84" s="10" t="n">
        <v>0.555</v>
      </c>
      <c r="L84" s="10" t="n">
        <v>0.7</v>
      </c>
      <c r="M84" s="9">
        <f>IF(D84="","",ROUND(M83+IF(G84&gt;0,D84*G84,D84*J84),2))</f>
        <v/>
      </c>
      <c r="N84" s="9">
        <f>IF(D84="","",ROUND(N83+IF(H84&gt;0,D84*H84,D84*K84),2))</f>
        <v/>
      </c>
      <c r="O84" s="9">
        <f>IF(D84="","",ROUND(O83+IF(I84&gt;0,D84*I84,D84*L84),2))</f>
        <v/>
      </c>
      <c r="P84" s="11">
        <f>IF(M84="","",IF(ROUNDUP(M84/50,0)&gt;ROUNDUP(M83/50,0),"Lần " &amp; ROUNDUP(M84/50,0),""))</f>
        <v/>
      </c>
      <c r="Q84" s="12">
        <f>IF(N84="","",IF(ROUNDUP(N84/200,0)&gt;ROUNDUP(N83/200,0),"Lần " &amp; ROUNDUP(N84/200,0),""))</f>
        <v/>
      </c>
      <c r="R84" s="11">
        <f>IF(O84="","",IF(ROUNDUP(O84/350,0)&gt;ROUNDUP(O83/350,0),"Lần " &amp; ROUNDUP(O84/350,0),""))</f>
        <v/>
      </c>
      <c r="S84" s="6" t="inlineStr"/>
      <c r="T84" s="9" t="inlineStr"/>
      <c r="U84" s="39" t="inlineStr">
        <is>
          <t>Bản vẽ: 9,50 → 52,14 m³ (tr.175/tr.119 gờ lan can C25, chia theo tỷ lệ 2 đợt cũ). File cũ 2 × 9,5 m³ C30; bản vẽ 104,28 m³ C25 (19 đốt) — nên tách theo đợt đổ thực tế. | Mác C25 chưa có cấp phối riêng — đang dùng cấp phối C30 (0,425 t XM; 0,555 m³ cát; 0,700 m³ đá / m³). Nhập cấp phối được duyệt.</t>
        </is>
      </c>
    </row>
    <row r="85" ht="20" customHeight="1">
      <c r="A85" s="6" t="n">
        <v>78</v>
      </c>
      <c r="B85" s="7" t="inlineStr">
        <is>
          <t>Bê tông gờ lan can Nhịp 2, Nhịp 3 &amp; mố M2 (C25)</t>
        </is>
      </c>
      <c r="C85" s="8" t="n"/>
      <c r="D85" s="38" t="n">
        <v>52.14</v>
      </c>
      <c r="E85" s="8">
        <f>IF(C85="","",C85+7)</f>
        <v/>
      </c>
      <c r="F85" s="8">
        <f>IF(C85="","",C85+28)</f>
        <v/>
      </c>
      <c r="G85" s="6" t="inlineStr"/>
      <c r="H85" s="6" t="inlineStr"/>
      <c r="I85" s="6" t="inlineStr"/>
      <c r="J85" s="10" t="n">
        <v>0.425</v>
      </c>
      <c r="K85" s="10" t="n">
        <v>0.555</v>
      </c>
      <c r="L85" s="10" t="n">
        <v>0.7</v>
      </c>
      <c r="M85" s="9">
        <f>IF(D85="","",ROUND(M84+IF(G85&gt;0,D85*G85,D85*J85),2))</f>
        <v/>
      </c>
      <c r="N85" s="9">
        <f>IF(D85="","",ROUND(N84+IF(H85&gt;0,D85*H85,D85*K85),2))</f>
        <v/>
      </c>
      <c r="O85" s="9">
        <f>IF(D85="","",ROUND(O84+IF(I85&gt;0,D85*I85,D85*L85),2))</f>
        <v/>
      </c>
      <c r="P85" s="11">
        <f>IF(M85="","",IF(ROUNDUP(M85/50,0)&gt;ROUNDUP(M84/50,0),"Lần " &amp; ROUNDUP(M85/50,0),""))</f>
        <v/>
      </c>
      <c r="Q85" s="12">
        <f>IF(N85="","",IF(ROUNDUP(N85/200,0)&gt;ROUNDUP(N84/200,0),"Lần " &amp; ROUNDUP(N85/200,0),""))</f>
        <v/>
      </c>
      <c r="R85" s="11">
        <f>IF(O85="","",IF(ROUNDUP(O85/350,0)&gt;ROUNDUP(O84/350,0),"Lần " &amp; ROUNDUP(O85/350,0),""))</f>
        <v/>
      </c>
      <c r="S85" s="6" t="inlineStr"/>
      <c r="T85" s="9" t="inlineStr"/>
      <c r="U85" s="39" t="inlineStr">
        <is>
          <t>Bản vẽ: 9,50 → 52,14 m³ (tr.175/tr.119 gờ lan can C25, chia theo tỷ lệ 2 đợt cũ). File cũ 2 × 9,5 m³ C30; bản vẽ 104,28 m³ C25 (19 đốt) — nên tách theo đợt đổ thực tế. | Mác C25 chưa có cấp phối riêng — đang dùng cấp phối C30 (0,425 t XM; 0,555 m³ cát; 0,700 m³ đá / m³). Nhập cấp phối được duyệt.</t>
        </is>
      </c>
    </row>
    <row r="86" ht="20" customHeight="1">
      <c r="A86" s="6" t="n">
        <v>79</v>
      </c>
      <c r="B86" s="7" t="inlineStr">
        <is>
          <t>Bê tông khe co giãn răng lược D=100mm mố M1 &amp; M2 (C40)</t>
        </is>
      </c>
      <c r="C86" s="8" t="n"/>
      <c r="D86" s="38" t="n">
        <v>4.67</v>
      </c>
      <c r="E86" s="8">
        <f>IF(C86="","",C86+7)</f>
        <v/>
      </c>
      <c r="F86" s="8">
        <f>IF(C86="","",C86+28)</f>
        <v/>
      </c>
      <c r="G86" s="6" t="inlineStr"/>
      <c r="H86" s="6" t="inlineStr"/>
      <c r="I86" s="6" t="inlineStr"/>
      <c r="J86" s="10" t="n">
        <v>0.425</v>
      </c>
      <c r="K86" s="10" t="n">
        <v>0.555</v>
      </c>
      <c r="L86" s="10" t="n">
        <v>0.7</v>
      </c>
      <c r="M86" s="9">
        <f>IF(D86="","",ROUND(M85+IF(G86&gt;0,D86*G86,D86*J86),2))</f>
        <v/>
      </c>
      <c r="N86" s="9">
        <f>IF(D86="","",ROUND(N85+IF(H86&gt;0,D86*H86,D86*K86),2))</f>
        <v/>
      </c>
      <c r="O86" s="9">
        <f>IF(D86="","",ROUND(O85+IF(I86&gt;0,D86*I86,D86*L86),2))</f>
        <v/>
      </c>
      <c r="P86" s="11">
        <f>IF(M86="","",IF(ROUNDUP(M86/50,0)&gt;ROUNDUP(M85/50,0),"Lần " &amp; ROUNDUP(M86/50,0),""))</f>
        <v/>
      </c>
      <c r="Q86" s="12">
        <f>IF(N86="","",IF(ROUNDUP(N86/200,0)&gt;ROUNDUP(N85/200,0),"Lần " &amp; ROUNDUP(N86/200,0),""))</f>
        <v/>
      </c>
      <c r="R86" s="11">
        <f>IF(O86="","",IF(ROUNDUP(O86/350,0)&gt;ROUNDUP(O85/350,0),"Lần " &amp; ROUNDUP(O86/350,0),""))</f>
        <v/>
      </c>
      <c r="S86" s="6" t="inlineStr"/>
      <c r="T86" s="9" t="inlineStr"/>
      <c r="U86" s="39" t="inlineStr">
        <is>
          <t>Khớp bản vẽ (tr.175 khe co giãn) | Mác C40 chưa có cấp phối riêng — đang dùng cấp phối C30 (0,425 t XM; 0,555 m³ cát; 0,700 m³ đá / m³). Nhập cấp phối được duyệt.</t>
        </is>
      </c>
    </row>
    <row r="87" ht="24" customHeight="1">
      <c r="A87" s="13" t="inlineStr">
        <is>
          <t>TỔNG CỘNG TOÀN CẦU</t>
        </is>
      </c>
      <c r="B87" s="35" t="n"/>
      <c r="C87" s="34" t="n"/>
      <c r="D87" s="15">
        <f>SUM(D4:D86)</f>
        <v/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5">
        <f>M86</f>
        <v/>
      </c>
      <c r="N87" s="15">
        <f>N86</f>
        <v/>
      </c>
      <c r="O87" s="15">
        <f>O86</f>
        <v/>
      </c>
      <c r="P87" s="14" t="n"/>
      <c r="Q87" s="14" t="n"/>
      <c r="R87" s="14" t="n"/>
      <c r="S87" s="14" t="n"/>
      <c r="T87" s="14" t="n"/>
    </row>
  </sheetData>
  <mergeCells count="17">
    <mergeCell ref="T1:T2"/>
    <mergeCell ref="J1:L1"/>
    <mergeCell ref="P1:R1"/>
    <mergeCell ref="A58:T58"/>
    <mergeCell ref="A74:T74"/>
    <mergeCell ref="E1:F1"/>
    <mergeCell ref="A3:T3"/>
    <mergeCell ref="A30:T30"/>
    <mergeCell ref="M1:O1"/>
    <mergeCell ref="C1:C2"/>
    <mergeCell ref="B1:B2"/>
    <mergeCell ref="D1:D2"/>
    <mergeCell ref="A87:C87"/>
    <mergeCell ref="A41:T41"/>
    <mergeCell ref="G1:I1"/>
    <mergeCell ref="S1:S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24"/>
  <sheetViews>
    <sheetView showGridLine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2" customWidth="1" min="4" max="4"/>
    <col width="11" customWidth="1" min="5" max="5"/>
    <col width="13" customWidth="1" min="6" max="6"/>
    <col width="22" customWidth="1" min="7" max="7"/>
    <col width="13" customWidth="1" min="8" max="8"/>
    <col width="10" customWidth="1" min="9" max="9"/>
    <col width="12" customWidth="1" min="10" max="10"/>
    <col width="13" customWidth="1" min="11" max="11"/>
    <col width="13" customWidth="1" min="12" max="12"/>
    <col width="13" customWidth="1" min="13" max="13"/>
    <col width="20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8" customWidth="1" min="38" max="38"/>
  </cols>
  <sheetData>
    <row r="1" ht="24" customHeight="1">
      <c r="A1" s="1" t="inlineStr">
        <is>
          <t>STT</t>
        </is>
      </c>
      <c r="B1" s="1" t="inlineStr">
        <is>
          <t>HẠNG MỤC CẤU KIỆN</t>
        </is>
      </c>
      <c r="C1" s="1" t="inlineStr">
        <is>
          <t>BỘ PHẬN / VỊ TRÍ CHI TIẾT</t>
        </is>
      </c>
      <c r="D1" s="1" t="inlineStr">
        <is>
          <t>KÝ HIỆU
THANH</t>
        </is>
      </c>
      <c r="E1" s="1" t="inlineStr">
        <is>
          <t>ĐƯỜNG KÍNH
Ø (mm)</t>
        </is>
      </c>
      <c r="F1" s="1" t="inlineStr">
        <is>
          <t>MÁC THÉP /
TIÊU CHUẨN</t>
        </is>
      </c>
      <c r="G1" s="1" t="inlineStr">
        <is>
          <t>HÌNH DẠNG /
QUY CÁCH</t>
        </is>
      </c>
      <c r="H1" s="1" t="inlineStr">
        <is>
          <t>CHIỀU DÀI
1 THANH (m)</t>
        </is>
      </c>
      <c r="I1" s="1" t="inlineStr">
        <is>
          <t>SỐ LƯỢNG
(Thanh)</t>
        </is>
      </c>
      <c r="J1" s="1" t="inlineStr">
        <is>
          <t>TRỌNG LƯỢNG
1M (kg/m)</t>
        </is>
      </c>
      <c r="K1" s="1" t="inlineStr">
        <is>
          <t>TỔNG KL
(kg)</t>
        </is>
      </c>
      <c r="L1" s="1" t="inlineStr">
        <is>
          <t>KHỐI LƯỢNG
(Tấn)</t>
        </is>
      </c>
      <c r="M1" s="1" t="inlineStr">
        <is>
          <t>N/T/N
LẮP DỰNG</t>
        </is>
      </c>
      <c r="N1" s="1" t="inlineStr">
        <is>
          <t>SỐ LÔ / HEAT NO
CO-CQ RIÊNG TỪNG Ø</t>
        </is>
      </c>
      <c r="O1" s="2" t="inlineStr">
        <is>
          <t>CẢNH BÁO LẤY MẪU TN
KÉO/UỐN (20T/LẦN)</t>
        </is>
      </c>
      <c r="P1" s="3" t="inlineStr">
        <is>
          <t>KHỐI LƯỢNG LŨY KẾ THEO TỪNG LOẠI ĐƯỜNG KÍNH Ø (TẤN)</t>
        </is>
      </c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4" t="n"/>
      <c r="AA1" s="2" t="inlineStr">
        <is>
          <t>TẦN SUẤT THÍ NGHIỆM CƠ LÝ KÉO / UỐN RIÊNG TỪNG Ø (20 TẤN / LẦN - TCVN 1651:2018)</t>
        </is>
      </c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4" t="n"/>
      <c r="AL1" s="1" t="inlineStr">
        <is>
          <t>ĐÁNH GIÁ &amp;
KẾT LUẬN</t>
        </is>
      </c>
      <c r="AN1" t="inlineStr">
        <is>
          <t>LOẠI HẠNG MỤC (OFFSET)</t>
        </is>
      </c>
      <c r="AO1" t="inlineStr">
        <is>
          <t>DÒNG BÊ TÔNG ĐỐI CHIẾU</t>
        </is>
      </c>
      <c r="AQ1" t="inlineStr">
        <is>
          <t>LOẠI HẠNG MỤC</t>
        </is>
      </c>
      <c r="AR1" t="inlineStr">
        <is>
          <t>LÙI (ngày)</t>
        </is>
      </c>
    </row>
    <row r="2" ht="30" customHeigh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" t="inlineStr">
        <is>
          <t>Ø10 (kèm Ø6, Ø8)
(CB240-T)</t>
        </is>
      </c>
      <c r="Q2" s="3" t="inlineStr">
        <is>
          <t>Ø12
(CB400-V)</t>
        </is>
      </c>
      <c r="R2" s="3" t="inlineStr">
        <is>
          <t>Ø14
(CB400-V)</t>
        </is>
      </c>
      <c r="S2" s="3" t="inlineStr">
        <is>
          <t>Ø16
(CB400-V)</t>
        </is>
      </c>
      <c r="T2" s="3" t="inlineStr">
        <is>
          <t>Ø18
(CB400-V)</t>
        </is>
      </c>
      <c r="U2" s="3" t="inlineStr">
        <is>
          <t>Ø20
(CB400-V)</t>
        </is>
      </c>
      <c r="V2" s="3" t="inlineStr">
        <is>
          <t>Ø22
(CB400-V)</t>
        </is>
      </c>
      <c r="W2" s="3" t="inlineStr">
        <is>
          <t>Ø25
(CB400-V)</t>
        </is>
      </c>
      <c r="X2" s="3" t="inlineStr">
        <is>
          <t>Ø28
(CB400-V)</t>
        </is>
      </c>
      <c r="Y2" s="3" t="inlineStr">
        <is>
          <t>Ø32
(CB400-V)</t>
        </is>
      </c>
      <c r="Z2" s="3" t="inlineStr">
        <is>
          <t>Cáp DƯL 15.2
(ASTM A416)</t>
        </is>
      </c>
      <c r="AA2" s="2" t="inlineStr">
        <is>
          <t>TN Ø10
20T / Lần</t>
        </is>
      </c>
      <c r="AB2" s="2" t="inlineStr">
        <is>
          <t>TN Ø12
20T / Lần</t>
        </is>
      </c>
      <c r="AC2" s="2" t="inlineStr">
        <is>
          <t>TN Ø14
20T / Lần</t>
        </is>
      </c>
      <c r="AD2" s="2" t="inlineStr">
        <is>
          <t>TN Ø16
20T / Lần</t>
        </is>
      </c>
      <c r="AE2" s="2" t="inlineStr">
        <is>
          <t>TN Ø18
20T / Lần</t>
        </is>
      </c>
      <c r="AF2" s="2" t="inlineStr">
        <is>
          <t>TN Ø20
20T / Lần</t>
        </is>
      </c>
      <c r="AG2" s="2" t="inlineStr">
        <is>
          <t>TN Ø22
20T / Lần</t>
        </is>
      </c>
      <c r="AH2" s="2" t="inlineStr">
        <is>
          <t>TN Ø25
20T / Lần</t>
        </is>
      </c>
      <c r="AI2" s="2" t="inlineStr">
        <is>
          <t>TN Ø28
20T / Lần</t>
        </is>
      </c>
      <c r="AJ2" s="2" t="inlineStr">
        <is>
          <t>TN Ø32
20T / Lần</t>
        </is>
      </c>
      <c r="AK2" s="2" t="inlineStr">
        <is>
          <t>TN Cáp 15.2
20T / Lần</t>
        </is>
      </c>
      <c r="AL2" s="37" t="n"/>
      <c r="AQ2" t="inlineStr">
        <is>
          <t>Coc</t>
        </is>
      </c>
      <c r="AR2" t="n">
        <v>1</v>
      </c>
    </row>
    <row r="3" ht="23" customHeight="1">
      <c r="A3" s="17" t="inlineStr">
        <is>
          <t>--- MỐ M1 ---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  <c r="AH3" s="35" t="n"/>
      <c r="AI3" s="35" t="n"/>
      <c r="AJ3" s="35" t="n"/>
      <c r="AK3" s="35" t="n"/>
      <c r="AL3" s="34" t="n"/>
      <c r="AQ3" t="inlineStr">
        <is>
          <t>Be</t>
        </is>
      </c>
      <c r="AR3" t="n">
        <v>3</v>
      </c>
    </row>
    <row r="4" ht="20" customHeight="1">
      <c r="A4" s="6" t="n">
        <v>1</v>
      </c>
      <c r="B4" s="7" t="inlineStr">
        <is>
          <t>Mố M1</t>
        </is>
      </c>
      <c r="C4" s="7" t="inlineStr">
        <is>
          <t>Mố M1 (tr.31)</t>
        </is>
      </c>
      <c r="D4" s="18" t="inlineStr">
        <is>
          <t>M1</t>
        </is>
      </c>
      <c r="E4" s="19" t="n">
        <v>28</v>
      </c>
      <c r="F4" s="6" t="inlineStr">
        <is>
          <t>CB400-V</t>
        </is>
      </c>
      <c r="G4" s="7" t="inlineStr"/>
      <c r="H4" s="20" t="n">
        <v>14.213</v>
      </c>
      <c r="I4" s="21" t="n">
        <v>13</v>
      </c>
      <c r="J4" s="22" t="n">
        <v>4.834</v>
      </c>
      <c r="K4" s="9">
        <f>ROUND(H4*I4*J4, 2)</f>
        <v/>
      </c>
      <c r="L4" s="23">
        <f>ROUND(K4/1000, 3)</f>
        <v/>
      </c>
      <c r="M4" s="8">
        <f>IF(AO4="","",IF(INDEX(Theo_Doi_Tan_Suat_Be_Tong!$C:$C,AO4)="","",INDEX(Theo_Doi_Tan_Suat_Be_Tong!$C:$C,AO4)-VLOOKUP(AN4,$AQ$2:$AR$7,2,FALSE)))</f>
        <v/>
      </c>
      <c r="N4" s="6" t="n"/>
      <c r="O4" s="24">
        <f>IF(ROUNDUP(X4/20,0)&gt;0,"TN Ø28 (Lần " &amp; ROUNDUP(X4/20,0) &amp; ")","")</f>
        <v/>
      </c>
      <c r="P4" s="20">
        <f>ROUND(IF(AND(E4&lt;=10,F4&lt;&gt;"ASTM A416"),L4,0),3)</f>
        <v/>
      </c>
      <c r="Q4" s="20">
        <f>ROUND(IF(AND(E4=12,F4&lt;&gt;"ASTM A416"),L4,0),3)</f>
        <v/>
      </c>
      <c r="R4" s="20">
        <f>ROUND(IF(AND(E4=14,F4&lt;&gt;"ASTM A416"),L4,0),3)</f>
        <v/>
      </c>
      <c r="S4" s="20">
        <f>ROUND(IF(AND(E4=16,F4&lt;&gt;"ASTM A416"),L4,0),3)</f>
        <v/>
      </c>
      <c r="T4" s="20">
        <f>ROUND(IF(AND(E4=18,F4&lt;&gt;"ASTM A416"),L4,0),3)</f>
        <v/>
      </c>
      <c r="U4" s="20">
        <f>ROUND(IF(AND(E4=20,F4&lt;&gt;"ASTM A416"),L4,0),3)</f>
        <v/>
      </c>
      <c r="V4" s="20">
        <f>ROUND(IF(AND(E4=22,F4&lt;&gt;"ASTM A416"),L4,0),3)</f>
        <v/>
      </c>
      <c r="W4" s="20">
        <f>ROUND(IF(AND(E4=25,F4&lt;&gt;"ASTM A416"),L4,0),3)</f>
        <v/>
      </c>
      <c r="X4" s="20">
        <f>ROUND(IF(AND(E4=28,F4&lt;&gt;"ASTM A416"),L4,0),3)</f>
        <v/>
      </c>
      <c r="Y4" s="20">
        <f>ROUND(IF(AND(E4=32,F4&lt;&gt;"ASTM A416"),L4,0),3)</f>
        <v/>
      </c>
      <c r="Z4" s="20">
        <f>ROUND(IF(F4="ASTM A416",L4,0),3)</f>
        <v/>
      </c>
      <c r="AA4" s="11">
        <f>IF(ROUNDUP(P4/20,0)&gt;0,"Lần " &amp; ROUNDUP(P4/20,0),"")</f>
        <v/>
      </c>
      <c r="AB4" s="11">
        <f>IF(ROUNDUP(Q4/20,0)&gt;0,"Lần " &amp; ROUNDUP(Q4/20,0),"")</f>
        <v/>
      </c>
      <c r="AC4" s="11">
        <f>IF(ROUNDUP(R4/20,0)&gt;0,"Lần " &amp; ROUNDUP(R4/20,0),"")</f>
        <v/>
      </c>
      <c r="AD4" s="11">
        <f>IF(ROUNDUP(S4/20,0)&gt;0,"Lần " &amp; ROUNDUP(S4/20,0),"")</f>
        <v/>
      </c>
      <c r="AE4" s="11">
        <f>IF(ROUNDUP(T4/20,0)&gt;0,"Lần " &amp; ROUNDUP(T4/20,0),"")</f>
        <v/>
      </c>
      <c r="AF4" s="11">
        <f>IF(ROUNDUP(U4/20,0)&gt;0,"Lần " &amp; ROUNDUP(U4/20,0),"")</f>
        <v/>
      </c>
      <c r="AG4" s="11">
        <f>IF(ROUNDUP(V4/20,0)&gt;0,"Lần " &amp; ROUNDUP(V4/20,0),"")</f>
        <v/>
      </c>
      <c r="AH4" s="11">
        <f>IF(ROUNDUP(W4/20,0)&gt;0,"Lần " &amp; ROUNDUP(W4/20,0),"")</f>
        <v/>
      </c>
      <c r="AI4" s="11">
        <f>IF(ROUNDUP(X4/20,0)&gt;0,"Lần " &amp; ROUNDUP(X4/20,0),"")</f>
        <v/>
      </c>
      <c r="AJ4" s="11">
        <f>IF(ROUNDUP(Y4/20,0)&gt;0,"Lần " &amp; ROUNDUP(Y4/20,0),"")</f>
        <v/>
      </c>
      <c r="AK4" s="11">
        <f>IF(ROUNDUP(Z4/20,0)&gt;0,"Lần " &amp; ROUNDUP(Z4/20,0),"")</f>
        <v/>
      </c>
      <c r="AL4" s="6" t="n"/>
      <c r="AN4" t="inlineStr">
        <is>
          <t>Than</t>
        </is>
      </c>
      <c r="AO4" t="n">
        <v>50</v>
      </c>
      <c r="AQ4" t="inlineStr">
        <is>
          <t>Than</t>
        </is>
      </c>
      <c r="AR4" t="n">
        <v>2</v>
      </c>
    </row>
    <row r="5" ht="19" customHeight="1">
      <c r="A5" s="6" t="n">
        <v>2</v>
      </c>
      <c r="B5" s="7" t="inlineStr">
        <is>
          <t>Mố M1</t>
        </is>
      </c>
      <c r="C5" s="7" t="inlineStr">
        <is>
          <t>Mố M1 (tr.31)</t>
        </is>
      </c>
      <c r="D5" s="18" t="inlineStr">
        <is>
          <t>A1</t>
        </is>
      </c>
      <c r="E5" s="19" t="n">
        <v>16</v>
      </c>
      <c r="F5" s="6" t="inlineStr">
        <is>
          <t>CB400-V</t>
        </is>
      </c>
      <c r="G5" s="7" t="inlineStr"/>
      <c r="H5" s="20" t="n">
        <v>7.857</v>
      </c>
      <c r="I5" s="21" t="n">
        <v>166</v>
      </c>
      <c r="J5" s="22" t="n">
        <v>1.578</v>
      </c>
      <c r="K5" s="9">
        <f>ROUND(H5*I5*J5, 2)</f>
        <v/>
      </c>
      <c r="L5" s="23">
        <f>ROUND(K5/1000, 3)</f>
        <v/>
      </c>
      <c r="M5" s="8">
        <f>IF(AO5="","",IF(INDEX(Theo_Doi_Tan_Suat_Be_Tong!$C:$C,AO5)="","",INDEX(Theo_Doi_Tan_Suat_Be_Tong!$C:$C,AO5)-VLOOKUP(AN5,$AQ$2:$AR$7,2,FALSE)))</f>
        <v/>
      </c>
      <c r="N5" s="6" t="n"/>
      <c r="O5" s="24">
        <f>IF(ROUNDUP(S5/20,0)&gt;ROUNDUP(S4/20,0),"TN Ø16 (Lần " &amp; ROUNDUP(S5/20,0) &amp; ")","")</f>
        <v/>
      </c>
      <c r="P5" s="20">
        <f>ROUND(P4+IF(AND(E5&lt;=10,F5&lt;&gt;"ASTM A416"),L5,0),3)</f>
        <v/>
      </c>
      <c r="Q5" s="20">
        <f>ROUND(Q4+IF(AND(E5=12,F5&lt;&gt;"ASTM A416"),L5,0),3)</f>
        <v/>
      </c>
      <c r="R5" s="20">
        <f>ROUND(R4+IF(AND(E5=14,F5&lt;&gt;"ASTM A416"),L5,0),3)</f>
        <v/>
      </c>
      <c r="S5" s="20">
        <f>ROUND(S4+IF(AND(E5=16,F5&lt;&gt;"ASTM A416"),L5,0),3)</f>
        <v/>
      </c>
      <c r="T5" s="20">
        <f>ROUND(T4+IF(AND(E5=18,F5&lt;&gt;"ASTM A416"),L5,0),3)</f>
        <v/>
      </c>
      <c r="U5" s="20">
        <f>ROUND(U4+IF(AND(E5=20,F5&lt;&gt;"ASTM A416"),L5,0),3)</f>
        <v/>
      </c>
      <c r="V5" s="20">
        <f>ROUND(V4+IF(AND(E5=22,F5&lt;&gt;"ASTM A416"),L5,0),3)</f>
        <v/>
      </c>
      <c r="W5" s="20">
        <f>ROUND(W4+IF(AND(E5=25,F5&lt;&gt;"ASTM A416"),L5,0),3)</f>
        <v/>
      </c>
      <c r="X5" s="20">
        <f>ROUND(X4+IF(AND(E5=28,F5&lt;&gt;"ASTM A416"),L5,0),3)</f>
        <v/>
      </c>
      <c r="Y5" s="20">
        <f>ROUND(Y4+IF(AND(E5=32,F5&lt;&gt;"ASTM A416"),L5,0),3)</f>
        <v/>
      </c>
      <c r="Z5" s="20">
        <f>ROUND(Z4+IF(F5="ASTM A416",L5,0),3)</f>
        <v/>
      </c>
      <c r="AA5" s="11">
        <f>IF(ROUNDUP(P5/20,0)&gt;ROUNDUP(P4/20,0),"Lần " &amp; ROUNDUP(P5/20,0),"")</f>
        <v/>
      </c>
      <c r="AB5" s="11">
        <f>IF(ROUNDUP(Q5/20,0)&gt;ROUNDUP(Q4/20,0),"Lần " &amp; ROUNDUP(Q5/20,0),"")</f>
        <v/>
      </c>
      <c r="AC5" s="11">
        <f>IF(ROUNDUP(R5/20,0)&gt;ROUNDUP(R4/20,0),"Lần " &amp; ROUNDUP(R5/20,0),"")</f>
        <v/>
      </c>
      <c r="AD5" s="11">
        <f>IF(ROUNDUP(S5/20,0)&gt;ROUNDUP(S4/20,0),"Lần " &amp; ROUNDUP(S5/20,0),"")</f>
        <v/>
      </c>
      <c r="AE5" s="11">
        <f>IF(ROUNDUP(T5/20,0)&gt;ROUNDUP(T4/20,0),"Lần " &amp; ROUNDUP(T5/20,0),"")</f>
        <v/>
      </c>
      <c r="AF5" s="11">
        <f>IF(ROUNDUP(U5/20,0)&gt;ROUNDUP(U4/20,0),"Lần " &amp; ROUNDUP(U5/20,0),"")</f>
        <v/>
      </c>
      <c r="AG5" s="11">
        <f>IF(ROUNDUP(V5/20,0)&gt;ROUNDUP(V4/20,0),"Lần " &amp; ROUNDUP(V5/20,0),"")</f>
        <v/>
      </c>
      <c r="AH5" s="11">
        <f>IF(ROUNDUP(W5/20,0)&gt;ROUNDUP(W4/20,0),"Lần " &amp; ROUNDUP(W5/20,0),"")</f>
        <v/>
      </c>
      <c r="AI5" s="11">
        <f>IF(ROUNDUP(X5/20,0)&gt;ROUNDUP(X4/20,0),"Lần " &amp; ROUNDUP(X5/20,0),"")</f>
        <v/>
      </c>
      <c r="AJ5" s="11">
        <f>IF(ROUNDUP(Y5/20,0)&gt;ROUNDUP(Y4/20,0),"Lần " &amp; ROUNDUP(Y5/20,0),"")</f>
        <v/>
      </c>
      <c r="AK5" s="11">
        <f>IF(ROUNDUP(Z5/20,0)&gt;ROUNDUP(Z4/20,0),"Lần " &amp; ROUNDUP(Z5/20,0),"")</f>
        <v/>
      </c>
      <c r="AL5" s="6" t="n"/>
      <c r="AN5" t="inlineStr">
        <is>
          <t>Than</t>
        </is>
      </c>
      <c r="AO5" t="n">
        <v>50</v>
      </c>
      <c r="AQ5" t="inlineStr">
        <is>
          <t>Dam</t>
        </is>
      </c>
      <c r="AR5" t="n">
        <v>4</v>
      </c>
    </row>
    <row r="6" ht="19" customHeight="1">
      <c r="A6" s="6" t="n">
        <v>3</v>
      </c>
      <c r="B6" s="7" t="inlineStr">
        <is>
          <t>Mố M1</t>
        </is>
      </c>
      <c r="C6" s="7" t="inlineStr">
        <is>
          <t>Mố M1 (tr.31)</t>
        </is>
      </c>
      <c r="D6" s="18" t="inlineStr">
        <is>
          <t>A2</t>
        </is>
      </c>
      <c r="E6" s="19" t="n">
        <v>16</v>
      </c>
      <c r="F6" s="6" t="inlineStr">
        <is>
          <t>CB400-V</t>
        </is>
      </c>
      <c r="G6" s="7" t="inlineStr"/>
      <c r="H6" s="20" t="n">
        <v>13.437</v>
      </c>
      <c r="I6" s="21" t="n">
        <v>12</v>
      </c>
      <c r="J6" s="22" t="n">
        <v>1.578</v>
      </c>
      <c r="K6" s="9">
        <f>ROUND(H6*I6*J6, 2)</f>
        <v/>
      </c>
      <c r="L6" s="23">
        <f>ROUND(K6/1000, 3)</f>
        <v/>
      </c>
      <c r="M6" s="8">
        <f>IF(AO6="","",IF(INDEX(Theo_Doi_Tan_Suat_Be_Tong!$C:$C,AO6)="","",INDEX(Theo_Doi_Tan_Suat_Be_Tong!$C:$C,AO6)-VLOOKUP(AN6,$AQ$2:$AR$7,2,FALSE)))</f>
        <v/>
      </c>
      <c r="N6" s="6" t="n"/>
      <c r="O6" s="24">
        <f>IF(ROUNDUP(S6/20,0)&gt;ROUNDUP(S5/20,0),"TN Ø16 (Lần " &amp; ROUNDUP(S6/20,0) &amp; ")","")</f>
        <v/>
      </c>
      <c r="P6" s="20">
        <f>ROUND(P5+IF(AND(E6&lt;=10,F6&lt;&gt;"ASTM A416"),L6,0),3)</f>
        <v/>
      </c>
      <c r="Q6" s="20">
        <f>ROUND(Q5+IF(AND(E6=12,F6&lt;&gt;"ASTM A416"),L6,0),3)</f>
        <v/>
      </c>
      <c r="R6" s="20">
        <f>ROUND(R5+IF(AND(E6=14,F6&lt;&gt;"ASTM A416"),L6,0),3)</f>
        <v/>
      </c>
      <c r="S6" s="20">
        <f>ROUND(S5+IF(AND(E6=16,F6&lt;&gt;"ASTM A416"),L6,0),3)</f>
        <v/>
      </c>
      <c r="T6" s="20">
        <f>ROUND(T5+IF(AND(E6=18,F6&lt;&gt;"ASTM A416"),L6,0),3)</f>
        <v/>
      </c>
      <c r="U6" s="20">
        <f>ROUND(U5+IF(AND(E6=20,F6&lt;&gt;"ASTM A416"),L6,0),3)</f>
        <v/>
      </c>
      <c r="V6" s="20">
        <f>ROUND(V5+IF(AND(E6=22,F6&lt;&gt;"ASTM A416"),L6,0),3)</f>
        <v/>
      </c>
      <c r="W6" s="20">
        <f>ROUND(W5+IF(AND(E6=25,F6&lt;&gt;"ASTM A416"),L6,0),3)</f>
        <v/>
      </c>
      <c r="X6" s="20">
        <f>ROUND(X5+IF(AND(E6=28,F6&lt;&gt;"ASTM A416"),L6,0),3)</f>
        <v/>
      </c>
      <c r="Y6" s="20">
        <f>ROUND(Y5+IF(AND(E6=32,F6&lt;&gt;"ASTM A416"),L6,0),3)</f>
        <v/>
      </c>
      <c r="Z6" s="20">
        <f>ROUND(Z5+IF(F6="ASTM A416",L6,0),3)</f>
        <v/>
      </c>
      <c r="AA6" s="11">
        <f>IF(ROUNDUP(P6/20,0)&gt;ROUNDUP(P5/20,0),"Lần " &amp; ROUNDUP(P6/20,0),"")</f>
        <v/>
      </c>
      <c r="AB6" s="11">
        <f>IF(ROUNDUP(Q6/20,0)&gt;ROUNDUP(Q5/20,0),"Lần " &amp; ROUNDUP(Q6/20,0),"")</f>
        <v/>
      </c>
      <c r="AC6" s="11">
        <f>IF(ROUNDUP(R6/20,0)&gt;ROUNDUP(R5/20,0),"Lần " &amp; ROUNDUP(R6/20,0),"")</f>
        <v/>
      </c>
      <c r="AD6" s="11">
        <f>IF(ROUNDUP(S6/20,0)&gt;ROUNDUP(S5/20,0),"Lần " &amp; ROUNDUP(S6/20,0),"")</f>
        <v/>
      </c>
      <c r="AE6" s="11">
        <f>IF(ROUNDUP(T6/20,0)&gt;ROUNDUP(T5/20,0),"Lần " &amp; ROUNDUP(T6/20,0),"")</f>
        <v/>
      </c>
      <c r="AF6" s="11">
        <f>IF(ROUNDUP(U6/20,0)&gt;ROUNDUP(U5/20,0),"Lần " &amp; ROUNDUP(U6/20,0),"")</f>
        <v/>
      </c>
      <c r="AG6" s="11">
        <f>IF(ROUNDUP(V6/20,0)&gt;ROUNDUP(V5/20,0),"Lần " &amp; ROUNDUP(V6/20,0),"")</f>
        <v/>
      </c>
      <c r="AH6" s="11">
        <f>IF(ROUNDUP(W6/20,0)&gt;ROUNDUP(W5/20,0),"Lần " &amp; ROUNDUP(W6/20,0),"")</f>
        <v/>
      </c>
      <c r="AI6" s="11">
        <f>IF(ROUNDUP(X6/20,0)&gt;ROUNDUP(X5/20,0),"Lần " &amp; ROUNDUP(X6/20,0),"")</f>
        <v/>
      </c>
      <c r="AJ6" s="11">
        <f>IF(ROUNDUP(Y6/20,0)&gt;ROUNDUP(Y5/20,0),"Lần " &amp; ROUNDUP(Y6/20,0),"")</f>
        <v/>
      </c>
      <c r="AK6" s="11">
        <f>IF(ROUNDUP(Z6/20,0)&gt;ROUNDUP(Z5/20,0),"Lần " &amp; ROUNDUP(Z6/20,0),"")</f>
        <v/>
      </c>
      <c r="AL6" s="6" t="n"/>
      <c r="AN6" t="inlineStr">
        <is>
          <t>Than</t>
        </is>
      </c>
      <c r="AO6" t="n">
        <v>50</v>
      </c>
      <c r="AQ6" t="inlineStr">
        <is>
          <t>HoanThien</t>
        </is>
      </c>
      <c r="AR6" t="n">
        <v>2</v>
      </c>
    </row>
    <row r="7" ht="19" customHeight="1">
      <c r="A7" s="6" t="n">
        <v>4</v>
      </c>
      <c r="B7" s="7" t="inlineStr">
        <is>
          <t>Mố M1</t>
        </is>
      </c>
      <c r="C7" s="7" t="inlineStr">
        <is>
          <t>Mố M1 (tr.31)</t>
        </is>
      </c>
      <c r="D7" s="18" t="inlineStr">
        <is>
          <t>A2A</t>
        </is>
      </c>
      <c r="E7" s="19" t="n">
        <v>16</v>
      </c>
      <c r="F7" s="6" t="inlineStr">
        <is>
          <t>CB400-V</t>
        </is>
      </c>
      <c r="G7" s="7" t="inlineStr"/>
      <c r="H7" s="20" t="n">
        <v>5.371</v>
      </c>
      <c r="I7" s="21" t="n">
        <v>1</v>
      </c>
      <c r="J7" s="22" t="n">
        <v>1.578</v>
      </c>
      <c r="K7" s="9">
        <f>ROUND(H7*I7*J7, 2)</f>
        <v/>
      </c>
      <c r="L7" s="23">
        <f>ROUND(K7/1000, 3)</f>
        <v/>
      </c>
      <c r="M7" s="8">
        <f>IF(AO7="","",IF(INDEX(Theo_Doi_Tan_Suat_Be_Tong!$C:$C,AO7)="","",INDEX(Theo_Doi_Tan_Suat_Be_Tong!$C:$C,AO7)-VLOOKUP(AN7,$AQ$2:$AR$7,2,FALSE)))</f>
        <v/>
      </c>
      <c r="N7" s="6" t="n"/>
      <c r="O7" s="24">
        <f>IF(ROUNDUP(S7/20,0)&gt;ROUNDUP(S6/20,0),"TN Ø16 (Lần " &amp; ROUNDUP(S7/20,0) &amp; ")","")</f>
        <v/>
      </c>
      <c r="P7" s="20">
        <f>ROUND(P6+IF(AND(E7&lt;=10,F7&lt;&gt;"ASTM A416"),L7,0),3)</f>
        <v/>
      </c>
      <c r="Q7" s="20">
        <f>ROUND(Q6+IF(AND(E7=12,F7&lt;&gt;"ASTM A416"),L7,0),3)</f>
        <v/>
      </c>
      <c r="R7" s="20">
        <f>ROUND(R6+IF(AND(E7=14,F7&lt;&gt;"ASTM A416"),L7,0),3)</f>
        <v/>
      </c>
      <c r="S7" s="20">
        <f>ROUND(S6+IF(AND(E7=16,F7&lt;&gt;"ASTM A416"),L7,0),3)</f>
        <v/>
      </c>
      <c r="T7" s="20">
        <f>ROUND(T6+IF(AND(E7=18,F7&lt;&gt;"ASTM A416"),L7,0),3)</f>
        <v/>
      </c>
      <c r="U7" s="20">
        <f>ROUND(U6+IF(AND(E7=20,F7&lt;&gt;"ASTM A416"),L7,0),3)</f>
        <v/>
      </c>
      <c r="V7" s="20">
        <f>ROUND(V6+IF(AND(E7=22,F7&lt;&gt;"ASTM A416"),L7,0),3)</f>
        <v/>
      </c>
      <c r="W7" s="20">
        <f>ROUND(W6+IF(AND(E7=25,F7&lt;&gt;"ASTM A416"),L7,0),3)</f>
        <v/>
      </c>
      <c r="X7" s="20">
        <f>ROUND(X6+IF(AND(E7=28,F7&lt;&gt;"ASTM A416"),L7,0),3)</f>
        <v/>
      </c>
      <c r="Y7" s="20">
        <f>ROUND(Y6+IF(AND(E7=32,F7&lt;&gt;"ASTM A416"),L7,0),3)</f>
        <v/>
      </c>
      <c r="Z7" s="20">
        <f>ROUND(Z6+IF(F7="ASTM A416",L7,0),3)</f>
        <v/>
      </c>
      <c r="AA7" s="11">
        <f>IF(ROUNDUP(P7/20,0)&gt;ROUNDUP(P6/20,0),"Lần " &amp; ROUNDUP(P7/20,0),"")</f>
        <v/>
      </c>
      <c r="AB7" s="11">
        <f>IF(ROUNDUP(Q7/20,0)&gt;ROUNDUP(Q6/20,0),"Lần " &amp; ROUNDUP(Q7/20,0),"")</f>
        <v/>
      </c>
      <c r="AC7" s="11">
        <f>IF(ROUNDUP(R7/20,0)&gt;ROUNDUP(R6/20,0),"Lần " &amp; ROUNDUP(R7/20,0),"")</f>
        <v/>
      </c>
      <c r="AD7" s="11">
        <f>IF(ROUNDUP(S7/20,0)&gt;ROUNDUP(S6/20,0),"Lần " &amp; ROUNDUP(S7/20,0),"")</f>
        <v/>
      </c>
      <c r="AE7" s="11">
        <f>IF(ROUNDUP(T7/20,0)&gt;ROUNDUP(T6/20,0),"Lần " &amp; ROUNDUP(T7/20,0),"")</f>
        <v/>
      </c>
      <c r="AF7" s="11">
        <f>IF(ROUNDUP(U7/20,0)&gt;ROUNDUP(U6/20,0),"Lần " &amp; ROUNDUP(U7/20,0),"")</f>
        <v/>
      </c>
      <c r="AG7" s="11">
        <f>IF(ROUNDUP(V7/20,0)&gt;ROUNDUP(V6/20,0),"Lần " &amp; ROUNDUP(V7/20,0),"")</f>
        <v/>
      </c>
      <c r="AH7" s="11">
        <f>IF(ROUNDUP(W7/20,0)&gt;ROUNDUP(W6/20,0),"Lần " &amp; ROUNDUP(W7/20,0),"")</f>
        <v/>
      </c>
      <c r="AI7" s="11">
        <f>IF(ROUNDUP(X7/20,0)&gt;ROUNDUP(X6/20,0),"Lần " &amp; ROUNDUP(X7/20,0),"")</f>
        <v/>
      </c>
      <c r="AJ7" s="11">
        <f>IF(ROUNDUP(Y7/20,0)&gt;ROUNDUP(Y6/20,0),"Lần " &amp; ROUNDUP(Y7/20,0),"")</f>
        <v/>
      </c>
      <c r="AK7" s="11">
        <f>IF(ROUNDUP(Z7/20,0)&gt;ROUNDUP(Z6/20,0),"Lần " &amp; ROUNDUP(Z7/20,0),"")</f>
        <v/>
      </c>
      <c r="AL7" s="6" t="n"/>
      <c r="AN7" t="inlineStr">
        <is>
          <t>Than</t>
        </is>
      </c>
      <c r="AO7" t="n">
        <v>50</v>
      </c>
    </row>
    <row r="8" ht="19" customHeight="1">
      <c r="A8" s="6" t="n">
        <v>5</v>
      </c>
      <c r="B8" s="7" t="inlineStr">
        <is>
          <t>Mố M1</t>
        </is>
      </c>
      <c r="C8" s="7" t="inlineStr">
        <is>
          <t>Mố M1 (tr.31)</t>
        </is>
      </c>
      <c r="D8" s="18" t="inlineStr">
        <is>
          <t>A3</t>
        </is>
      </c>
      <c r="E8" s="19" t="n">
        <v>16</v>
      </c>
      <c r="F8" s="6" t="inlineStr">
        <is>
          <t>CB400-V</t>
        </is>
      </c>
      <c r="G8" s="7" t="inlineStr"/>
      <c r="H8" s="20" t="n">
        <v>13.437</v>
      </c>
      <c r="I8" s="21" t="n">
        <v>12</v>
      </c>
      <c r="J8" s="22" t="n">
        <v>1.578</v>
      </c>
      <c r="K8" s="9">
        <f>ROUND(H8*I8*J8, 2)</f>
        <v/>
      </c>
      <c r="L8" s="23">
        <f>ROUND(K8/1000, 3)</f>
        <v/>
      </c>
      <c r="M8" s="8">
        <f>IF(AO8="","",IF(INDEX(Theo_Doi_Tan_Suat_Be_Tong!$C:$C,AO8)="","",INDEX(Theo_Doi_Tan_Suat_Be_Tong!$C:$C,AO8)-VLOOKUP(AN8,$AQ$2:$AR$7,2,FALSE)))</f>
        <v/>
      </c>
      <c r="N8" s="6" t="n"/>
      <c r="O8" s="24">
        <f>IF(ROUNDUP(S8/20,0)&gt;ROUNDUP(S7/20,0),"TN Ø16 (Lần " &amp; ROUNDUP(S8/20,0) &amp; ")","")</f>
        <v/>
      </c>
      <c r="P8" s="20">
        <f>ROUND(P7+IF(AND(E8&lt;=10,F8&lt;&gt;"ASTM A416"),L8,0),3)</f>
        <v/>
      </c>
      <c r="Q8" s="20">
        <f>ROUND(Q7+IF(AND(E8=12,F8&lt;&gt;"ASTM A416"),L8,0),3)</f>
        <v/>
      </c>
      <c r="R8" s="20">
        <f>ROUND(R7+IF(AND(E8=14,F8&lt;&gt;"ASTM A416"),L8,0),3)</f>
        <v/>
      </c>
      <c r="S8" s="20">
        <f>ROUND(S7+IF(AND(E8=16,F8&lt;&gt;"ASTM A416"),L8,0),3)</f>
        <v/>
      </c>
      <c r="T8" s="20">
        <f>ROUND(T7+IF(AND(E8=18,F8&lt;&gt;"ASTM A416"),L8,0),3)</f>
        <v/>
      </c>
      <c r="U8" s="20">
        <f>ROUND(U7+IF(AND(E8=20,F8&lt;&gt;"ASTM A416"),L8,0),3)</f>
        <v/>
      </c>
      <c r="V8" s="20">
        <f>ROUND(V7+IF(AND(E8=22,F8&lt;&gt;"ASTM A416"),L8,0),3)</f>
        <v/>
      </c>
      <c r="W8" s="20">
        <f>ROUND(W7+IF(AND(E8=25,F8&lt;&gt;"ASTM A416"),L8,0),3)</f>
        <v/>
      </c>
      <c r="X8" s="20">
        <f>ROUND(X7+IF(AND(E8=28,F8&lt;&gt;"ASTM A416"),L8,0),3)</f>
        <v/>
      </c>
      <c r="Y8" s="20">
        <f>ROUND(Y7+IF(AND(E8=32,F8&lt;&gt;"ASTM A416"),L8,0),3)</f>
        <v/>
      </c>
      <c r="Z8" s="20">
        <f>ROUND(Z7+IF(F8="ASTM A416",L8,0),3)</f>
        <v/>
      </c>
      <c r="AA8" s="11">
        <f>IF(ROUNDUP(P8/20,0)&gt;ROUNDUP(P7/20,0),"Lần " &amp; ROUNDUP(P8/20,0),"")</f>
        <v/>
      </c>
      <c r="AB8" s="11">
        <f>IF(ROUNDUP(Q8/20,0)&gt;ROUNDUP(Q7/20,0),"Lần " &amp; ROUNDUP(Q8/20,0),"")</f>
        <v/>
      </c>
      <c r="AC8" s="11">
        <f>IF(ROUNDUP(R8/20,0)&gt;ROUNDUP(R7/20,0),"Lần " &amp; ROUNDUP(R8/20,0),"")</f>
        <v/>
      </c>
      <c r="AD8" s="11">
        <f>IF(ROUNDUP(S8/20,0)&gt;ROUNDUP(S7/20,0),"Lần " &amp; ROUNDUP(S8/20,0),"")</f>
        <v/>
      </c>
      <c r="AE8" s="11">
        <f>IF(ROUNDUP(T8/20,0)&gt;ROUNDUP(T7/20,0),"Lần " &amp; ROUNDUP(T8/20,0),"")</f>
        <v/>
      </c>
      <c r="AF8" s="11">
        <f>IF(ROUNDUP(U8/20,0)&gt;ROUNDUP(U7/20,0),"Lần " &amp; ROUNDUP(U8/20,0),"")</f>
        <v/>
      </c>
      <c r="AG8" s="11">
        <f>IF(ROUNDUP(V8/20,0)&gt;ROUNDUP(V7/20,0),"Lần " &amp; ROUNDUP(V8/20,0),"")</f>
        <v/>
      </c>
      <c r="AH8" s="11">
        <f>IF(ROUNDUP(W8/20,0)&gt;ROUNDUP(W7/20,0),"Lần " &amp; ROUNDUP(W8/20,0),"")</f>
        <v/>
      </c>
      <c r="AI8" s="11">
        <f>IF(ROUNDUP(X8/20,0)&gt;ROUNDUP(X7/20,0),"Lần " &amp; ROUNDUP(X8/20,0),"")</f>
        <v/>
      </c>
      <c r="AJ8" s="11">
        <f>IF(ROUNDUP(Y8/20,0)&gt;ROUNDUP(Y7/20,0),"Lần " &amp; ROUNDUP(Y8/20,0),"")</f>
        <v/>
      </c>
      <c r="AK8" s="11">
        <f>IF(ROUNDUP(Z8/20,0)&gt;ROUNDUP(Z7/20,0),"Lần " &amp; ROUNDUP(Z8/20,0),"")</f>
        <v/>
      </c>
      <c r="AL8" s="6" t="n"/>
      <c r="AN8" t="inlineStr">
        <is>
          <t>Than</t>
        </is>
      </c>
      <c r="AO8" t="n">
        <v>50</v>
      </c>
    </row>
    <row r="9" ht="19" customHeight="1">
      <c r="A9" s="6" t="n">
        <v>6</v>
      </c>
      <c r="B9" s="7" t="inlineStr">
        <is>
          <t>Mố M1</t>
        </is>
      </c>
      <c r="C9" s="7" t="inlineStr">
        <is>
          <t>Mố M1 (tr.31)</t>
        </is>
      </c>
      <c r="D9" s="18" t="inlineStr">
        <is>
          <t>A4</t>
        </is>
      </c>
      <c r="E9" s="19" t="n">
        <v>28</v>
      </c>
      <c r="F9" s="6" t="inlineStr">
        <is>
          <t>CB400-V</t>
        </is>
      </c>
      <c r="G9" s="7" t="inlineStr"/>
      <c r="H9" s="20" t="n">
        <v>14.216</v>
      </c>
      <c r="I9" s="21" t="n">
        <v>10</v>
      </c>
      <c r="J9" s="22" t="n">
        <v>4.834</v>
      </c>
      <c r="K9" s="9">
        <f>ROUND(H9*I9*J9, 2)</f>
        <v/>
      </c>
      <c r="L9" s="23">
        <f>ROUND(K9/1000, 3)</f>
        <v/>
      </c>
      <c r="M9" s="8">
        <f>IF(AO9="","",IF(INDEX(Theo_Doi_Tan_Suat_Be_Tong!$C:$C,AO9)="","",INDEX(Theo_Doi_Tan_Suat_Be_Tong!$C:$C,AO9)-VLOOKUP(AN9,$AQ$2:$AR$7,2,FALSE)))</f>
        <v/>
      </c>
      <c r="N9" s="6" t="n"/>
      <c r="O9" s="24">
        <f>IF(ROUNDUP(X9/20,0)&gt;ROUNDUP(X8/20,0),"TN Ø28 (Lần " &amp; ROUNDUP(X9/20,0) &amp; ")","")</f>
        <v/>
      </c>
      <c r="P9" s="20">
        <f>ROUND(P8+IF(AND(E9&lt;=10,F9&lt;&gt;"ASTM A416"),L9,0),3)</f>
        <v/>
      </c>
      <c r="Q9" s="20">
        <f>ROUND(Q8+IF(AND(E9=12,F9&lt;&gt;"ASTM A416"),L9,0),3)</f>
        <v/>
      </c>
      <c r="R9" s="20">
        <f>ROUND(R8+IF(AND(E9=14,F9&lt;&gt;"ASTM A416"),L9,0),3)</f>
        <v/>
      </c>
      <c r="S9" s="20">
        <f>ROUND(S8+IF(AND(E9=16,F9&lt;&gt;"ASTM A416"),L9,0),3)</f>
        <v/>
      </c>
      <c r="T9" s="20">
        <f>ROUND(T8+IF(AND(E9=18,F9&lt;&gt;"ASTM A416"),L9,0),3)</f>
        <v/>
      </c>
      <c r="U9" s="20">
        <f>ROUND(U8+IF(AND(E9=20,F9&lt;&gt;"ASTM A416"),L9,0),3)</f>
        <v/>
      </c>
      <c r="V9" s="20">
        <f>ROUND(V8+IF(AND(E9=22,F9&lt;&gt;"ASTM A416"),L9,0),3)</f>
        <v/>
      </c>
      <c r="W9" s="20">
        <f>ROUND(W8+IF(AND(E9=25,F9&lt;&gt;"ASTM A416"),L9,0),3)</f>
        <v/>
      </c>
      <c r="X9" s="20">
        <f>ROUND(X8+IF(AND(E9=28,F9&lt;&gt;"ASTM A416"),L9,0),3)</f>
        <v/>
      </c>
      <c r="Y9" s="20">
        <f>ROUND(Y8+IF(AND(E9=32,F9&lt;&gt;"ASTM A416"),L9,0),3)</f>
        <v/>
      </c>
      <c r="Z9" s="20">
        <f>ROUND(Z8+IF(F9="ASTM A416",L9,0),3)</f>
        <v/>
      </c>
      <c r="AA9" s="11">
        <f>IF(ROUNDUP(P9/20,0)&gt;ROUNDUP(P8/20,0),"Lần " &amp; ROUNDUP(P9/20,0),"")</f>
        <v/>
      </c>
      <c r="AB9" s="11">
        <f>IF(ROUNDUP(Q9/20,0)&gt;ROUNDUP(Q8/20,0),"Lần " &amp; ROUNDUP(Q9/20,0),"")</f>
        <v/>
      </c>
      <c r="AC9" s="11">
        <f>IF(ROUNDUP(R9/20,0)&gt;ROUNDUP(R8/20,0),"Lần " &amp; ROUNDUP(R9/20,0),"")</f>
        <v/>
      </c>
      <c r="AD9" s="11">
        <f>IF(ROUNDUP(S9/20,0)&gt;ROUNDUP(S8/20,0),"Lần " &amp; ROUNDUP(S9/20,0),"")</f>
        <v/>
      </c>
      <c r="AE9" s="11">
        <f>IF(ROUNDUP(T9/20,0)&gt;ROUNDUP(T8/20,0),"Lần " &amp; ROUNDUP(T9/20,0),"")</f>
        <v/>
      </c>
      <c r="AF9" s="11">
        <f>IF(ROUNDUP(U9/20,0)&gt;ROUNDUP(U8/20,0),"Lần " &amp; ROUNDUP(U9/20,0),"")</f>
        <v/>
      </c>
      <c r="AG9" s="11">
        <f>IF(ROUNDUP(V9/20,0)&gt;ROUNDUP(V8/20,0),"Lần " &amp; ROUNDUP(V9/20,0),"")</f>
        <v/>
      </c>
      <c r="AH9" s="11">
        <f>IF(ROUNDUP(W9/20,0)&gt;ROUNDUP(W8/20,0),"Lần " &amp; ROUNDUP(W9/20,0),"")</f>
        <v/>
      </c>
      <c r="AI9" s="11">
        <f>IF(ROUNDUP(X9/20,0)&gt;ROUNDUP(X8/20,0),"Lần " &amp; ROUNDUP(X9/20,0),"")</f>
        <v/>
      </c>
      <c r="AJ9" s="11">
        <f>IF(ROUNDUP(Y9/20,0)&gt;ROUNDUP(Y8/20,0),"Lần " &amp; ROUNDUP(Y9/20,0),"")</f>
        <v/>
      </c>
      <c r="AK9" s="11">
        <f>IF(ROUNDUP(Z9/20,0)&gt;ROUNDUP(Z8/20,0),"Lần " &amp; ROUNDUP(Z9/20,0),"")</f>
        <v/>
      </c>
      <c r="AL9" s="6" t="n"/>
      <c r="AN9" t="inlineStr">
        <is>
          <t>Than</t>
        </is>
      </c>
      <c r="AO9" t="n">
        <v>50</v>
      </c>
    </row>
    <row r="10" ht="19" customHeight="1">
      <c r="A10" s="6" t="n">
        <v>7</v>
      </c>
      <c r="B10" s="7" t="inlineStr">
        <is>
          <t>Mố M1</t>
        </is>
      </c>
      <c r="C10" s="7" t="inlineStr">
        <is>
          <t>Mố M1 (tr.31)</t>
        </is>
      </c>
      <c r="D10" s="18" t="inlineStr">
        <is>
          <t>A5(P)</t>
        </is>
      </c>
      <c r="E10" s="19" t="n">
        <v>16</v>
      </c>
      <c r="F10" s="6" t="inlineStr">
        <is>
          <t>CB400-V</t>
        </is>
      </c>
      <c r="G10" s="7" t="inlineStr"/>
      <c r="H10" s="20" t="n">
        <v>2.282</v>
      </c>
      <c r="I10" s="21" t="n">
        <v>10</v>
      </c>
      <c r="J10" s="22" t="n">
        <v>1.578</v>
      </c>
      <c r="K10" s="9">
        <f>ROUND(H10*I10*J10, 2)</f>
        <v/>
      </c>
      <c r="L10" s="23">
        <f>ROUND(K10/1000, 3)</f>
        <v/>
      </c>
      <c r="M10" s="8">
        <f>IF(AO10="","",IF(INDEX(Theo_Doi_Tan_Suat_Be_Tong!$C:$C,AO10)="","",INDEX(Theo_Doi_Tan_Suat_Be_Tong!$C:$C,AO10)-VLOOKUP(AN10,$AQ$2:$AR$7,2,FALSE)))</f>
        <v/>
      </c>
      <c r="N10" s="6" t="n"/>
      <c r="O10" s="24">
        <f>IF(ROUNDUP(S10/20,0)&gt;ROUNDUP(S9/20,0),"TN Ø16 (Lần " &amp; ROUNDUP(S10/20,0) &amp; ")","")</f>
        <v/>
      </c>
      <c r="P10" s="20">
        <f>ROUND(P9+IF(AND(E10&lt;=10,F10&lt;&gt;"ASTM A416"),L10,0),3)</f>
        <v/>
      </c>
      <c r="Q10" s="20">
        <f>ROUND(Q9+IF(AND(E10=12,F10&lt;&gt;"ASTM A416"),L10,0),3)</f>
        <v/>
      </c>
      <c r="R10" s="20">
        <f>ROUND(R9+IF(AND(E10=14,F10&lt;&gt;"ASTM A416"),L10,0),3)</f>
        <v/>
      </c>
      <c r="S10" s="20">
        <f>ROUND(S9+IF(AND(E10=16,F10&lt;&gt;"ASTM A416"),L10,0),3)</f>
        <v/>
      </c>
      <c r="T10" s="20">
        <f>ROUND(T9+IF(AND(E10=18,F10&lt;&gt;"ASTM A416"),L10,0),3)</f>
        <v/>
      </c>
      <c r="U10" s="20">
        <f>ROUND(U9+IF(AND(E10=20,F10&lt;&gt;"ASTM A416"),L10,0),3)</f>
        <v/>
      </c>
      <c r="V10" s="20">
        <f>ROUND(V9+IF(AND(E10=22,F10&lt;&gt;"ASTM A416"),L10,0),3)</f>
        <v/>
      </c>
      <c r="W10" s="20">
        <f>ROUND(W9+IF(AND(E10=25,F10&lt;&gt;"ASTM A416"),L10,0),3)</f>
        <v/>
      </c>
      <c r="X10" s="20">
        <f>ROUND(X9+IF(AND(E10=28,F10&lt;&gt;"ASTM A416"),L10,0),3)</f>
        <v/>
      </c>
      <c r="Y10" s="20">
        <f>ROUND(Y9+IF(AND(E10=32,F10&lt;&gt;"ASTM A416"),L10,0),3)</f>
        <v/>
      </c>
      <c r="Z10" s="20">
        <f>ROUND(Z9+IF(F10="ASTM A416",L10,0),3)</f>
        <v/>
      </c>
      <c r="AA10" s="11">
        <f>IF(ROUNDUP(P10/20,0)&gt;ROUNDUP(P9/20,0),"Lần " &amp; ROUNDUP(P10/20,0),"")</f>
        <v/>
      </c>
      <c r="AB10" s="11">
        <f>IF(ROUNDUP(Q10/20,0)&gt;ROUNDUP(Q9/20,0),"Lần " &amp; ROUNDUP(Q10/20,0),"")</f>
        <v/>
      </c>
      <c r="AC10" s="11">
        <f>IF(ROUNDUP(R10/20,0)&gt;ROUNDUP(R9/20,0),"Lần " &amp; ROUNDUP(R10/20,0),"")</f>
        <v/>
      </c>
      <c r="AD10" s="11">
        <f>IF(ROUNDUP(S10/20,0)&gt;ROUNDUP(S9/20,0),"Lần " &amp; ROUNDUP(S10/20,0),"")</f>
        <v/>
      </c>
      <c r="AE10" s="11">
        <f>IF(ROUNDUP(T10/20,0)&gt;ROUNDUP(T9/20,0),"Lần " &amp; ROUNDUP(T10/20,0),"")</f>
        <v/>
      </c>
      <c r="AF10" s="11">
        <f>IF(ROUNDUP(U10/20,0)&gt;ROUNDUP(U9/20,0),"Lần " &amp; ROUNDUP(U10/20,0),"")</f>
        <v/>
      </c>
      <c r="AG10" s="11">
        <f>IF(ROUNDUP(V10/20,0)&gt;ROUNDUP(V9/20,0),"Lần " &amp; ROUNDUP(V10/20,0),"")</f>
        <v/>
      </c>
      <c r="AH10" s="11">
        <f>IF(ROUNDUP(W10/20,0)&gt;ROUNDUP(W9/20,0),"Lần " &amp; ROUNDUP(W10/20,0),"")</f>
        <v/>
      </c>
      <c r="AI10" s="11">
        <f>IF(ROUNDUP(X10/20,0)&gt;ROUNDUP(X9/20,0),"Lần " &amp; ROUNDUP(X10/20,0),"")</f>
        <v/>
      </c>
      <c r="AJ10" s="11">
        <f>IF(ROUNDUP(Y10/20,0)&gt;ROUNDUP(Y9/20,0),"Lần " &amp; ROUNDUP(Y10/20,0),"")</f>
        <v/>
      </c>
      <c r="AK10" s="11">
        <f>IF(ROUNDUP(Z10/20,0)&gt;ROUNDUP(Z9/20,0),"Lần " &amp; ROUNDUP(Z10/20,0),"")</f>
        <v/>
      </c>
      <c r="AL10" s="6" t="n"/>
      <c r="AN10" t="inlineStr">
        <is>
          <t>Than</t>
        </is>
      </c>
      <c r="AO10" t="n">
        <v>50</v>
      </c>
    </row>
    <row r="11" ht="19" customHeight="1">
      <c r="A11" s="6" t="n">
        <v>8</v>
      </c>
      <c r="B11" s="7" t="inlineStr">
        <is>
          <t>Mố M1</t>
        </is>
      </c>
      <c r="C11" s="7" t="inlineStr">
        <is>
          <t>Mố M1 (tr.31)</t>
        </is>
      </c>
      <c r="D11" s="18" t="inlineStr">
        <is>
          <t>A5（T)</t>
        </is>
      </c>
      <c r="E11" s="19" t="n">
        <v>16</v>
      </c>
      <c r="F11" s="6" t="inlineStr">
        <is>
          <t>CB400-V</t>
        </is>
      </c>
      <c r="G11" s="7" t="inlineStr"/>
      <c r="H11" s="20" t="n">
        <v>2.032</v>
      </c>
      <c r="I11" s="21" t="n">
        <v>10</v>
      </c>
      <c r="J11" s="22" t="n">
        <v>1.578</v>
      </c>
      <c r="K11" s="9">
        <f>ROUND(H11*I11*J11, 2)</f>
        <v/>
      </c>
      <c r="L11" s="23">
        <f>ROUND(K11/1000, 3)</f>
        <v/>
      </c>
      <c r="M11" s="8">
        <f>IF(AO11="","",IF(INDEX(Theo_Doi_Tan_Suat_Be_Tong!$C:$C,AO11)="","",INDEX(Theo_Doi_Tan_Suat_Be_Tong!$C:$C,AO11)-VLOOKUP(AN11,$AQ$2:$AR$7,2,FALSE)))</f>
        <v/>
      </c>
      <c r="N11" s="6" t="n"/>
      <c r="O11" s="24">
        <f>IF(ROUNDUP(S11/20,0)&gt;ROUNDUP(S10/20,0),"TN Ø16 (Lần " &amp; ROUNDUP(S11/20,0) &amp; ")","")</f>
        <v/>
      </c>
      <c r="P11" s="20">
        <f>ROUND(P10+IF(AND(E11&lt;=10,F11&lt;&gt;"ASTM A416"),L11,0),3)</f>
        <v/>
      </c>
      <c r="Q11" s="20">
        <f>ROUND(Q10+IF(AND(E11=12,F11&lt;&gt;"ASTM A416"),L11,0),3)</f>
        <v/>
      </c>
      <c r="R11" s="20">
        <f>ROUND(R10+IF(AND(E11=14,F11&lt;&gt;"ASTM A416"),L11,0),3)</f>
        <v/>
      </c>
      <c r="S11" s="20">
        <f>ROUND(S10+IF(AND(E11=16,F11&lt;&gt;"ASTM A416"),L11,0),3)</f>
        <v/>
      </c>
      <c r="T11" s="20">
        <f>ROUND(T10+IF(AND(E11=18,F11&lt;&gt;"ASTM A416"),L11,0),3)</f>
        <v/>
      </c>
      <c r="U11" s="20">
        <f>ROUND(U10+IF(AND(E11=20,F11&lt;&gt;"ASTM A416"),L11,0),3)</f>
        <v/>
      </c>
      <c r="V11" s="20">
        <f>ROUND(V10+IF(AND(E11=22,F11&lt;&gt;"ASTM A416"),L11,0),3)</f>
        <v/>
      </c>
      <c r="W11" s="20">
        <f>ROUND(W10+IF(AND(E11=25,F11&lt;&gt;"ASTM A416"),L11,0),3)</f>
        <v/>
      </c>
      <c r="X11" s="20">
        <f>ROUND(X10+IF(AND(E11=28,F11&lt;&gt;"ASTM A416"),L11,0),3)</f>
        <v/>
      </c>
      <c r="Y11" s="20">
        <f>ROUND(Y10+IF(AND(E11=32,F11&lt;&gt;"ASTM A416"),L11,0),3)</f>
        <v/>
      </c>
      <c r="Z11" s="20">
        <f>ROUND(Z10+IF(F11="ASTM A416",L11,0),3)</f>
        <v/>
      </c>
      <c r="AA11" s="11">
        <f>IF(ROUNDUP(P11/20,0)&gt;ROUNDUP(P10/20,0),"Lần " &amp; ROUNDUP(P11/20,0),"")</f>
        <v/>
      </c>
      <c r="AB11" s="11">
        <f>IF(ROUNDUP(Q11/20,0)&gt;ROUNDUP(Q10/20,0),"Lần " &amp; ROUNDUP(Q11/20,0),"")</f>
        <v/>
      </c>
      <c r="AC11" s="11">
        <f>IF(ROUNDUP(R11/20,0)&gt;ROUNDUP(R10/20,0),"Lần " &amp; ROUNDUP(R11/20,0),"")</f>
        <v/>
      </c>
      <c r="AD11" s="11">
        <f>IF(ROUNDUP(S11/20,0)&gt;ROUNDUP(S10/20,0),"Lần " &amp; ROUNDUP(S11/20,0),"")</f>
        <v/>
      </c>
      <c r="AE11" s="11">
        <f>IF(ROUNDUP(T11/20,0)&gt;ROUNDUP(T10/20,0),"Lần " &amp; ROUNDUP(T11/20,0),"")</f>
        <v/>
      </c>
      <c r="AF11" s="11">
        <f>IF(ROUNDUP(U11/20,0)&gt;ROUNDUP(U10/20,0),"Lần " &amp; ROUNDUP(U11/20,0),"")</f>
        <v/>
      </c>
      <c r="AG11" s="11">
        <f>IF(ROUNDUP(V11/20,0)&gt;ROUNDUP(V10/20,0),"Lần " &amp; ROUNDUP(V11/20,0),"")</f>
        <v/>
      </c>
      <c r="AH11" s="11">
        <f>IF(ROUNDUP(W11/20,0)&gt;ROUNDUP(W10/20,0),"Lần " &amp; ROUNDUP(W11/20,0),"")</f>
        <v/>
      </c>
      <c r="AI11" s="11">
        <f>IF(ROUNDUP(X11/20,0)&gt;ROUNDUP(X10/20,0),"Lần " &amp; ROUNDUP(X11/20,0),"")</f>
        <v/>
      </c>
      <c r="AJ11" s="11">
        <f>IF(ROUNDUP(Y11/20,0)&gt;ROUNDUP(Y10/20,0),"Lần " &amp; ROUNDUP(Y11/20,0),"")</f>
        <v/>
      </c>
      <c r="AK11" s="11">
        <f>IF(ROUNDUP(Z11/20,0)&gt;ROUNDUP(Z10/20,0),"Lần " &amp; ROUNDUP(Z11/20,0),"")</f>
        <v/>
      </c>
      <c r="AL11" s="6" t="n"/>
      <c r="AN11" t="inlineStr">
        <is>
          <t>Than</t>
        </is>
      </c>
      <c r="AO11" t="n">
        <v>50</v>
      </c>
    </row>
    <row r="12" ht="19" customHeight="1">
      <c r="A12" s="6" t="n">
        <v>9</v>
      </c>
      <c r="B12" s="7" t="inlineStr">
        <is>
          <t>Mố M1</t>
        </is>
      </c>
      <c r="C12" s="7" t="inlineStr">
        <is>
          <t>Mố M1 (tr.31)</t>
        </is>
      </c>
      <c r="D12" s="18" t="inlineStr">
        <is>
          <t>P1</t>
        </is>
      </c>
      <c r="E12" s="19" t="n">
        <v>16</v>
      </c>
      <c r="F12" s="6" t="inlineStr">
        <is>
          <t>CB400-V</t>
        </is>
      </c>
      <c r="G12" s="7" t="inlineStr"/>
      <c r="H12" s="20" t="n">
        <v>13.437</v>
      </c>
      <c r="I12" s="21" t="n">
        <v>30</v>
      </c>
      <c r="J12" s="22" t="n">
        <v>1.578</v>
      </c>
      <c r="K12" s="9">
        <f>ROUND(H12*I12*J12, 2)</f>
        <v/>
      </c>
      <c r="L12" s="23">
        <f>ROUND(K12/1000, 3)</f>
        <v/>
      </c>
      <c r="M12" s="8">
        <f>IF(AO12="","",IF(INDEX(Theo_Doi_Tan_Suat_Be_Tong!$C:$C,AO12)="","",INDEX(Theo_Doi_Tan_Suat_Be_Tong!$C:$C,AO12)-VLOOKUP(AN12,$AQ$2:$AR$7,2,FALSE)))</f>
        <v/>
      </c>
      <c r="N12" s="6" t="n"/>
      <c r="O12" s="24">
        <f>IF(ROUNDUP(S12/20,0)&gt;ROUNDUP(S11/20,0),"TN Ø16 (Lần " &amp; ROUNDUP(S12/20,0) &amp; ")","")</f>
        <v/>
      </c>
      <c r="P12" s="20">
        <f>ROUND(P11+IF(AND(E12&lt;=10,F12&lt;&gt;"ASTM A416"),L12,0),3)</f>
        <v/>
      </c>
      <c r="Q12" s="20">
        <f>ROUND(Q11+IF(AND(E12=12,F12&lt;&gt;"ASTM A416"),L12,0),3)</f>
        <v/>
      </c>
      <c r="R12" s="20">
        <f>ROUND(R11+IF(AND(E12=14,F12&lt;&gt;"ASTM A416"),L12,0),3)</f>
        <v/>
      </c>
      <c r="S12" s="20">
        <f>ROUND(S11+IF(AND(E12=16,F12&lt;&gt;"ASTM A416"),L12,0),3)</f>
        <v/>
      </c>
      <c r="T12" s="20">
        <f>ROUND(T11+IF(AND(E12=18,F12&lt;&gt;"ASTM A416"),L12,0),3)</f>
        <v/>
      </c>
      <c r="U12" s="20">
        <f>ROUND(U11+IF(AND(E12=20,F12&lt;&gt;"ASTM A416"),L12,0),3)</f>
        <v/>
      </c>
      <c r="V12" s="20">
        <f>ROUND(V11+IF(AND(E12=22,F12&lt;&gt;"ASTM A416"),L12,0),3)</f>
        <v/>
      </c>
      <c r="W12" s="20">
        <f>ROUND(W11+IF(AND(E12=25,F12&lt;&gt;"ASTM A416"),L12,0),3)</f>
        <v/>
      </c>
      <c r="X12" s="20">
        <f>ROUND(X11+IF(AND(E12=28,F12&lt;&gt;"ASTM A416"),L12,0),3)</f>
        <v/>
      </c>
      <c r="Y12" s="20">
        <f>ROUND(Y11+IF(AND(E12=32,F12&lt;&gt;"ASTM A416"),L12,0),3)</f>
        <v/>
      </c>
      <c r="Z12" s="20">
        <f>ROUND(Z11+IF(F12="ASTM A416",L12,0),3)</f>
        <v/>
      </c>
      <c r="AA12" s="11">
        <f>IF(ROUNDUP(P12/20,0)&gt;ROUNDUP(P11/20,0),"Lần " &amp; ROUNDUP(P12/20,0),"")</f>
        <v/>
      </c>
      <c r="AB12" s="11">
        <f>IF(ROUNDUP(Q12/20,0)&gt;ROUNDUP(Q11/20,0),"Lần " &amp; ROUNDUP(Q12/20,0),"")</f>
        <v/>
      </c>
      <c r="AC12" s="11">
        <f>IF(ROUNDUP(R12/20,0)&gt;ROUNDUP(R11/20,0),"Lần " &amp; ROUNDUP(R12/20,0),"")</f>
        <v/>
      </c>
      <c r="AD12" s="11">
        <f>IF(ROUNDUP(S12/20,0)&gt;ROUNDUP(S11/20,0),"Lần " &amp; ROUNDUP(S12/20,0),"")</f>
        <v/>
      </c>
      <c r="AE12" s="11">
        <f>IF(ROUNDUP(T12/20,0)&gt;ROUNDUP(T11/20,0),"Lần " &amp; ROUNDUP(T12/20,0),"")</f>
        <v/>
      </c>
      <c r="AF12" s="11">
        <f>IF(ROUNDUP(U12/20,0)&gt;ROUNDUP(U11/20,0),"Lần " &amp; ROUNDUP(U12/20,0),"")</f>
        <v/>
      </c>
      <c r="AG12" s="11">
        <f>IF(ROUNDUP(V12/20,0)&gt;ROUNDUP(V11/20,0),"Lần " &amp; ROUNDUP(V12/20,0),"")</f>
        <v/>
      </c>
      <c r="AH12" s="11">
        <f>IF(ROUNDUP(W12/20,0)&gt;ROUNDUP(W11/20,0),"Lần " &amp; ROUNDUP(W12/20,0),"")</f>
        <v/>
      </c>
      <c r="AI12" s="11">
        <f>IF(ROUNDUP(X12/20,0)&gt;ROUNDUP(X11/20,0),"Lần " &amp; ROUNDUP(X12/20,0),"")</f>
        <v/>
      </c>
      <c r="AJ12" s="11">
        <f>IF(ROUNDUP(Y12/20,0)&gt;ROUNDUP(Y11/20,0),"Lần " &amp; ROUNDUP(Y12/20,0),"")</f>
        <v/>
      </c>
      <c r="AK12" s="11">
        <f>IF(ROUNDUP(Z12/20,0)&gt;ROUNDUP(Z11/20,0),"Lần " &amp; ROUNDUP(Z12/20,0),"")</f>
        <v/>
      </c>
      <c r="AL12" s="6" t="n"/>
      <c r="AN12" t="inlineStr">
        <is>
          <t>Than</t>
        </is>
      </c>
      <c r="AO12" t="n">
        <v>50</v>
      </c>
    </row>
    <row r="13" ht="19" customHeight="1">
      <c r="A13" s="6" t="n">
        <v>10</v>
      </c>
      <c r="B13" s="7" t="inlineStr">
        <is>
          <t>Mố M1</t>
        </is>
      </c>
      <c r="C13" s="7" t="inlineStr">
        <is>
          <t>Mố M1 (tr.31)</t>
        </is>
      </c>
      <c r="D13" s="18" t="inlineStr">
        <is>
          <t>PIA</t>
        </is>
      </c>
      <c r="E13" s="19" t="n">
        <v>16</v>
      </c>
      <c r="F13" s="6" t="inlineStr">
        <is>
          <t>CB400-V</t>
        </is>
      </c>
      <c r="G13" s="7" t="inlineStr"/>
      <c r="H13" s="20" t="n">
        <v>13.44</v>
      </c>
      <c r="I13" s="21" t="n">
        <v>2</v>
      </c>
      <c r="J13" s="22" t="n">
        <v>1.578</v>
      </c>
      <c r="K13" s="9">
        <f>ROUND(H13*I13*J13, 2)</f>
        <v/>
      </c>
      <c r="L13" s="23">
        <f>ROUND(K13/1000, 3)</f>
        <v/>
      </c>
      <c r="M13" s="8">
        <f>IF(AO13="","",IF(INDEX(Theo_Doi_Tan_Suat_Be_Tong!$C:$C,AO13)="","",INDEX(Theo_Doi_Tan_Suat_Be_Tong!$C:$C,AO13)-VLOOKUP(AN13,$AQ$2:$AR$7,2,FALSE)))</f>
        <v/>
      </c>
      <c r="N13" s="6" t="n"/>
      <c r="O13" s="24">
        <f>IF(ROUNDUP(S13/20,0)&gt;ROUNDUP(S12/20,0),"TN Ø16 (Lần " &amp; ROUNDUP(S13/20,0) &amp; ")","")</f>
        <v/>
      </c>
      <c r="P13" s="20">
        <f>ROUND(P12+IF(AND(E13&lt;=10,F13&lt;&gt;"ASTM A416"),L13,0),3)</f>
        <v/>
      </c>
      <c r="Q13" s="20">
        <f>ROUND(Q12+IF(AND(E13=12,F13&lt;&gt;"ASTM A416"),L13,0),3)</f>
        <v/>
      </c>
      <c r="R13" s="20">
        <f>ROUND(R12+IF(AND(E13=14,F13&lt;&gt;"ASTM A416"),L13,0),3)</f>
        <v/>
      </c>
      <c r="S13" s="20">
        <f>ROUND(S12+IF(AND(E13=16,F13&lt;&gt;"ASTM A416"),L13,0),3)</f>
        <v/>
      </c>
      <c r="T13" s="20">
        <f>ROUND(T12+IF(AND(E13=18,F13&lt;&gt;"ASTM A416"),L13,0),3)</f>
        <v/>
      </c>
      <c r="U13" s="20">
        <f>ROUND(U12+IF(AND(E13=20,F13&lt;&gt;"ASTM A416"),L13,0),3)</f>
        <v/>
      </c>
      <c r="V13" s="20">
        <f>ROUND(V12+IF(AND(E13=22,F13&lt;&gt;"ASTM A416"),L13,0),3)</f>
        <v/>
      </c>
      <c r="W13" s="20">
        <f>ROUND(W12+IF(AND(E13=25,F13&lt;&gt;"ASTM A416"),L13,0),3)</f>
        <v/>
      </c>
      <c r="X13" s="20">
        <f>ROUND(X12+IF(AND(E13=28,F13&lt;&gt;"ASTM A416"),L13,0),3)</f>
        <v/>
      </c>
      <c r="Y13" s="20">
        <f>ROUND(Y12+IF(AND(E13=32,F13&lt;&gt;"ASTM A416"),L13,0),3)</f>
        <v/>
      </c>
      <c r="Z13" s="20">
        <f>ROUND(Z12+IF(F13="ASTM A416",L13,0),3)</f>
        <v/>
      </c>
      <c r="AA13" s="11">
        <f>IF(ROUNDUP(P13/20,0)&gt;ROUNDUP(P12/20,0),"Lần " &amp; ROUNDUP(P13/20,0),"")</f>
        <v/>
      </c>
      <c r="AB13" s="11">
        <f>IF(ROUNDUP(Q13/20,0)&gt;ROUNDUP(Q12/20,0),"Lần " &amp; ROUNDUP(Q13/20,0),"")</f>
        <v/>
      </c>
      <c r="AC13" s="11">
        <f>IF(ROUNDUP(R13/20,0)&gt;ROUNDUP(R12/20,0),"Lần " &amp; ROUNDUP(R13/20,0),"")</f>
        <v/>
      </c>
      <c r="AD13" s="11">
        <f>IF(ROUNDUP(S13/20,0)&gt;ROUNDUP(S12/20,0),"Lần " &amp; ROUNDUP(S13/20,0),"")</f>
        <v/>
      </c>
      <c r="AE13" s="11">
        <f>IF(ROUNDUP(T13/20,0)&gt;ROUNDUP(T12/20,0),"Lần " &amp; ROUNDUP(T13/20,0),"")</f>
        <v/>
      </c>
      <c r="AF13" s="11">
        <f>IF(ROUNDUP(U13/20,0)&gt;ROUNDUP(U12/20,0),"Lần " &amp; ROUNDUP(U13/20,0),"")</f>
        <v/>
      </c>
      <c r="AG13" s="11">
        <f>IF(ROUNDUP(V13/20,0)&gt;ROUNDUP(V12/20,0),"Lần " &amp; ROUNDUP(V13/20,0),"")</f>
        <v/>
      </c>
      <c r="AH13" s="11">
        <f>IF(ROUNDUP(W13/20,0)&gt;ROUNDUP(W12/20,0),"Lần " &amp; ROUNDUP(W13/20,0),"")</f>
        <v/>
      </c>
      <c r="AI13" s="11">
        <f>IF(ROUNDUP(X13/20,0)&gt;ROUNDUP(X12/20,0),"Lần " &amp; ROUNDUP(X13/20,0),"")</f>
        <v/>
      </c>
      <c r="AJ13" s="11">
        <f>IF(ROUNDUP(Y13/20,0)&gt;ROUNDUP(Y12/20,0),"Lần " &amp; ROUNDUP(Y13/20,0),"")</f>
        <v/>
      </c>
      <c r="AK13" s="11">
        <f>IF(ROUNDUP(Z13/20,0)&gt;ROUNDUP(Z12/20,0),"Lần " &amp; ROUNDUP(Z13/20,0),"")</f>
        <v/>
      </c>
      <c r="AL13" s="6" t="n"/>
      <c r="AN13" t="inlineStr">
        <is>
          <t>Than</t>
        </is>
      </c>
      <c r="AO13" t="n">
        <v>50</v>
      </c>
    </row>
    <row r="14" ht="19" customHeight="1">
      <c r="A14" s="6" t="n">
        <v>11</v>
      </c>
      <c r="B14" s="7" t="inlineStr">
        <is>
          <t>Mố M1</t>
        </is>
      </c>
      <c r="C14" s="7" t="inlineStr">
        <is>
          <t>Mố M1 (tr.31)</t>
        </is>
      </c>
      <c r="D14" s="18" t="inlineStr">
        <is>
          <t>P1B</t>
        </is>
      </c>
      <c r="E14" s="19" t="n">
        <v>16</v>
      </c>
      <c r="F14" s="6" t="inlineStr">
        <is>
          <t>CB400-V</t>
        </is>
      </c>
      <c r="G14" s="7" t="inlineStr"/>
      <c r="H14" s="20" t="n">
        <v>10.084</v>
      </c>
      <c r="I14" s="21" t="n">
        <v>2</v>
      </c>
      <c r="J14" s="22" t="n">
        <v>1.578</v>
      </c>
      <c r="K14" s="9">
        <f>ROUND(H14*I14*J14, 2)</f>
        <v/>
      </c>
      <c r="L14" s="23">
        <f>ROUND(K14/1000, 3)</f>
        <v/>
      </c>
      <c r="M14" s="8">
        <f>IF(AO14="","",IF(INDEX(Theo_Doi_Tan_Suat_Be_Tong!$C:$C,AO14)="","",INDEX(Theo_Doi_Tan_Suat_Be_Tong!$C:$C,AO14)-VLOOKUP(AN14,$AQ$2:$AR$7,2,FALSE)))</f>
        <v/>
      </c>
      <c r="N14" s="6" t="n"/>
      <c r="O14" s="24">
        <f>IF(ROUNDUP(S14/20,0)&gt;ROUNDUP(S13/20,0),"TN Ø16 (Lần " &amp; ROUNDUP(S14/20,0) &amp; ")","")</f>
        <v/>
      </c>
      <c r="P14" s="20">
        <f>ROUND(P13+IF(AND(E14&lt;=10,F14&lt;&gt;"ASTM A416"),L14,0),3)</f>
        <v/>
      </c>
      <c r="Q14" s="20">
        <f>ROUND(Q13+IF(AND(E14=12,F14&lt;&gt;"ASTM A416"),L14,0),3)</f>
        <v/>
      </c>
      <c r="R14" s="20">
        <f>ROUND(R13+IF(AND(E14=14,F14&lt;&gt;"ASTM A416"),L14,0),3)</f>
        <v/>
      </c>
      <c r="S14" s="20">
        <f>ROUND(S13+IF(AND(E14=16,F14&lt;&gt;"ASTM A416"),L14,0),3)</f>
        <v/>
      </c>
      <c r="T14" s="20">
        <f>ROUND(T13+IF(AND(E14=18,F14&lt;&gt;"ASTM A416"),L14,0),3)</f>
        <v/>
      </c>
      <c r="U14" s="20">
        <f>ROUND(U13+IF(AND(E14=20,F14&lt;&gt;"ASTM A416"),L14,0),3)</f>
        <v/>
      </c>
      <c r="V14" s="20">
        <f>ROUND(V13+IF(AND(E14=22,F14&lt;&gt;"ASTM A416"),L14,0),3)</f>
        <v/>
      </c>
      <c r="W14" s="20">
        <f>ROUND(W13+IF(AND(E14=25,F14&lt;&gt;"ASTM A416"),L14,0),3)</f>
        <v/>
      </c>
      <c r="X14" s="20">
        <f>ROUND(X13+IF(AND(E14=28,F14&lt;&gt;"ASTM A416"),L14,0),3)</f>
        <v/>
      </c>
      <c r="Y14" s="20">
        <f>ROUND(Y13+IF(AND(E14=32,F14&lt;&gt;"ASTM A416"),L14,0),3)</f>
        <v/>
      </c>
      <c r="Z14" s="20">
        <f>ROUND(Z13+IF(F14="ASTM A416",L14,0),3)</f>
        <v/>
      </c>
      <c r="AA14" s="11">
        <f>IF(ROUNDUP(P14/20,0)&gt;ROUNDUP(P13/20,0),"Lần " &amp; ROUNDUP(P14/20,0),"")</f>
        <v/>
      </c>
      <c r="AB14" s="11">
        <f>IF(ROUNDUP(Q14/20,0)&gt;ROUNDUP(Q13/20,0),"Lần " &amp; ROUNDUP(Q14/20,0),"")</f>
        <v/>
      </c>
      <c r="AC14" s="11">
        <f>IF(ROUNDUP(R14/20,0)&gt;ROUNDUP(R13/20,0),"Lần " &amp; ROUNDUP(R14/20,0),"")</f>
        <v/>
      </c>
      <c r="AD14" s="11">
        <f>IF(ROUNDUP(S14/20,0)&gt;ROUNDUP(S13/20,0),"Lần " &amp; ROUNDUP(S14/20,0),"")</f>
        <v/>
      </c>
      <c r="AE14" s="11">
        <f>IF(ROUNDUP(T14/20,0)&gt;ROUNDUP(T13/20,0),"Lần " &amp; ROUNDUP(T14/20,0),"")</f>
        <v/>
      </c>
      <c r="AF14" s="11">
        <f>IF(ROUNDUP(U14/20,0)&gt;ROUNDUP(U13/20,0),"Lần " &amp; ROUNDUP(U14/20,0),"")</f>
        <v/>
      </c>
      <c r="AG14" s="11">
        <f>IF(ROUNDUP(V14/20,0)&gt;ROUNDUP(V13/20,0),"Lần " &amp; ROUNDUP(V14/20,0),"")</f>
        <v/>
      </c>
      <c r="AH14" s="11">
        <f>IF(ROUNDUP(W14/20,0)&gt;ROUNDUP(W13/20,0),"Lần " &amp; ROUNDUP(W14/20,0),"")</f>
        <v/>
      </c>
      <c r="AI14" s="11">
        <f>IF(ROUNDUP(X14/20,0)&gt;ROUNDUP(X13/20,0),"Lần " &amp; ROUNDUP(X14/20,0),"")</f>
        <v/>
      </c>
      <c r="AJ14" s="11">
        <f>IF(ROUNDUP(Y14/20,0)&gt;ROUNDUP(Y13/20,0),"Lần " &amp; ROUNDUP(Y14/20,0),"")</f>
        <v/>
      </c>
      <c r="AK14" s="11">
        <f>IF(ROUNDUP(Z14/20,0)&gt;ROUNDUP(Z13/20,0),"Lần " &amp; ROUNDUP(Z14/20,0),"")</f>
        <v/>
      </c>
      <c r="AL14" s="6" t="n"/>
      <c r="AN14" t="inlineStr">
        <is>
          <t>Than</t>
        </is>
      </c>
      <c r="AO14" t="n">
        <v>50</v>
      </c>
    </row>
    <row r="15" ht="19" customHeight="1">
      <c r="A15" s="6" t="n">
        <v>12</v>
      </c>
      <c r="B15" s="7" t="inlineStr">
        <is>
          <t>Mố M1</t>
        </is>
      </c>
      <c r="C15" s="7" t="inlineStr">
        <is>
          <t>Mố M1 (tr.31)</t>
        </is>
      </c>
      <c r="D15" s="18" t="inlineStr">
        <is>
          <t>P2</t>
        </is>
      </c>
      <c r="E15" s="19" t="n">
        <v>16</v>
      </c>
      <c r="F15" s="6" t="inlineStr">
        <is>
          <t>CB400-V</t>
        </is>
      </c>
      <c r="G15" s="7" t="inlineStr"/>
      <c r="H15" s="20" t="n">
        <v>5.504</v>
      </c>
      <c r="I15" s="21" t="n">
        <v>83</v>
      </c>
      <c r="J15" s="22" t="n">
        <v>1.578</v>
      </c>
      <c r="K15" s="9">
        <f>ROUND(H15*I15*J15, 2)</f>
        <v/>
      </c>
      <c r="L15" s="23">
        <f>ROUND(K15/1000, 3)</f>
        <v/>
      </c>
      <c r="M15" s="8">
        <f>IF(AO15="","",IF(INDEX(Theo_Doi_Tan_Suat_Be_Tong!$C:$C,AO15)="","",INDEX(Theo_Doi_Tan_Suat_Be_Tong!$C:$C,AO15)-VLOOKUP(AN15,$AQ$2:$AR$7,2,FALSE)))</f>
        <v/>
      </c>
      <c r="N15" s="6" t="n"/>
      <c r="O15" s="24">
        <f>IF(ROUNDUP(S15/20,0)&gt;ROUNDUP(S14/20,0),"TN Ø16 (Lần " &amp; ROUNDUP(S15/20,0) &amp; ")","")</f>
        <v/>
      </c>
      <c r="P15" s="20">
        <f>ROUND(P14+IF(AND(E15&lt;=10,F15&lt;&gt;"ASTM A416"),L15,0),3)</f>
        <v/>
      </c>
      <c r="Q15" s="20">
        <f>ROUND(Q14+IF(AND(E15=12,F15&lt;&gt;"ASTM A416"),L15,0),3)</f>
        <v/>
      </c>
      <c r="R15" s="20">
        <f>ROUND(R14+IF(AND(E15=14,F15&lt;&gt;"ASTM A416"),L15,0),3)</f>
        <v/>
      </c>
      <c r="S15" s="20">
        <f>ROUND(S14+IF(AND(E15=16,F15&lt;&gt;"ASTM A416"),L15,0),3)</f>
        <v/>
      </c>
      <c r="T15" s="20">
        <f>ROUND(T14+IF(AND(E15=18,F15&lt;&gt;"ASTM A416"),L15,0),3)</f>
        <v/>
      </c>
      <c r="U15" s="20">
        <f>ROUND(U14+IF(AND(E15=20,F15&lt;&gt;"ASTM A416"),L15,0),3)</f>
        <v/>
      </c>
      <c r="V15" s="20">
        <f>ROUND(V14+IF(AND(E15=22,F15&lt;&gt;"ASTM A416"),L15,0),3)</f>
        <v/>
      </c>
      <c r="W15" s="20">
        <f>ROUND(W14+IF(AND(E15=25,F15&lt;&gt;"ASTM A416"),L15,0),3)</f>
        <v/>
      </c>
      <c r="X15" s="20">
        <f>ROUND(X14+IF(AND(E15=28,F15&lt;&gt;"ASTM A416"),L15,0),3)</f>
        <v/>
      </c>
      <c r="Y15" s="20">
        <f>ROUND(Y14+IF(AND(E15=32,F15&lt;&gt;"ASTM A416"),L15,0),3)</f>
        <v/>
      </c>
      <c r="Z15" s="20">
        <f>ROUND(Z14+IF(F15="ASTM A416",L15,0),3)</f>
        <v/>
      </c>
      <c r="AA15" s="11">
        <f>IF(ROUNDUP(P15/20,0)&gt;ROUNDUP(P14/20,0),"Lần " &amp; ROUNDUP(P15/20,0),"")</f>
        <v/>
      </c>
      <c r="AB15" s="11">
        <f>IF(ROUNDUP(Q15/20,0)&gt;ROUNDUP(Q14/20,0),"Lần " &amp; ROUNDUP(Q15/20,0),"")</f>
        <v/>
      </c>
      <c r="AC15" s="11">
        <f>IF(ROUNDUP(R15/20,0)&gt;ROUNDUP(R14/20,0),"Lần " &amp; ROUNDUP(R15/20,0),"")</f>
        <v/>
      </c>
      <c r="AD15" s="11">
        <f>IF(ROUNDUP(S15/20,0)&gt;ROUNDUP(S14/20,0),"Lần " &amp; ROUNDUP(S15/20,0),"")</f>
        <v/>
      </c>
      <c r="AE15" s="11">
        <f>IF(ROUNDUP(T15/20,0)&gt;ROUNDUP(T14/20,0),"Lần " &amp; ROUNDUP(T15/20,0),"")</f>
        <v/>
      </c>
      <c r="AF15" s="11">
        <f>IF(ROUNDUP(U15/20,0)&gt;ROUNDUP(U14/20,0),"Lần " &amp; ROUNDUP(U15/20,0),"")</f>
        <v/>
      </c>
      <c r="AG15" s="11">
        <f>IF(ROUNDUP(V15/20,0)&gt;ROUNDUP(V14/20,0),"Lần " &amp; ROUNDUP(V15/20,0),"")</f>
        <v/>
      </c>
      <c r="AH15" s="11">
        <f>IF(ROUNDUP(W15/20,0)&gt;ROUNDUP(W14/20,0),"Lần " &amp; ROUNDUP(W15/20,0),"")</f>
        <v/>
      </c>
      <c r="AI15" s="11">
        <f>IF(ROUNDUP(X15/20,0)&gt;ROUNDUP(X14/20,0),"Lần " &amp; ROUNDUP(X15/20,0),"")</f>
        <v/>
      </c>
      <c r="AJ15" s="11">
        <f>IF(ROUNDUP(Y15/20,0)&gt;ROUNDUP(Y14/20,0),"Lần " &amp; ROUNDUP(Y15/20,0),"")</f>
        <v/>
      </c>
      <c r="AK15" s="11">
        <f>IF(ROUNDUP(Z15/20,0)&gt;ROUNDUP(Z14/20,0),"Lần " &amp; ROUNDUP(Z15/20,0),"")</f>
        <v/>
      </c>
      <c r="AL15" s="6" t="n"/>
      <c r="AN15" t="inlineStr">
        <is>
          <t>Than</t>
        </is>
      </c>
      <c r="AO15" t="n">
        <v>50</v>
      </c>
    </row>
    <row r="16" ht="19" customHeight="1">
      <c r="A16" s="6" t="n">
        <v>13</v>
      </c>
      <c r="B16" s="7" t="inlineStr">
        <is>
          <t>Mố M1</t>
        </is>
      </c>
      <c r="C16" s="7" t="inlineStr">
        <is>
          <t>Mố M1 (tr.31)</t>
        </is>
      </c>
      <c r="D16" s="18" t="inlineStr">
        <is>
          <t>P3</t>
        </is>
      </c>
      <c r="E16" s="19" t="n">
        <v>16</v>
      </c>
      <c r="F16" s="6" t="inlineStr">
        <is>
          <t>CB400-V</t>
        </is>
      </c>
      <c r="G16" s="7" t="inlineStr">
        <is>
          <t>S57</t>
        </is>
      </c>
      <c r="H16" s="20" t="n">
        <v>2.071</v>
      </c>
      <c r="I16" s="21" t="n">
        <v>77</v>
      </c>
      <c r="J16" s="22" t="n">
        <v>1.578</v>
      </c>
      <c r="K16" s="9">
        <f>ROUND(H16*I16*J16, 2)</f>
        <v/>
      </c>
      <c r="L16" s="23">
        <f>ROUND(K16/1000, 3)</f>
        <v/>
      </c>
      <c r="M16" s="8">
        <f>IF(AO16="","",IF(INDEX(Theo_Doi_Tan_Suat_Be_Tong!$C:$C,AO16)="","",INDEX(Theo_Doi_Tan_Suat_Be_Tong!$C:$C,AO16)-VLOOKUP(AN16,$AQ$2:$AR$7,2,FALSE)))</f>
        <v/>
      </c>
      <c r="N16" s="6" t="n"/>
      <c r="O16" s="24">
        <f>IF(ROUNDUP(S16/20,0)&gt;ROUNDUP(S15/20,0),"TN Ø16 (Lần " &amp; ROUNDUP(S16/20,0) &amp; ")","")</f>
        <v/>
      </c>
      <c r="P16" s="20">
        <f>ROUND(P15+IF(AND(E16&lt;=10,F16&lt;&gt;"ASTM A416"),L16,0),3)</f>
        <v/>
      </c>
      <c r="Q16" s="20">
        <f>ROUND(Q15+IF(AND(E16=12,F16&lt;&gt;"ASTM A416"),L16,0),3)</f>
        <v/>
      </c>
      <c r="R16" s="20">
        <f>ROUND(R15+IF(AND(E16=14,F16&lt;&gt;"ASTM A416"),L16,0),3)</f>
        <v/>
      </c>
      <c r="S16" s="20">
        <f>ROUND(S15+IF(AND(E16=16,F16&lt;&gt;"ASTM A416"),L16,0),3)</f>
        <v/>
      </c>
      <c r="T16" s="20">
        <f>ROUND(T15+IF(AND(E16=18,F16&lt;&gt;"ASTM A416"),L16,0),3)</f>
        <v/>
      </c>
      <c r="U16" s="20">
        <f>ROUND(U15+IF(AND(E16=20,F16&lt;&gt;"ASTM A416"),L16,0),3)</f>
        <v/>
      </c>
      <c r="V16" s="20">
        <f>ROUND(V15+IF(AND(E16=22,F16&lt;&gt;"ASTM A416"),L16,0),3)</f>
        <v/>
      </c>
      <c r="W16" s="20">
        <f>ROUND(W15+IF(AND(E16=25,F16&lt;&gt;"ASTM A416"),L16,0),3)</f>
        <v/>
      </c>
      <c r="X16" s="20">
        <f>ROUND(X15+IF(AND(E16=28,F16&lt;&gt;"ASTM A416"),L16,0),3)</f>
        <v/>
      </c>
      <c r="Y16" s="20">
        <f>ROUND(Y15+IF(AND(E16=32,F16&lt;&gt;"ASTM A416"),L16,0),3)</f>
        <v/>
      </c>
      <c r="Z16" s="20">
        <f>ROUND(Z15+IF(F16="ASTM A416",L16,0),3)</f>
        <v/>
      </c>
      <c r="AA16" s="11">
        <f>IF(ROUNDUP(P16/20,0)&gt;ROUNDUP(P15/20,0),"Lần " &amp; ROUNDUP(P16/20,0),"")</f>
        <v/>
      </c>
      <c r="AB16" s="11">
        <f>IF(ROUNDUP(Q16/20,0)&gt;ROUNDUP(Q15/20,0),"Lần " &amp; ROUNDUP(Q16/20,0),"")</f>
        <v/>
      </c>
      <c r="AC16" s="11">
        <f>IF(ROUNDUP(R16/20,0)&gt;ROUNDUP(R15/20,0),"Lần " &amp; ROUNDUP(R16/20,0),"")</f>
        <v/>
      </c>
      <c r="AD16" s="11">
        <f>IF(ROUNDUP(S16/20,0)&gt;ROUNDUP(S15/20,0),"Lần " &amp; ROUNDUP(S16/20,0),"")</f>
        <v/>
      </c>
      <c r="AE16" s="11">
        <f>IF(ROUNDUP(T16/20,0)&gt;ROUNDUP(T15/20,0),"Lần " &amp; ROUNDUP(T16/20,0),"")</f>
        <v/>
      </c>
      <c r="AF16" s="11">
        <f>IF(ROUNDUP(U16/20,0)&gt;ROUNDUP(U15/20,0),"Lần " &amp; ROUNDUP(U16/20,0),"")</f>
        <v/>
      </c>
      <c r="AG16" s="11">
        <f>IF(ROUNDUP(V16/20,0)&gt;ROUNDUP(V15/20,0),"Lần " &amp; ROUNDUP(V16/20,0),"")</f>
        <v/>
      </c>
      <c r="AH16" s="11">
        <f>IF(ROUNDUP(W16/20,0)&gt;ROUNDUP(W15/20,0),"Lần " &amp; ROUNDUP(W16/20,0),"")</f>
        <v/>
      </c>
      <c r="AI16" s="11">
        <f>IF(ROUNDUP(X16/20,0)&gt;ROUNDUP(X15/20,0),"Lần " &amp; ROUNDUP(X16/20,0),"")</f>
        <v/>
      </c>
      <c r="AJ16" s="11">
        <f>IF(ROUNDUP(Y16/20,0)&gt;ROUNDUP(Y15/20,0),"Lần " &amp; ROUNDUP(Y16/20,0),"")</f>
        <v/>
      </c>
      <c r="AK16" s="11">
        <f>IF(ROUNDUP(Z16/20,0)&gt;ROUNDUP(Z15/20,0),"Lần " &amp; ROUNDUP(Z16/20,0),"")</f>
        <v/>
      </c>
      <c r="AL16" s="6" t="n"/>
      <c r="AN16" t="inlineStr">
        <is>
          <t>Than</t>
        </is>
      </c>
      <c r="AO16" t="n">
        <v>50</v>
      </c>
    </row>
    <row r="17" ht="19" customHeight="1">
      <c r="A17" s="6" t="n">
        <v>14</v>
      </c>
      <c r="B17" s="7" t="inlineStr">
        <is>
          <t>Mố M1</t>
        </is>
      </c>
      <c r="C17" s="7" t="inlineStr">
        <is>
          <t>Mố M1 (tr.31)</t>
        </is>
      </c>
      <c r="D17" s="18" t="inlineStr">
        <is>
          <t>P4</t>
        </is>
      </c>
      <c r="E17" s="19" t="n">
        <v>12</v>
      </c>
      <c r="F17" s="6" t="inlineStr">
        <is>
          <t>CB400-V</t>
        </is>
      </c>
      <c r="G17" s="7" t="inlineStr"/>
      <c r="H17" s="20" t="n">
        <v>0.555</v>
      </c>
      <c r="I17" s="21" t="n">
        <v>95</v>
      </c>
      <c r="J17" s="22" t="n">
        <v>0.888</v>
      </c>
      <c r="K17" s="9">
        <f>ROUND(H17*I17*J17, 2)</f>
        <v/>
      </c>
      <c r="L17" s="23">
        <f>ROUND(K17/1000, 3)</f>
        <v/>
      </c>
      <c r="M17" s="8">
        <f>IF(AO17="","",IF(INDEX(Theo_Doi_Tan_Suat_Be_Tong!$C:$C,AO17)="","",INDEX(Theo_Doi_Tan_Suat_Be_Tong!$C:$C,AO17)-VLOOKUP(AN17,$AQ$2:$AR$7,2,FALSE)))</f>
        <v/>
      </c>
      <c r="N17" s="6" t="n"/>
      <c r="O17" s="24">
        <f>IF(ROUNDUP(Q17/20,0)&gt;ROUNDUP(Q16/20,0),"TN Ø12 (Lần " &amp; ROUNDUP(Q17/20,0) &amp; ")","")</f>
        <v/>
      </c>
      <c r="P17" s="20">
        <f>ROUND(P16+IF(AND(E17&lt;=10,F17&lt;&gt;"ASTM A416"),L17,0),3)</f>
        <v/>
      </c>
      <c r="Q17" s="20">
        <f>ROUND(Q16+IF(AND(E17=12,F17&lt;&gt;"ASTM A416"),L17,0),3)</f>
        <v/>
      </c>
      <c r="R17" s="20">
        <f>ROUND(R16+IF(AND(E17=14,F17&lt;&gt;"ASTM A416"),L17,0),3)</f>
        <v/>
      </c>
      <c r="S17" s="20">
        <f>ROUND(S16+IF(AND(E17=16,F17&lt;&gt;"ASTM A416"),L17,0),3)</f>
        <v/>
      </c>
      <c r="T17" s="20">
        <f>ROUND(T16+IF(AND(E17=18,F17&lt;&gt;"ASTM A416"),L17,0),3)</f>
        <v/>
      </c>
      <c r="U17" s="20">
        <f>ROUND(U16+IF(AND(E17=20,F17&lt;&gt;"ASTM A416"),L17,0),3)</f>
        <v/>
      </c>
      <c r="V17" s="20">
        <f>ROUND(V16+IF(AND(E17=22,F17&lt;&gt;"ASTM A416"),L17,0),3)</f>
        <v/>
      </c>
      <c r="W17" s="20">
        <f>ROUND(W16+IF(AND(E17=25,F17&lt;&gt;"ASTM A416"),L17,0),3)</f>
        <v/>
      </c>
      <c r="X17" s="20">
        <f>ROUND(X16+IF(AND(E17=28,F17&lt;&gt;"ASTM A416"),L17,0),3)</f>
        <v/>
      </c>
      <c r="Y17" s="20">
        <f>ROUND(Y16+IF(AND(E17=32,F17&lt;&gt;"ASTM A416"),L17,0),3)</f>
        <v/>
      </c>
      <c r="Z17" s="20">
        <f>ROUND(Z16+IF(F17="ASTM A416",L17,0),3)</f>
        <v/>
      </c>
      <c r="AA17" s="11">
        <f>IF(ROUNDUP(P17/20,0)&gt;ROUNDUP(P16/20,0),"Lần " &amp; ROUNDUP(P17/20,0),"")</f>
        <v/>
      </c>
      <c r="AB17" s="11">
        <f>IF(ROUNDUP(Q17/20,0)&gt;ROUNDUP(Q16/20,0),"Lần " &amp; ROUNDUP(Q17/20,0),"")</f>
        <v/>
      </c>
      <c r="AC17" s="11">
        <f>IF(ROUNDUP(R17/20,0)&gt;ROUNDUP(R16/20,0),"Lần " &amp; ROUNDUP(R17/20,0),"")</f>
        <v/>
      </c>
      <c r="AD17" s="11">
        <f>IF(ROUNDUP(S17/20,0)&gt;ROUNDUP(S16/20,0),"Lần " &amp; ROUNDUP(S17/20,0),"")</f>
        <v/>
      </c>
      <c r="AE17" s="11">
        <f>IF(ROUNDUP(T17/20,0)&gt;ROUNDUP(T16/20,0),"Lần " &amp; ROUNDUP(T17/20,0),"")</f>
        <v/>
      </c>
      <c r="AF17" s="11">
        <f>IF(ROUNDUP(U17/20,0)&gt;ROUNDUP(U16/20,0),"Lần " &amp; ROUNDUP(U17/20,0),"")</f>
        <v/>
      </c>
      <c r="AG17" s="11">
        <f>IF(ROUNDUP(V17/20,0)&gt;ROUNDUP(V16/20,0),"Lần " &amp; ROUNDUP(V17/20,0),"")</f>
        <v/>
      </c>
      <c r="AH17" s="11">
        <f>IF(ROUNDUP(W17/20,0)&gt;ROUNDUP(W16/20,0),"Lần " &amp; ROUNDUP(W17/20,0),"")</f>
        <v/>
      </c>
      <c r="AI17" s="11">
        <f>IF(ROUNDUP(X17/20,0)&gt;ROUNDUP(X16/20,0),"Lần " &amp; ROUNDUP(X17/20,0),"")</f>
        <v/>
      </c>
      <c r="AJ17" s="11">
        <f>IF(ROUNDUP(Y17/20,0)&gt;ROUNDUP(Y16/20,0),"Lần " &amp; ROUNDUP(Y17/20,0),"")</f>
        <v/>
      </c>
      <c r="AK17" s="11">
        <f>IF(ROUNDUP(Z17/20,0)&gt;ROUNDUP(Z16/20,0),"Lần " &amp; ROUNDUP(Z17/20,0),"")</f>
        <v/>
      </c>
      <c r="AL17" s="6" t="n"/>
      <c r="AN17" t="inlineStr">
        <is>
          <t>Than</t>
        </is>
      </c>
      <c r="AO17" t="n">
        <v>50</v>
      </c>
    </row>
    <row r="18" ht="19" customHeight="1">
      <c r="A18" s="6" t="n">
        <v>15</v>
      </c>
      <c r="B18" s="7" t="inlineStr">
        <is>
          <t>Mố M1</t>
        </is>
      </c>
      <c r="C18" s="7" t="inlineStr">
        <is>
          <t>Mố M1 (tr.31)</t>
        </is>
      </c>
      <c r="D18" s="18" t="inlineStr">
        <is>
          <t>H1</t>
        </is>
      </c>
      <c r="E18" s="19" t="n">
        <v>25</v>
      </c>
      <c r="F18" s="6" t="inlineStr">
        <is>
          <t>CB240-T</t>
        </is>
      </c>
      <c r="G18" s="7" t="inlineStr">
        <is>
          <t>S05</t>
        </is>
      </c>
      <c r="H18" s="20" t="n">
        <v>1.07</v>
      </c>
      <c r="I18" s="21" t="n">
        <v>23</v>
      </c>
      <c r="J18" s="22" t="n">
        <v>3.853</v>
      </c>
      <c r="K18" s="9">
        <f>ROUND(H18*I18*J18, 2)</f>
        <v/>
      </c>
      <c r="L18" s="23">
        <f>ROUND(K18/1000, 3)</f>
        <v/>
      </c>
      <c r="M18" s="8">
        <f>IF(AO18="","",IF(INDEX(Theo_Doi_Tan_Suat_Be_Tong!$C:$C,AO18)="","",INDEX(Theo_Doi_Tan_Suat_Be_Tong!$C:$C,AO18)-VLOOKUP(AN18,$AQ$2:$AR$7,2,FALSE)))</f>
        <v/>
      </c>
      <c r="N18" s="6" t="n"/>
      <c r="O18" s="24">
        <f>IF(ROUNDUP(W18/20,0)&gt;ROUNDUP(W17/20,0),"TN Ø25 (Lần " &amp; ROUNDUP(W18/20,0) &amp; ")","")</f>
        <v/>
      </c>
      <c r="P18" s="20">
        <f>ROUND(P17+IF(AND(E18&lt;=10,F18&lt;&gt;"ASTM A416"),L18,0),3)</f>
        <v/>
      </c>
      <c r="Q18" s="20">
        <f>ROUND(Q17+IF(AND(E18=12,F18&lt;&gt;"ASTM A416"),L18,0),3)</f>
        <v/>
      </c>
      <c r="R18" s="20">
        <f>ROUND(R17+IF(AND(E18=14,F18&lt;&gt;"ASTM A416"),L18,0),3)</f>
        <v/>
      </c>
      <c r="S18" s="20">
        <f>ROUND(S17+IF(AND(E18=16,F18&lt;&gt;"ASTM A416"),L18,0),3)</f>
        <v/>
      </c>
      <c r="T18" s="20">
        <f>ROUND(T17+IF(AND(E18=18,F18&lt;&gt;"ASTM A416"),L18,0),3)</f>
        <v/>
      </c>
      <c r="U18" s="20">
        <f>ROUND(U17+IF(AND(E18=20,F18&lt;&gt;"ASTM A416"),L18,0),3)</f>
        <v/>
      </c>
      <c r="V18" s="20">
        <f>ROUND(V17+IF(AND(E18=22,F18&lt;&gt;"ASTM A416"),L18,0),3)</f>
        <v/>
      </c>
      <c r="W18" s="20">
        <f>ROUND(W17+IF(AND(E18=25,F18&lt;&gt;"ASTM A416"),L18,0),3)</f>
        <v/>
      </c>
      <c r="X18" s="20">
        <f>ROUND(X17+IF(AND(E18=28,F18&lt;&gt;"ASTM A416"),L18,0),3)</f>
        <v/>
      </c>
      <c r="Y18" s="20">
        <f>ROUND(Y17+IF(AND(E18=32,F18&lt;&gt;"ASTM A416"),L18,0),3)</f>
        <v/>
      </c>
      <c r="Z18" s="20">
        <f>ROUND(Z17+IF(F18="ASTM A416",L18,0),3)</f>
        <v/>
      </c>
      <c r="AA18" s="11">
        <f>IF(ROUNDUP(P18/20,0)&gt;ROUNDUP(P17/20,0),"Lần " &amp; ROUNDUP(P18/20,0),"")</f>
        <v/>
      </c>
      <c r="AB18" s="11">
        <f>IF(ROUNDUP(Q18/20,0)&gt;ROUNDUP(Q17/20,0),"Lần " &amp; ROUNDUP(Q18/20,0),"")</f>
        <v/>
      </c>
      <c r="AC18" s="11">
        <f>IF(ROUNDUP(R18/20,0)&gt;ROUNDUP(R17/20,0),"Lần " &amp; ROUNDUP(R18/20,0),"")</f>
        <v/>
      </c>
      <c r="AD18" s="11">
        <f>IF(ROUNDUP(S18/20,0)&gt;ROUNDUP(S17/20,0),"Lần " &amp; ROUNDUP(S18/20,0),"")</f>
        <v/>
      </c>
      <c r="AE18" s="11">
        <f>IF(ROUNDUP(T18/20,0)&gt;ROUNDUP(T17/20,0),"Lần " &amp; ROUNDUP(T18/20,0),"")</f>
        <v/>
      </c>
      <c r="AF18" s="11">
        <f>IF(ROUNDUP(U18/20,0)&gt;ROUNDUP(U17/20,0),"Lần " &amp; ROUNDUP(U18/20,0),"")</f>
        <v/>
      </c>
      <c r="AG18" s="11">
        <f>IF(ROUNDUP(V18/20,0)&gt;ROUNDUP(V17/20,0),"Lần " &amp; ROUNDUP(V18/20,0),"")</f>
        <v/>
      </c>
      <c r="AH18" s="11">
        <f>IF(ROUNDUP(W18/20,0)&gt;ROUNDUP(W17/20,0),"Lần " &amp; ROUNDUP(W18/20,0),"")</f>
        <v/>
      </c>
      <c r="AI18" s="11">
        <f>IF(ROUNDUP(X18/20,0)&gt;ROUNDUP(X17/20,0),"Lần " &amp; ROUNDUP(X18/20,0),"")</f>
        <v/>
      </c>
      <c r="AJ18" s="11">
        <f>IF(ROUNDUP(Y18/20,0)&gt;ROUNDUP(Y17/20,0),"Lần " &amp; ROUNDUP(Y18/20,0),"")</f>
        <v/>
      </c>
      <c r="AK18" s="11">
        <f>IF(ROUNDUP(Z18/20,0)&gt;ROUNDUP(Z17/20,0),"Lần " &amp; ROUNDUP(Z18/20,0),"")</f>
        <v/>
      </c>
      <c r="AL18" s="6" t="n"/>
      <c r="AN18" t="inlineStr">
        <is>
          <t>Than</t>
        </is>
      </c>
      <c r="AO18" t="n">
        <v>50</v>
      </c>
    </row>
    <row r="19" ht="20" customHeight="1">
      <c r="A19" s="6" t="n">
        <v>16</v>
      </c>
      <c r="B19" s="7" t="inlineStr">
        <is>
          <t>Mố M1</t>
        </is>
      </c>
      <c r="C19" s="7" t="inlineStr">
        <is>
          <t>Mố M1 (tr.31)</t>
        </is>
      </c>
      <c r="D19" s="18" t="inlineStr">
        <is>
          <t>H2</t>
        </is>
      </c>
      <c r="E19" s="19" t="n">
        <v>8</v>
      </c>
      <c r="F19" s="6" t="inlineStr">
        <is>
          <t>CB240-T</t>
        </is>
      </c>
      <c r="G19" s="7" t="inlineStr">
        <is>
          <t>S32</t>
        </is>
      </c>
      <c r="H19" s="20" t="n">
        <v>2.132</v>
      </c>
      <c r="I19" s="21" t="n">
        <v>23</v>
      </c>
      <c r="J19" s="22" t="n">
        <v>0.395</v>
      </c>
      <c r="K19" s="9">
        <f>ROUND(H19*I19*J19, 2)</f>
        <v/>
      </c>
      <c r="L19" s="23">
        <f>ROUND(K19/1000, 3)</f>
        <v/>
      </c>
      <c r="M19" s="8">
        <f>IF(AO19="","",IF(INDEX(Theo_Doi_Tan_Suat_Be_Tong!$C:$C,AO19)="","",INDEX(Theo_Doi_Tan_Suat_Be_Tong!$C:$C,AO19)-VLOOKUP(AN19,$AQ$2:$AR$7,2,FALSE)))</f>
        <v/>
      </c>
      <c r="N19" s="6" t="n"/>
      <c r="O19" s="24">
        <f>IF(ROUNDUP(P19/20,0)&gt;ROUNDUP(P18/20,0),"TN Ø10 (Lần " &amp; ROUNDUP(P19/20,0) &amp; ")","")</f>
        <v/>
      </c>
      <c r="P19" s="20">
        <f>ROUND(P18+IF(AND(E19&lt;=10,F19&lt;&gt;"ASTM A416"),L19,0),3)</f>
        <v/>
      </c>
      <c r="Q19" s="20">
        <f>ROUND(Q18+IF(AND(E19=12,F19&lt;&gt;"ASTM A416"),L19,0),3)</f>
        <v/>
      </c>
      <c r="R19" s="20">
        <f>ROUND(R18+IF(AND(E19=14,F19&lt;&gt;"ASTM A416"),L19,0),3)</f>
        <v/>
      </c>
      <c r="S19" s="20">
        <f>ROUND(S18+IF(AND(E19=16,F19&lt;&gt;"ASTM A416"),L19,0),3)</f>
        <v/>
      </c>
      <c r="T19" s="20">
        <f>ROUND(T18+IF(AND(E19=18,F19&lt;&gt;"ASTM A416"),L19,0),3)</f>
        <v/>
      </c>
      <c r="U19" s="20">
        <f>ROUND(U18+IF(AND(E19=20,F19&lt;&gt;"ASTM A416"),L19,0),3)</f>
        <v/>
      </c>
      <c r="V19" s="20">
        <f>ROUND(V18+IF(AND(E19=22,F19&lt;&gt;"ASTM A416"),L19,0),3)</f>
        <v/>
      </c>
      <c r="W19" s="20">
        <f>ROUND(W18+IF(AND(E19=25,F19&lt;&gt;"ASTM A416"),L19,0),3)</f>
        <v/>
      </c>
      <c r="X19" s="20">
        <f>ROUND(X18+IF(AND(E19=28,F19&lt;&gt;"ASTM A416"),L19,0),3)</f>
        <v/>
      </c>
      <c r="Y19" s="20">
        <f>ROUND(Y18+IF(AND(E19=32,F19&lt;&gt;"ASTM A416"),L19,0),3)</f>
        <v/>
      </c>
      <c r="Z19" s="20">
        <f>ROUND(Z18+IF(F19="ASTM A416",L19,0),3)</f>
        <v/>
      </c>
      <c r="AA19" s="11">
        <f>IF(ROUNDUP(P19/20,0)&gt;ROUNDUP(P18/20,0),"Lần " &amp; ROUNDUP(P19/20,0),"")</f>
        <v/>
      </c>
      <c r="AB19" s="11">
        <f>IF(ROUNDUP(Q19/20,0)&gt;ROUNDUP(Q18/20,0),"Lần " &amp; ROUNDUP(Q19/20,0),"")</f>
        <v/>
      </c>
      <c r="AC19" s="11">
        <f>IF(ROUNDUP(R19/20,0)&gt;ROUNDUP(R18/20,0),"Lần " &amp; ROUNDUP(R19/20,0),"")</f>
        <v/>
      </c>
      <c r="AD19" s="11">
        <f>IF(ROUNDUP(S19/20,0)&gt;ROUNDUP(S18/20,0),"Lần " &amp; ROUNDUP(S19/20,0),"")</f>
        <v/>
      </c>
      <c r="AE19" s="11">
        <f>IF(ROUNDUP(T19/20,0)&gt;ROUNDUP(T18/20,0),"Lần " &amp; ROUNDUP(T19/20,0),"")</f>
        <v/>
      </c>
      <c r="AF19" s="11">
        <f>IF(ROUNDUP(U19/20,0)&gt;ROUNDUP(U18/20,0),"Lần " &amp; ROUNDUP(U19/20,0),"")</f>
        <v/>
      </c>
      <c r="AG19" s="11">
        <f>IF(ROUNDUP(V19/20,0)&gt;ROUNDUP(V18/20,0),"Lần " &amp; ROUNDUP(V19/20,0),"")</f>
        <v/>
      </c>
      <c r="AH19" s="11">
        <f>IF(ROUNDUP(W19/20,0)&gt;ROUNDUP(W18/20,0),"Lần " &amp; ROUNDUP(W19/20,0),"")</f>
        <v/>
      </c>
      <c r="AI19" s="11">
        <f>IF(ROUNDUP(X19/20,0)&gt;ROUNDUP(X18/20,0),"Lần " &amp; ROUNDUP(X19/20,0),"")</f>
        <v/>
      </c>
      <c r="AJ19" s="11">
        <f>IF(ROUNDUP(Y19/20,0)&gt;ROUNDUP(Y18/20,0),"Lần " &amp; ROUNDUP(Y19/20,0),"")</f>
        <v/>
      </c>
      <c r="AK19" s="11">
        <f>IF(ROUNDUP(Z19/20,0)&gt;ROUNDUP(Z18/20,0),"Lần " &amp; ROUNDUP(Z19/20,0),"")</f>
        <v/>
      </c>
      <c r="AL19" s="6" t="n"/>
      <c r="AN19" t="inlineStr">
        <is>
          <t>Than</t>
        </is>
      </c>
      <c r="AO19" t="n">
        <v>50</v>
      </c>
    </row>
    <row r="20" ht="19" customHeight="1">
      <c r="A20" s="6" t="n">
        <v>17</v>
      </c>
      <c r="B20" s="7" t="inlineStr">
        <is>
          <t>Mố M1</t>
        </is>
      </c>
      <c r="C20" s="7" t="inlineStr">
        <is>
          <t>Mố M1 (tr.31)</t>
        </is>
      </c>
      <c r="D20" s="18" t="inlineStr">
        <is>
          <t>W1A(T)</t>
        </is>
      </c>
      <c r="E20" s="19" t="n">
        <v>16</v>
      </c>
      <c r="F20" s="6" t="inlineStr">
        <is>
          <t>CB400-V</t>
        </is>
      </c>
      <c r="G20" s="7" t="inlineStr"/>
      <c r="H20" s="20" t="n">
        <v>3.436</v>
      </c>
      <c r="I20" s="21" t="n">
        <v>12</v>
      </c>
      <c r="J20" s="22" t="n">
        <v>1.578</v>
      </c>
      <c r="K20" s="9">
        <f>ROUND(H20*I20*J20, 2)</f>
        <v/>
      </c>
      <c r="L20" s="23">
        <f>ROUND(K20/1000, 3)</f>
        <v/>
      </c>
      <c r="M20" s="8">
        <f>IF(AO20="","",IF(INDEX(Theo_Doi_Tan_Suat_Be_Tong!$C:$C,AO20)="","",INDEX(Theo_Doi_Tan_Suat_Be_Tong!$C:$C,AO20)-VLOOKUP(AN20,$AQ$2:$AR$7,2,FALSE)))</f>
        <v/>
      </c>
      <c r="N20" s="6" t="n"/>
      <c r="O20" s="24">
        <f>IF(ROUNDUP(S20/20,0)&gt;ROUNDUP(S19/20,0),"TN Ø16 (Lần " &amp; ROUNDUP(S20/20,0) &amp; ")","")</f>
        <v/>
      </c>
      <c r="P20" s="20">
        <f>ROUND(P19+IF(AND(E20&lt;=10,F20&lt;&gt;"ASTM A416"),L20,0),3)</f>
        <v/>
      </c>
      <c r="Q20" s="20">
        <f>ROUND(Q19+IF(AND(E20=12,F20&lt;&gt;"ASTM A416"),L20,0),3)</f>
        <v/>
      </c>
      <c r="R20" s="20">
        <f>ROUND(R19+IF(AND(E20=14,F20&lt;&gt;"ASTM A416"),L20,0),3)</f>
        <v/>
      </c>
      <c r="S20" s="20">
        <f>ROUND(S19+IF(AND(E20=16,F20&lt;&gt;"ASTM A416"),L20,0),3)</f>
        <v/>
      </c>
      <c r="T20" s="20">
        <f>ROUND(T19+IF(AND(E20=18,F20&lt;&gt;"ASTM A416"),L20,0),3)</f>
        <v/>
      </c>
      <c r="U20" s="20">
        <f>ROUND(U19+IF(AND(E20=20,F20&lt;&gt;"ASTM A416"),L20,0),3)</f>
        <v/>
      </c>
      <c r="V20" s="20">
        <f>ROUND(V19+IF(AND(E20=22,F20&lt;&gt;"ASTM A416"),L20,0),3)</f>
        <v/>
      </c>
      <c r="W20" s="20">
        <f>ROUND(W19+IF(AND(E20=25,F20&lt;&gt;"ASTM A416"),L20,0),3)</f>
        <v/>
      </c>
      <c r="X20" s="20">
        <f>ROUND(X19+IF(AND(E20=28,F20&lt;&gt;"ASTM A416"),L20,0),3)</f>
        <v/>
      </c>
      <c r="Y20" s="20">
        <f>ROUND(Y19+IF(AND(E20=32,F20&lt;&gt;"ASTM A416"),L20,0),3)</f>
        <v/>
      </c>
      <c r="Z20" s="20">
        <f>ROUND(Z19+IF(F20="ASTM A416",L20,0),3)</f>
        <v/>
      </c>
      <c r="AA20" s="11">
        <f>IF(ROUNDUP(P20/20,0)&gt;ROUNDUP(P19/20,0),"Lần " &amp; ROUNDUP(P20/20,0),"")</f>
        <v/>
      </c>
      <c r="AB20" s="11">
        <f>IF(ROUNDUP(Q20/20,0)&gt;ROUNDUP(Q19/20,0),"Lần " &amp; ROUNDUP(Q20/20,0),"")</f>
        <v/>
      </c>
      <c r="AC20" s="11">
        <f>IF(ROUNDUP(R20/20,0)&gt;ROUNDUP(R19/20,0),"Lần " &amp; ROUNDUP(R20/20,0),"")</f>
        <v/>
      </c>
      <c r="AD20" s="11">
        <f>IF(ROUNDUP(S20/20,0)&gt;ROUNDUP(S19/20,0),"Lần " &amp; ROUNDUP(S20/20,0),"")</f>
        <v/>
      </c>
      <c r="AE20" s="11">
        <f>IF(ROUNDUP(T20/20,0)&gt;ROUNDUP(T19/20,0),"Lần " &amp; ROUNDUP(T20/20,0),"")</f>
        <v/>
      </c>
      <c r="AF20" s="11">
        <f>IF(ROUNDUP(U20/20,0)&gt;ROUNDUP(U19/20,0),"Lần " &amp; ROUNDUP(U20/20,0),"")</f>
        <v/>
      </c>
      <c r="AG20" s="11">
        <f>IF(ROUNDUP(V20/20,0)&gt;ROUNDUP(V19/20,0),"Lần " &amp; ROUNDUP(V20/20,0),"")</f>
        <v/>
      </c>
      <c r="AH20" s="11">
        <f>IF(ROUNDUP(W20/20,0)&gt;ROUNDUP(W19/20,0),"Lần " &amp; ROUNDUP(W20/20,0),"")</f>
        <v/>
      </c>
      <c r="AI20" s="11">
        <f>IF(ROUNDUP(X20/20,0)&gt;ROUNDUP(X19/20,0),"Lần " &amp; ROUNDUP(X20/20,0),"")</f>
        <v/>
      </c>
      <c r="AJ20" s="11">
        <f>IF(ROUNDUP(Y20/20,0)&gt;ROUNDUP(Y19/20,0),"Lần " &amp; ROUNDUP(Y20/20,0),"")</f>
        <v/>
      </c>
      <c r="AK20" s="11">
        <f>IF(ROUNDUP(Z20/20,0)&gt;ROUNDUP(Z19/20,0),"Lần " &amp; ROUNDUP(Z20/20,0),"")</f>
        <v/>
      </c>
      <c r="AL20" s="6" t="n"/>
      <c r="AN20" t="inlineStr">
        <is>
          <t>Than</t>
        </is>
      </c>
      <c r="AO20" t="n">
        <v>50</v>
      </c>
    </row>
    <row r="21" ht="19" customHeight="1">
      <c r="A21" s="6" t="n">
        <v>18</v>
      </c>
      <c r="B21" s="7" t="inlineStr">
        <is>
          <t>Mố M1</t>
        </is>
      </c>
      <c r="C21" s="7" t="inlineStr">
        <is>
          <t>Mố M1 (tr.31)</t>
        </is>
      </c>
      <c r="D21" s="18" t="inlineStr">
        <is>
          <t>W1B(T</t>
        </is>
      </c>
      <c r="E21" s="19" t="n">
        <v>16</v>
      </c>
      <c r="F21" s="6" t="inlineStr">
        <is>
          <t>CB400-V</t>
        </is>
      </c>
      <c r="G21" s="7" t="inlineStr"/>
      <c r="H21" s="20" t="n">
        <v>3.061</v>
      </c>
      <c r="I21" s="21" t="n">
        <v>3</v>
      </c>
      <c r="J21" s="22" t="n">
        <v>1.578</v>
      </c>
      <c r="K21" s="9">
        <f>ROUND(H21*I21*J21, 2)</f>
        <v/>
      </c>
      <c r="L21" s="23">
        <f>ROUND(K21/1000, 3)</f>
        <v/>
      </c>
      <c r="M21" s="8">
        <f>IF(AO21="","",IF(INDEX(Theo_Doi_Tan_Suat_Be_Tong!$C:$C,AO21)="","",INDEX(Theo_Doi_Tan_Suat_Be_Tong!$C:$C,AO21)-VLOOKUP(AN21,$AQ$2:$AR$7,2,FALSE)))</f>
        <v/>
      </c>
      <c r="N21" s="6" t="n"/>
      <c r="O21" s="24">
        <f>IF(ROUNDUP(S21/20,0)&gt;ROUNDUP(S20/20,0),"TN Ø16 (Lần " &amp; ROUNDUP(S21/20,0) &amp; ")","")</f>
        <v/>
      </c>
      <c r="P21" s="20">
        <f>ROUND(P20+IF(AND(E21&lt;=10,F21&lt;&gt;"ASTM A416"),L21,0),3)</f>
        <v/>
      </c>
      <c r="Q21" s="20">
        <f>ROUND(Q20+IF(AND(E21=12,F21&lt;&gt;"ASTM A416"),L21,0),3)</f>
        <v/>
      </c>
      <c r="R21" s="20">
        <f>ROUND(R20+IF(AND(E21=14,F21&lt;&gt;"ASTM A416"),L21,0),3)</f>
        <v/>
      </c>
      <c r="S21" s="20">
        <f>ROUND(S20+IF(AND(E21=16,F21&lt;&gt;"ASTM A416"),L21,0),3)</f>
        <v/>
      </c>
      <c r="T21" s="20">
        <f>ROUND(T20+IF(AND(E21=18,F21&lt;&gt;"ASTM A416"),L21,0),3)</f>
        <v/>
      </c>
      <c r="U21" s="20">
        <f>ROUND(U20+IF(AND(E21=20,F21&lt;&gt;"ASTM A416"),L21,0),3)</f>
        <v/>
      </c>
      <c r="V21" s="20">
        <f>ROUND(V20+IF(AND(E21=22,F21&lt;&gt;"ASTM A416"),L21,0),3)</f>
        <v/>
      </c>
      <c r="W21" s="20">
        <f>ROUND(W20+IF(AND(E21=25,F21&lt;&gt;"ASTM A416"),L21,0),3)</f>
        <v/>
      </c>
      <c r="X21" s="20">
        <f>ROUND(X20+IF(AND(E21=28,F21&lt;&gt;"ASTM A416"),L21,0),3)</f>
        <v/>
      </c>
      <c r="Y21" s="20">
        <f>ROUND(Y20+IF(AND(E21=32,F21&lt;&gt;"ASTM A416"),L21,0),3)</f>
        <v/>
      </c>
      <c r="Z21" s="20">
        <f>ROUND(Z20+IF(F21="ASTM A416",L21,0),3)</f>
        <v/>
      </c>
      <c r="AA21" s="11">
        <f>IF(ROUNDUP(P21/20,0)&gt;ROUNDUP(P20/20,0),"Lần " &amp; ROUNDUP(P21/20,0),"")</f>
        <v/>
      </c>
      <c r="AB21" s="11">
        <f>IF(ROUNDUP(Q21/20,0)&gt;ROUNDUP(Q20/20,0),"Lần " &amp; ROUNDUP(Q21/20,0),"")</f>
        <v/>
      </c>
      <c r="AC21" s="11">
        <f>IF(ROUNDUP(R21/20,0)&gt;ROUNDUP(R20/20,0),"Lần " &amp; ROUNDUP(R21/20,0),"")</f>
        <v/>
      </c>
      <c r="AD21" s="11">
        <f>IF(ROUNDUP(S21/20,0)&gt;ROUNDUP(S20/20,0),"Lần " &amp; ROUNDUP(S21/20,0),"")</f>
        <v/>
      </c>
      <c r="AE21" s="11">
        <f>IF(ROUNDUP(T21/20,0)&gt;ROUNDUP(T20/20,0),"Lần " &amp; ROUNDUP(T21/20,0),"")</f>
        <v/>
      </c>
      <c r="AF21" s="11">
        <f>IF(ROUNDUP(U21/20,0)&gt;ROUNDUP(U20/20,0),"Lần " &amp; ROUNDUP(U21/20,0),"")</f>
        <v/>
      </c>
      <c r="AG21" s="11">
        <f>IF(ROUNDUP(V21/20,0)&gt;ROUNDUP(V20/20,0),"Lần " &amp; ROUNDUP(V21/20,0),"")</f>
        <v/>
      </c>
      <c r="AH21" s="11">
        <f>IF(ROUNDUP(W21/20,0)&gt;ROUNDUP(W20/20,0),"Lần " &amp; ROUNDUP(W21/20,0),"")</f>
        <v/>
      </c>
      <c r="AI21" s="11">
        <f>IF(ROUNDUP(X21/20,0)&gt;ROUNDUP(X20/20,0),"Lần " &amp; ROUNDUP(X21/20,0),"")</f>
        <v/>
      </c>
      <c r="AJ21" s="11">
        <f>IF(ROUNDUP(Y21/20,0)&gt;ROUNDUP(Y20/20,0),"Lần " &amp; ROUNDUP(Y21/20,0),"")</f>
        <v/>
      </c>
      <c r="AK21" s="11">
        <f>IF(ROUNDUP(Z21/20,0)&gt;ROUNDUP(Z20/20,0),"Lần " &amp; ROUNDUP(Z21/20,0),"")</f>
        <v/>
      </c>
      <c r="AL21" s="6" t="n"/>
      <c r="AN21" t="inlineStr">
        <is>
          <t>Than</t>
        </is>
      </c>
      <c r="AO21" t="n">
        <v>50</v>
      </c>
    </row>
    <row r="22" ht="19" customHeight="1">
      <c r="A22" s="6" t="n">
        <v>19</v>
      </c>
      <c r="B22" s="7" t="inlineStr">
        <is>
          <t>Mố M1</t>
        </is>
      </c>
      <c r="C22" s="7" t="inlineStr">
        <is>
          <t>Mố M1 (tr.31)</t>
        </is>
      </c>
      <c r="D22" s="18" t="inlineStr">
        <is>
          <t>W1C(T</t>
        </is>
      </c>
      <c r="E22" s="19" t="n">
        <v>16</v>
      </c>
      <c r="F22" s="6" t="inlineStr">
        <is>
          <t>CB400-V</t>
        </is>
      </c>
      <c r="G22" s="7" t="inlineStr"/>
      <c r="H22" s="20" t="n">
        <v>3.332</v>
      </c>
      <c r="I22" s="21" t="n">
        <v>10</v>
      </c>
      <c r="J22" s="22" t="n">
        <v>1.578</v>
      </c>
      <c r="K22" s="9">
        <f>ROUND(H22*I22*J22, 2)</f>
        <v/>
      </c>
      <c r="L22" s="23">
        <f>ROUND(K22/1000, 3)</f>
        <v/>
      </c>
      <c r="M22" s="8">
        <f>IF(AO22="","",IF(INDEX(Theo_Doi_Tan_Suat_Be_Tong!$C:$C,AO22)="","",INDEX(Theo_Doi_Tan_Suat_Be_Tong!$C:$C,AO22)-VLOOKUP(AN22,$AQ$2:$AR$7,2,FALSE)))</f>
        <v/>
      </c>
      <c r="N22" s="6" t="n"/>
      <c r="O22" s="24">
        <f>IF(ROUNDUP(S22/20,0)&gt;ROUNDUP(S21/20,0),"TN Ø16 (Lần " &amp; ROUNDUP(S22/20,0) &amp; ")","")</f>
        <v/>
      </c>
      <c r="P22" s="20">
        <f>ROUND(P21+IF(AND(E22&lt;=10,F22&lt;&gt;"ASTM A416"),L22,0),3)</f>
        <v/>
      </c>
      <c r="Q22" s="20">
        <f>ROUND(Q21+IF(AND(E22=12,F22&lt;&gt;"ASTM A416"),L22,0),3)</f>
        <v/>
      </c>
      <c r="R22" s="20">
        <f>ROUND(R21+IF(AND(E22=14,F22&lt;&gt;"ASTM A416"),L22,0),3)</f>
        <v/>
      </c>
      <c r="S22" s="20">
        <f>ROUND(S21+IF(AND(E22=16,F22&lt;&gt;"ASTM A416"),L22,0),3)</f>
        <v/>
      </c>
      <c r="T22" s="20">
        <f>ROUND(T21+IF(AND(E22=18,F22&lt;&gt;"ASTM A416"),L22,0),3)</f>
        <v/>
      </c>
      <c r="U22" s="20">
        <f>ROUND(U21+IF(AND(E22=20,F22&lt;&gt;"ASTM A416"),L22,0),3)</f>
        <v/>
      </c>
      <c r="V22" s="20">
        <f>ROUND(V21+IF(AND(E22=22,F22&lt;&gt;"ASTM A416"),L22,0),3)</f>
        <v/>
      </c>
      <c r="W22" s="20">
        <f>ROUND(W21+IF(AND(E22=25,F22&lt;&gt;"ASTM A416"),L22,0),3)</f>
        <v/>
      </c>
      <c r="X22" s="20">
        <f>ROUND(X21+IF(AND(E22=28,F22&lt;&gt;"ASTM A416"),L22,0),3)</f>
        <v/>
      </c>
      <c r="Y22" s="20">
        <f>ROUND(Y21+IF(AND(E22=32,F22&lt;&gt;"ASTM A416"),L22,0),3)</f>
        <v/>
      </c>
      <c r="Z22" s="20">
        <f>ROUND(Z21+IF(F22="ASTM A416",L22,0),3)</f>
        <v/>
      </c>
      <c r="AA22" s="11">
        <f>IF(ROUNDUP(P22/20,0)&gt;ROUNDUP(P21/20,0),"Lần " &amp; ROUNDUP(P22/20,0),"")</f>
        <v/>
      </c>
      <c r="AB22" s="11">
        <f>IF(ROUNDUP(Q22/20,0)&gt;ROUNDUP(Q21/20,0),"Lần " &amp; ROUNDUP(Q22/20,0),"")</f>
        <v/>
      </c>
      <c r="AC22" s="11">
        <f>IF(ROUNDUP(R22/20,0)&gt;ROUNDUP(R21/20,0),"Lần " &amp; ROUNDUP(R22/20,0),"")</f>
        <v/>
      </c>
      <c r="AD22" s="11">
        <f>IF(ROUNDUP(S22/20,0)&gt;ROUNDUP(S21/20,0),"Lần " &amp; ROUNDUP(S22/20,0),"")</f>
        <v/>
      </c>
      <c r="AE22" s="11">
        <f>IF(ROUNDUP(T22/20,0)&gt;ROUNDUP(T21/20,0),"Lần " &amp; ROUNDUP(T22/20,0),"")</f>
        <v/>
      </c>
      <c r="AF22" s="11">
        <f>IF(ROUNDUP(U22/20,0)&gt;ROUNDUP(U21/20,0),"Lần " &amp; ROUNDUP(U22/20,0),"")</f>
        <v/>
      </c>
      <c r="AG22" s="11">
        <f>IF(ROUNDUP(V22/20,0)&gt;ROUNDUP(V21/20,0),"Lần " &amp; ROUNDUP(V22/20,0),"")</f>
        <v/>
      </c>
      <c r="AH22" s="11">
        <f>IF(ROUNDUP(W22/20,0)&gt;ROUNDUP(W21/20,0),"Lần " &amp; ROUNDUP(W22/20,0),"")</f>
        <v/>
      </c>
      <c r="AI22" s="11">
        <f>IF(ROUNDUP(X22/20,0)&gt;ROUNDUP(X21/20,0),"Lần " &amp; ROUNDUP(X22/20,0),"")</f>
        <v/>
      </c>
      <c r="AJ22" s="11">
        <f>IF(ROUNDUP(Y22/20,0)&gt;ROUNDUP(Y21/20,0),"Lần " &amp; ROUNDUP(Y22/20,0),"")</f>
        <v/>
      </c>
      <c r="AK22" s="11">
        <f>IF(ROUNDUP(Z22/20,0)&gt;ROUNDUP(Z21/20,0),"Lần " &amp; ROUNDUP(Z22/20,0),"")</f>
        <v/>
      </c>
      <c r="AL22" s="6" t="n"/>
      <c r="AN22" t="inlineStr">
        <is>
          <t>Than</t>
        </is>
      </c>
      <c r="AO22" t="n">
        <v>50</v>
      </c>
    </row>
    <row r="23" ht="19" customHeight="1">
      <c r="A23" s="6" t="n">
        <v>20</v>
      </c>
      <c r="B23" s="7" t="inlineStr">
        <is>
          <t>Mố M1</t>
        </is>
      </c>
      <c r="C23" s="7" t="inlineStr">
        <is>
          <t>Mố M1 (tr.31)</t>
        </is>
      </c>
      <c r="D23" s="18" t="inlineStr">
        <is>
          <t>W1DXD</t>
        </is>
      </c>
      <c r="E23" s="19" t="n">
        <v>16</v>
      </c>
      <c r="F23" s="6" t="inlineStr">
        <is>
          <t>CB400-V</t>
        </is>
      </c>
      <c r="G23" s="7" t="inlineStr"/>
      <c r="H23" s="20" t="n">
        <v>3.333</v>
      </c>
      <c r="I23" s="21" t="n">
        <v>1</v>
      </c>
      <c r="J23" s="22" t="n">
        <v>1.578</v>
      </c>
      <c r="K23" s="9">
        <f>ROUND(H23*I23*J23, 2)</f>
        <v/>
      </c>
      <c r="L23" s="23">
        <f>ROUND(K23/1000, 3)</f>
        <v/>
      </c>
      <c r="M23" s="8">
        <f>IF(AO23="","",IF(INDEX(Theo_Doi_Tan_Suat_Be_Tong!$C:$C,AO23)="","",INDEX(Theo_Doi_Tan_Suat_Be_Tong!$C:$C,AO23)-VLOOKUP(AN23,$AQ$2:$AR$7,2,FALSE)))</f>
        <v/>
      </c>
      <c r="N23" s="6" t="n"/>
      <c r="O23" s="24">
        <f>IF(ROUNDUP(S23/20,0)&gt;ROUNDUP(S22/20,0),"TN Ø16 (Lần " &amp; ROUNDUP(S23/20,0) &amp; ")","")</f>
        <v/>
      </c>
      <c r="P23" s="20">
        <f>ROUND(P22+IF(AND(E23&lt;=10,F23&lt;&gt;"ASTM A416"),L23,0),3)</f>
        <v/>
      </c>
      <c r="Q23" s="20">
        <f>ROUND(Q22+IF(AND(E23=12,F23&lt;&gt;"ASTM A416"),L23,0),3)</f>
        <v/>
      </c>
      <c r="R23" s="20">
        <f>ROUND(R22+IF(AND(E23=14,F23&lt;&gt;"ASTM A416"),L23,0),3)</f>
        <v/>
      </c>
      <c r="S23" s="20">
        <f>ROUND(S22+IF(AND(E23=16,F23&lt;&gt;"ASTM A416"),L23,0),3)</f>
        <v/>
      </c>
      <c r="T23" s="20">
        <f>ROUND(T22+IF(AND(E23=18,F23&lt;&gt;"ASTM A416"),L23,0),3)</f>
        <v/>
      </c>
      <c r="U23" s="20">
        <f>ROUND(U22+IF(AND(E23=20,F23&lt;&gt;"ASTM A416"),L23,0),3)</f>
        <v/>
      </c>
      <c r="V23" s="20">
        <f>ROUND(V22+IF(AND(E23=22,F23&lt;&gt;"ASTM A416"),L23,0),3)</f>
        <v/>
      </c>
      <c r="W23" s="20">
        <f>ROUND(W22+IF(AND(E23=25,F23&lt;&gt;"ASTM A416"),L23,0),3)</f>
        <v/>
      </c>
      <c r="X23" s="20">
        <f>ROUND(X22+IF(AND(E23=28,F23&lt;&gt;"ASTM A416"),L23,0),3)</f>
        <v/>
      </c>
      <c r="Y23" s="20">
        <f>ROUND(Y22+IF(AND(E23=32,F23&lt;&gt;"ASTM A416"),L23,0),3)</f>
        <v/>
      </c>
      <c r="Z23" s="20">
        <f>ROUND(Z22+IF(F23="ASTM A416",L23,0),3)</f>
        <v/>
      </c>
      <c r="AA23" s="11">
        <f>IF(ROUNDUP(P23/20,0)&gt;ROUNDUP(P22/20,0),"Lần " &amp; ROUNDUP(P23/20,0),"")</f>
        <v/>
      </c>
      <c r="AB23" s="11">
        <f>IF(ROUNDUP(Q23/20,0)&gt;ROUNDUP(Q22/20,0),"Lần " &amp; ROUNDUP(Q23/20,0),"")</f>
        <v/>
      </c>
      <c r="AC23" s="11">
        <f>IF(ROUNDUP(R23/20,0)&gt;ROUNDUP(R22/20,0),"Lần " &amp; ROUNDUP(R23/20,0),"")</f>
        <v/>
      </c>
      <c r="AD23" s="11">
        <f>IF(ROUNDUP(S23/20,0)&gt;ROUNDUP(S22/20,0),"Lần " &amp; ROUNDUP(S23/20,0),"")</f>
        <v/>
      </c>
      <c r="AE23" s="11">
        <f>IF(ROUNDUP(T23/20,0)&gt;ROUNDUP(T22/20,0),"Lần " &amp; ROUNDUP(T23/20,0),"")</f>
        <v/>
      </c>
      <c r="AF23" s="11">
        <f>IF(ROUNDUP(U23/20,0)&gt;ROUNDUP(U22/20,0),"Lần " &amp; ROUNDUP(U23/20,0),"")</f>
        <v/>
      </c>
      <c r="AG23" s="11">
        <f>IF(ROUNDUP(V23/20,0)&gt;ROUNDUP(V22/20,0),"Lần " &amp; ROUNDUP(V23/20,0),"")</f>
        <v/>
      </c>
      <c r="AH23" s="11">
        <f>IF(ROUNDUP(W23/20,0)&gt;ROUNDUP(W22/20,0),"Lần " &amp; ROUNDUP(W23/20,0),"")</f>
        <v/>
      </c>
      <c r="AI23" s="11">
        <f>IF(ROUNDUP(X23/20,0)&gt;ROUNDUP(X22/20,0),"Lần " &amp; ROUNDUP(X23/20,0),"")</f>
        <v/>
      </c>
      <c r="AJ23" s="11">
        <f>IF(ROUNDUP(Y23/20,0)&gt;ROUNDUP(Y22/20,0),"Lần " &amp; ROUNDUP(Y23/20,0),"")</f>
        <v/>
      </c>
      <c r="AK23" s="11">
        <f>IF(ROUNDUP(Z23/20,0)&gt;ROUNDUP(Z22/20,0),"Lần " &amp; ROUNDUP(Z23/20,0),"")</f>
        <v/>
      </c>
      <c r="AL23" s="6" t="n"/>
      <c r="AN23" t="inlineStr">
        <is>
          <t>Than</t>
        </is>
      </c>
      <c r="AO23" t="n">
        <v>50</v>
      </c>
    </row>
    <row r="24" ht="19" customHeight="1">
      <c r="A24" s="6" t="n">
        <v>21</v>
      </c>
      <c r="B24" s="7" t="inlineStr">
        <is>
          <t>Mố M1</t>
        </is>
      </c>
      <c r="C24" s="7" t="inlineStr">
        <is>
          <t>Mố M1 (tr.31)</t>
        </is>
      </c>
      <c r="D24" s="18" t="inlineStr">
        <is>
          <t>W2A(T)</t>
        </is>
      </c>
      <c r="E24" s="19" t="n">
        <v>16</v>
      </c>
      <c r="F24" s="6" t="inlineStr">
        <is>
          <t>CB400-V</t>
        </is>
      </c>
      <c r="G24" s="7" t="inlineStr"/>
      <c r="H24" s="20" t="n">
        <v>4.023</v>
      </c>
      <c r="I24" s="21" t="n">
        <v>5</v>
      </c>
      <c r="J24" s="22" t="n">
        <v>1.578</v>
      </c>
      <c r="K24" s="9">
        <f>ROUND(H24*I24*J24, 2)</f>
        <v/>
      </c>
      <c r="L24" s="23">
        <f>ROUND(K24/1000, 3)</f>
        <v/>
      </c>
      <c r="M24" s="8">
        <f>IF(AO24="","",IF(INDEX(Theo_Doi_Tan_Suat_Be_Tong!$C:$C,AO24)="","",INDEX(Theo_Doi_Tan_Suat_Be_Tong!$C:$C,AO24)-VLOOKUP(AN24,$AQ$2:$AR$7,2,FALSE)))</f>
        <v/>
      </c>
      <c r="N24" s="6" t="n"/>
      <c r="O24" s="24">
        <f>IF(ROUNDUP(S24/20,0)&gt;ROUNDUP(S23/20,0),"TN Ø16 (Lần " &amp; ROUNDUP(S24/20,0) &amp; ")","")</f>
        <v/>
      </c>
      <c r="P24" s="20">
        <f>ROUND(P23+IF(AND(E24&lt;=10,F24&lt;&gt;"ASTM A416"),L24,0),3)</f>
        <v/>
      </c>
      <c r="Q24" s="20">
        <f>ROUND(Q23+IF(AND(E24=12,F24&lt;&gt;"ASTM A416"),L24,0),3)</f>
        <v/>
      </c>
      <c r="R24" s="20">
        <f>ROUND(R23+IF(AND(E24=14,F24&lt;&gt;"ASTM A416"),L24,0),3)</f>
        <v/>
      </c>
      <c r="S24" s="20">
        <f>ROUND(S23+IF(AND(E24=16,F24&lt;&gt;"ASTM A416"),L24,0),3)</f>
        <v/>
      </c>
      <c r="T24" s="20">
        <f>ROUND(T23+IF(AND(E24=18,F24&lt;&gt;"ASTM A416"),L24,0),3)</f>
        <v/>
      </c>
      <c r="U24" s="20">
        <f>ROUND(U23+IF(AND(E24=20,F24&lt;&gt;"ASTM A416"),L24,0),3)</f>
        <v/>
      </c>
      <c r="V24" s="20">
        <f>ROUND(V23+IF(AND(E24=22,F24&lt;&gt;"ASTM A416"),L24,0),3)</f>
        <v/>
      </c>
      <c r="W24" s="20">
        <f>ROUND(W23+IF(AND(E24=25,F24&lt;&gt;"ASTM A416"),L24,0),3)</f>
        <v/>
      </c>
      <c r="X24" s="20">
        <f>ROUND(X23+IF(AND(E24=28,F24&lt;&gt;"ASTM A416"),L24,0),3)</f>
        <v/>
      </c>
      <c r="Y24" s="20">
        <f>ROUND(Y23+IF(AND(E24=32,F24&lt;&gt;"ASTM A416"),L24,0),3)</f>
        <v/>
      </c>
      <c r="Z24" s="20">
        <f>ROUND(Z23+IF(F24="ASTM A416",L24,0),3)</f>
        <v/>
      </c>
      <c r="AA24" s="11">
        <f>IF(ROUNDUP(P24/20,0)&gt;ROUNDUP(P23/20,0),"Lần " &amp; ROUNDUP(P24/20,0),"")</f>
        <v/>
      </c>
      <c r="AB24" s="11">
        <f>IF(ROUNDUP(Q24/20,0)&gt;ROUNDUP(Q23/20,0),"Lần " &amp; ROUNDUP(Q24/20,0),"")</f>
        <v/>
      </c>
      <c r="AC24" s="11">
        <f>IF(ROUNDUP(R24/20,0)&gt;ROUNDUP(R23/20,0),"Lần " &amp; ROUNDUP(R24/20,0),"")</f>
        <v/>
      </c>
      <c r="AD24" s="11">
        <f>IF(ROUNDUP(S24/20,0)&gt;ROUNDUP(S23/20,0),"Lần " &amp; ROUNDUP(S24/20,0),"")</f>
        <v/>
      </c>
      <c r="AE24" s="11">
        <f>IF(ROUNDUP(T24/20,0)&gt;ROUNDUP(T23/20,0),"Lần " &amp; ROUNDUP(T24/20,0),"")</f>
        <v/>
      </c>
      <c r="AF24" s="11">
        <f>IF(ROUNDUP(U24/20,0)&gt;ROUNDUP(U23/20,0),"Lần " &amp; ROUNDUP(U24/20,0),"")</f>
        <v/>
      </c>
      <c r="AG24" s="11">
        <f>IF(ROUNDUP(V24/20,0)&gt;ROUNDUP(V23/20,0),"Lần " &amp; ROUNDUP(V24/20,0),"")</f>
        <v/>
      </c>
      <c r="AH24" s="11">
        <f>IF(ROUNDUP(W24/20,0)&gt;ROUNDUP(W23/20,0),"Lần " &amp; ROUNDUP(W24/20,0),"")</f>
        <v/>
      </c>
      <c r="AI24" s="11">
        <f>IF(ROUNDUP(X24/20,0)&gt;ROUNDUP(X23/20,0),"Lần " &amp; ROUNDUP(X24/20,0),"")</f>
        <v/>
      </c>
      <c r="AJ24" s="11">
        <f>IF(ROUNDUP(Y24/20,0)&gt;ROUNDUP(Y23/20,0),"Lần " &amp; ROUNDUP(Y24/20,0),"")</f>
        <v/>
      </c>
      <c r="AK24" s="11">
        <f>IF(ROUNDUP(Z24/20,0)&gt;ROUNDUP(Z23/20,0),"Lần " &amp; ROUNDUP(Z24/20,0),"")</f>
        <v/>
      </c>
      <c r="AL24" s="6" t="n"/>
      <c r="AN24" t="inlineStr">
        <is>
          <t>Than</t>
        </is>
      </c>
      <c r="AO24" t="n">
        <v>50</v>
      </c>
    </row>
    <row r="25" ht="19" customHeight="1">
      <c r="A25" s="6" t="n">
        <v>22</v>
      </c>
      <c r="B25" s="7" t="inlineStr">
        <is>
          <t>Mố M1</t>
        </is>
      </c>
      <c r="C25" s="7" t="inlineStr">
        <is>
          <t>Mố M1 (tr.31)</t>
        </is>
      </c>
      <c r="D25" s="18" t="inlineStr">
        <is>
          <t>W2B(T)</t>
        </is>
      </c>
      <c r="E25" s="19" t="n">
        <v>16</v>
      </c>
      <c r="F25" s="6" t="inlineStr">
        <is>
          <t>CB400-V</t>
        </is>
      </c>
      <c r="G25" s="7" t="inlineStr"/>
      <c r="H25" s="20" t="n">
        <v>2.795</v>
      </c>
      <c r="I25" s="21" t="n">
        <v>16</v>
      </c>
      <c r="J25" s="22" t="n">
        <v>1.578</v>
      </c>
      <c r="K25" s="9">
        <f>ROUND(H25*I25*J25, 2)</f>
        <v/>
      </c>
      <c r="L25" s="23">
        <f>ROUND(K25/1000, 3)</f>
        <v/>
      </c>
      <c r="M25" s="8">
        <f>IF(AO25="","",IF(INDEX(Theo_Doi_Tan_Suat_Be_Tong!$C:$C,AO25)="","",INDEX(Theo_Doi_Tan_Suat_Be_Tong!$C:$C,AO25)-VLOOKUP(AN25,$AQ$2:$AR$7,2,FALSE)))</f>
        <v/>
      </c>
      <c r="N25" s="6" t="n"/>
      <c r="O25" s="24">
        <f>IF(ROUNDUP(S25/20,0)&gt;ROUNDUP(S24/20,0),"TN Ø16 (Lần " &amp; ROUNDUP(S25/20,0) &amp; ")","")</f>
        <v/>
      </c>
      <c r="P25" s="20">
        <f>ROUND(P24+IF(AND(E25&lt;=10,F25&lt;&gt;"ASTM A416"),L25,0),3)</f>
        <v/>
      </c>
      <c r="Q25" s="20">
        <f>ROUND(Q24+IF(AND(E25=12,F25&lt;&gt;"ASTM A416"),L25,0),3)</f>
        <v/>
      </c>
      <c r="R25" s="20">
        <f>ROUND(R24+IF(AND(E25=14,F25&lt;&gt;"ASTM A416"),L25,0),3)</f>
        <v/>
      </c>
      <c r="S25" s="20">
        <f>ROUND(S24+IF(AND(E25=16,F25&lt;&gt;"ASTM A416"),L25,0),3)</f>
        <v/>
      </c>
      <c r="T25" s="20">
        <f>ROUND(T24+IF(AND(E25=18,F25&lt;&gt;"ASTM A416"),L25,0),3)</f>
        <v/>
      </c>
      <c r="U25" s="20">
        <f>ROUND(U24+IF(AND(E25=20,F25&lt;&gt;"ASTM A416"),L25,0),3)</f>
        <v/>
      </c>
      <c r="V25" s="20">
        <f>ROUND(V24+IF(AND(E25=22,F25&lt;&gt;"ASTM A416"),L25,0),3)</f>
        <v/>
      </c>
      <c r="W25" s="20">
        <f>ROUND(W24+IF(AND(E25=25,F25&lt;&gt;"ASTM A416"),L25,0),3)</f>
        <v/>
      </c>
      <c r="X25" s="20">
        <f>ROUND(X24+IF(AND(E25=28,F25&lt;&gt;"ASTM A416"),L25,0),3)</f>
        <v/>
      </c>
      <c r="Y25" s="20">
        <f>ROUND(Y24+IF(AND(E25=32,F25&lt;&gt;"ASTM A416"),L25,0),3)</f>
        <v/>
      </c>
      <c r="Z25" s="20">
        <f>ROUND(Z24+IF(F25="ASTM A416",L25,0),3)</f>
        <v/>
      </c>
      <c r="AA25" s="11">
        <f>IF(ROUNDUP(P25/20,0)&gt;ROUNDUP(P24/20,0),"Lần " &amp; ROUNDUP(P25/20,0),"")</f>
        <v/>
      </c>
      <c r="AB25" s="11">
        <f>IF(ROUNDUP(Q25/20,0)&gt;ROUNDUP(Q24/20,0),"Lần " &amp; ROUNDUP(Q25/20,0),"")</f>
        <v/>
      </c>
      <c r="AC25" s="11">
        <f>IF(ROUNDUP(R25/20,0)&gt;ROUNDUP(R24/20,0),"Lần " &amp; ROUNDUP(R25/20,0),"")</f>
        <v/>
      </c>
      <c r="AD25" s="11">
        <f>IF(ROUNDUP(S25/20,0)&gt;ROUNDUP(S24/20,0),"Lần " &amp; ROUNDUP(S25/20,0),"")</f>
        <v/>
      </c>
      <c r="AE25" s="11">
        <f>IF(ROUNDUP(T25/20,0)&gt;ROUNDUP(T24/20,0),"Lần " &amp; ROUNDUP(T25/20,0),"")</f>
        <v/>
      </c>
      <c r="AF25" s="11">
        <f>IF(ROUNDUP(U25/20,0)&gt;ROUNDUP(U24/20,0),"Lần " &amp; ROUNDUP(U25/20,0),"")</f>
        <v/>
      </c>
      <c r="AG25" s="11">
        <f>IF(ROUNDUP(V25/20,0)&gt;ROUNDUP(V24/20,0),"Lần " &amp; ROUNDUP(V25/20,0),"")</f>
        <v/>
      </c>
      <c r="AH25" s="11">
        <f>IF(ROUNDUP(W25/20,0)&gt;ROUNDUP(W24/20,0),"Lần " &amp; ROUNDUP(W25/20,0),"")</f>
        <v/>
      </c>
      <c r="AI25" s="11">
        <f>IF(ROUNDUP(X25/20,0)&gt;ROUNDUP(X24/20,0),"Lần " &amp; ROUNDUP(X25/20,0),"")</f>
        <v/>
      </c>
      <c r="AJ25" s="11">
        <f>IF(ROUNDUP(Y25/20,0)&gt;ROUNDUP(Y24/20,0),"Lần " &amp; ROUNDUP(Y25/20,0),"")</f>
        <v/>
      </c>
      <c r="AK25" s="11">
        <f>IF(ROUNDUP(Z25/20,0)&gt;ROUNDUP(Z24/20,0),"Lần " &amp; ROUNDUP(Z25/20,0),"")</f>
        <v/>
      </c>
      <c r="AL25" s="6" t="n"/>
      <c r="AN25" t="inlineStr">
        <is>
          <t>Than</t>
        </is>
      </c>
      <c r="AO25" t="n">
        <v>50</v>
      </c>
    </row>
    <row r="26" ht="19" customHeight="1">
      <c r="A26" s="6" t="n">
        <v>23</v>
      </c>
      <c r="B26" s="7" t="inlineStr">
        <is>
          <t>Mố M1</t>
        </is>
      </c>
      <c r="C26" s="7" t="inlineStr">
        <is>
          <t>Mố M1 (tr.31)</t>
        </is>
      </c>
      <c r="D26" s="18" t="inlineStr">
        <is>
          <t>W3A(T)</t>
        </is>
      </c>
      <c r="E26" s="19" t="n">
        <v>16</v>
      </c>
      <c r="F26" s="6" t="inlineStr">
        <is>
          <t>CB400-V</t>
        </is>
      </c>
      <c r="G26" s="7" t="inlineStr"/>
      <c r="H26" s="20" t="n">
        <v>3.436</v>
      </c>
      <c r="I26" s="21" t="n">
        <v>12</v>
      </c>
      <c r="J26" s="22" t="n">
        <v>1.578</v>
      </c>
      <c r="K26" s="9">
        <f>ROUND(H26*I26*J26, 2)</f>
        <v/>
      </c>
      <c r="L26" s="23">
        <f>ROUND(K26/1000, 3)</f>
        <v/>
      </c>
      <c r="M26" s="8">
        <f>IF(AO26="","",IF(INDEX(Theo_Doi_Tan_Suat_Be_Tong!$C:$C,AO26)="","",INDEX(Theo_Doi_Tan_Suat_Be_Tong!$C:$C,AO26)-VLOOKUP(AN26,$AQ$2:$AR$7,2,FALSE)))</f>
        <v/>
      </c>
      <c r="N26" s="6" t="n"/>
      <c r="O26" s="24">
        <f>IF(ROUNDUP(S26/20,0)&gt;ROUNDUP(S25/20,0),"TN Ø16 (Lần " &amp; ROUNDUP(S26/20,0) &amp; ")","")</f>
        <v/>
      </c>
      <c r="P26" s="20">
        <f>ROUND(P25+IF(AND(E26&lt;=10,F26&lt;&gt;"ASTM A416"),L26,0),3)</f>
        <v/>
      </c>
      <c r="Q26" s="20">
        <f>ROUND(Q25+IF(AND(E26=12,F26&lt;&gt;"ASTM A416"),L26,0),3)</f>
        <v/>
      </c>
      <c r="R26" s="20">
        <f>ROUND(R25+IF(AND(E26=14,F26&lt;&gt;"ASTM A416"),L26,0),3)</f>
        <v/>
      </c>
      <c r="S26" s="20">
        <f>ROUND(S25+IF(AND(E26=16,F26&lt;&gt;"ASTM A416"),L26,0),3)</f>
        <v/>
      </c>
      <c r="T26" s="20">
        <f>ROUND(T25+IF(AND(E26=18,F26&lt;&gt;"ASTM A416"),L26,0),3)</f>
        <v/>
      </c>
      <c r="U26" s="20">
        <f>ROUND(U25+IF(AND(E26=20,F26&lt;&gt;"ASTM A416"),L26,0),3)</f>
        <v/>
      </c>
      <c r="V26" s="20">
        <f>ROUND(V25+IF(AND(E26=22,F26&lt;&gt;"ASTM A416"),L26,0),3)</f>
        <v/>
      </c>
      <c r="W26" s="20">
        <f>ROUND(W25+IF(AND(E26=25,F26&lt;&gt;"ASTM A416"),L26,0),3)</f>
        <v/>
      </c>
      <c r="X26" s="20">
        <f>ROUND(X25+IF(AND(E26=28,F26&lt;&gt;"ASTM A416"),L26,0),3)</f>
        <v/>
      </c>
      <c r="Y26" s="20">
        <f>ROUND(Y25+IF(AND(E26=32,F26&lt;&gt;"ASTM A416"),L26,0),3)</f>
        <v/>
      </c>
      <c r="Z26" s="20">
        <f>ROUND(Z25+IF(F26="ASTM A416",L26,0),3)</f>
        <v/>
      </c>
      <c r="AA26" s="11">
        <f>IF(ROUNDUP(P26/20,0)&gt;ROUNDUP(P25/20,0),"Lần " &amp; ROUNDUP(P26/20,0),"")</f>
        <v/>
      </c>
      <c r="AB26" s="11">
        <f>IF(ROUNDUP(Q26/20,0)&gt;ROUNDUP(Q25/20,0),"Lần " &amp; ROUNDUP(Q26/20,0),"")</f>
        <v/>
      </c>
      <c r="AC26" s="11">
        <f>IF(ROUNDUP(R26/20,0)&gt;ROUNDUP(R25/20,0),"Lần " &amp; ROUNDUP(R26/20,0),"")</f>
        <v/>
      </c>
      <c r="AD26" s="11">
        <f>IF(ROUNDUP(S26/20,0)&gt;ROUNDUP(S25/20,0),"Lần " &amp; ROUNDUP(S26/20,0),"")</f>
        <v/>
      </c>
      <c r="AE26" s="11">
        <f>IF(ROUNDUP(T26/20,0)&gt;ROUNDUP(T25/20,0),"Lần " &amp; ROUNDUP(T26/20,0),"")</f>
        <v/>
      </c>
      <c r="AF26" s="11">
        <f>IF(ROUNDUP(U26/20,0)&gt;ROUNDUP(U25/20,0),"Lần " &amp; ROUNDUP(U26/20,0),"")</f>
        <v/>
      </c>
      <c r="AG26" s="11">
        <f>IF(ROUNDUP(V26/20,0)&gt;ROUNDUP(V25/20,0),"Lần " &amp; ROUNDUP(V26/20,0),"")</f>
        <v/>
      </c>
      <c r="AH26" s="11">
        <f>IF(ROUNDUP(W26/20,0)&gt;ROUNDUP(W25/20,0),"Lần " &amp; ROUNDUP(W26/20,0),"")</f>
        <v/>
      </c>
      <c r="AI26" s="11">
        <f>IF(ROUNDUP(X26/20,0)&gt;ROUNDUP(X25/20,0),"Lần " &amp; ROUNDUP(X26/20,0),"")</f>
        <v/>
      </c>
      <c r="AJ26" s="11">
        <f>IF(ROUNDUP(Y26/20,0)&gt;ROUNDUP(Y25/20,0),"Lần " &amp; ROUNDUP(Y26/20,0),"")</f>
        <v/>
      </c>
      <c r="AK26" s="11">
        <f>IF(ROUNDUP(Z26/20,0)&gt;ROUNDUP(Z25/20,0),"Lần " &amp; ROUNDUP(Z26/20,0),"")</f>
        <v/>
      </c>
      <c r="AL26" s="6" t="n"/>
      <c r="AN26" t="inlineStr">
        <is>
          <t>Than</t>
        </is>
      </c>
      <c r="AO26" t="n">
        <v>50</v>
      </c>
    </row>
    <row r="27" ht="19" customHeight="1">
      <c r="A27" s="6" t="n">
        <v>24</v>
      </c>
      <c r="B27" s="7" t="inlineStr">
        <is>
          <t>Mố M1</t>
        </is>
      </c>
      <c r="C27" s="7" t="inlineStr">
        <is>
          <t>Mố M1 (tr.31)</t>
        </is>
      </c>
      <c r="D27" s="18" t="inlineStr">
        <is>
          <t>W3B(T)</t>
        </is>
      </c>
      <c r="E27" s="19" t="n">
        <v>16</v>
      </c>
      <c r="F27" s="6" t="inlineStr">
        <is>
          <t>CB400-V</t>
        </is>
      </c>
      <c r="G27" s="7" t="inlineStr"/>
      <c r="H27" s="20" t="n">
        <v>3.061</v>
      </c>
      <c r="I27" s="21" t="n">
        <v>3</v>
      </c>
      <c r="J27" s="22" t="n">
        <v>1.578</v>
      </c>
      <c r="K27" s="9">
        <f>ROUND(H27*I27*J27, 2)</f>
        <v/>
      </c>
      <c r="L27" s="23">
        <f>ROUND(K27/1000, 3)</f>
        <v/>
      </c>
      <c r="M27" s="8">
        <f>IF(AO27="","",IF(INDEX(Theo_Doi_Tan_Suat_Be_Tong!$C:$C,AO27)="","",INDEX(Theo_Doi_Tan_Suat_Be_Tong!$C:$C,AO27)-VLOOKUP(AN27,$AQ$2:$AR$7,2,FALSE)))</f>
        <v/>
      </c>
      <c r="N27" s="6" t="n"/>
      <c r="O27" s="24">
        <f>IF(ROUNDUP(S27/20,0)&gt;ROUNDUP(S26/20,0),"TN Ø16 (Lần " &amp; ROUNDUP(S27/20,0) &amp; ")","")</f>
        <v/>
      </c>
      <c r="P27" s="20">
        <f>ROUND(P26+IF(AND(E27&lt;=10,F27&lt;&gt;"ASTM A416"),L27,0),3)</f>
        <v/>
      </c>
      <c r="Q27" s="20">
        <f>ROUND(Q26+IF(AND(E27=12,F27&lt;&gt;"ASTM A416"),L27,0),3)</f>
        <v/>
      </c>
      <c r="R27" s="20">
        <f>ROUND(R26+IF(AND(E27=14,F27&lt;&gt;"ASTM A416"),L27,0),3)</f>
        <v/>
      </c>
      <c r="S27" s="20">
        <f>ROUND(S26+IF(AND(E27=16,F27&lt;&gt;"ASTM A416"),L27,0),3)</f>
        <v/>
      </c>
      <c r="T27" s="20">
        <f>ROUND(T26+IF(AND(E27=18,F27&lt;&gt;"ASTM A416"),L27,0),3)</f>
        <v/>
      </c>
      <c r="U27" s="20">
        <f>ROUND(U26+IF(AND(E27=20,F27&lt;&gt;"ASTM A416"),L27,0),3)</f>
        <v/>
      </c>
      <c r="V27" s="20">
        <f>ROUND(V26+IF(AND(E27=22,F27&lt;&gt;"ASTM A416"),L27,0),3)</f>
        <v/>
      </c>
      <c r="W27" s="20">
        <f>ROUND(W26+IF(AND(E27=25,F27&lt;&gt;"ASTM A416"),L27,0),3)</f>
        <v/>
      </c>
      <c r="X27" s="20">
        <f>ROUND(X26+IF(AND(E27=28,F27&lt;&gt;"ASTM A416"),L27,0),3)</f>
        <v/>
      </c>
      <c r="Y27" s="20">
        <f>ROUND(Y26+IF(AND(E27=32,F27&lt;&gt;"ASTM A416"),L27,0),3)</f>
        <v/>
      </c>
      <c r="Z27" s="20">
        <f>ROUND(Z26+IF(F27="ASTM A416",L27,0),3)</f>
        <v/>
      </c>
      <c r="AA27" s="11">
        <f>IF(ROUNDUP(P27/20,0)&gt;ROUNDUP(P26/20,0),"Lần " &amp; ROUNDUP(P27/20,0),"")</f>
        <v/>
      </c>
      <c r="AB27" s="11">
        <f>IF(ROUNDUP(Q27/20,0)&gt;ROUNDUP(Q26/20,0),"Lần " &amp; ROUNDUP(Q27/20,0),"")</f>
        <v/>
      </c>
      <c r="AC27" s="11">
        <f>IF(ROUNDUP(R27/20,0)&gt;ROUNDUP(R26/20,0),"Lần " &amp; ROUNDUP(R27/20,0),"")</f>
        <v/>
      </c>
      <c r="AD27" s="11">
        <f>IF(ROUNDUP(S27/20,0)&gt;ROUNDUP(S26/20,0),"Lần " &amp; ROUNDUP(S27/20,0),"")</f>
        <v/>
      </c>
      <c r="AE27" s="11">
        <f>IF(ROUNDUP(T27/20,0)&gt;ROUNDUP(T26/20,0),"Lần " &amp; ROUNDUP(T27/20,0),"")</f>
        <v/>
      </c>
      <c r="AF27" s="11">
        <f>IF(ROUNDUP(U27/20,0)&gt;ROUNDUP(U26/20,0),"Lần " &amp; ROUNDUP(U27/20,0),"")</f>
        <v/>
      </c>
      <c r="AG27" s="11">
        <f>IF(ROUNDUP(V27/20,0)&gt;ROUNDUP(V26/20,0),"Lần " &amp; ROUNDUP(V27/20,0),"")</f>
        <v/>
      </c>
      <c r="AH27" s="11">
        <f>IF(ROUNDUP(W27/20,0)&gt;ROUNDUP(W26/20,0),"Lần " &amp; ROUNDUP(W27/20,0),"")</f>
        <v/>
      </c>
      <c r="AI27" s="11">
        <f>IF(ROUNDUP(X27/20,0)&gt;ROUNDUP(X26/20,0),"Lần " &amp; ROUNDUP(X27/20,0),"")</f>
        <v/>
      </c>
      <c r="AJ27" s="11">
        <f>IF(ROUNDUP(Y27/20,0)&gt;ROUNDUP(Y26/20,0),"Lần " &amp; ROUNDUP(Y27/20,0),"")</f>
        <v/>
      </c>
      <c r="AK27" s="11">
        <f>IF(ROUNDUP(Z27/20,0)&gt;ROUNDUP(Z26/20,0),"Lần " &amp; ROUNDUP(Z27/20,0),"")</f>
        <v/>
      </c>
      <c r="AL27" s="6" t="n"/>
      <c r="AN27" t="inlineStr">
        <is>
          <t>Than</t>
        </is>
      </c>
      <c r="AO27" t="n">
        <v>50</v>
      </c>
    </row>
    <row r="28" ht="19" customHeight="1">
      <c r="A28" s="6" t="n">
        <v>25</v>
      </c>
      <c r="B28" s="7" t="inlineStr">
        <is>
          <t>Mố M1</t>
        </is>
      </c>
      <c r="C28" s="7" t="inlineStr">
        <is>
          <t>Mố M1 (tr.31)</t>
        </is>
      </c>
      <c r="D28" s="18" t="inlineStr">
        <is>
          <t>W3C(T</t>
        </is>
      </c>
      <c r="E28" s="19" t="n">
        <v>16</v>
      </c>
      <c r="F28" s="6" t="inlineStr">
        <is>
          <t>CB400-V</t>
        </is>
      </c>
      <c r="G28" s="7" t="inlineStr"/>
      <c r="H28" s="20" t="n">
        <v>3.332</v>
      </c>
      <c r="I28" s="21" t="n">
        <v>10</v>
      </c>
      <c r="J28" s="22" t="n">
        <v>1.578</v>
      </c>
      <c r="K28" s="9">
        <f>ROUND(H28*I28*J28, 2)</f>
        <v/>
      </c>
      <c r="L28" s="23">
        <f>ROUND(K28/1000, 3)</f>
        <v/>
      </c>
      <c r="M28" s="8">
        <f>IF(AO28="","",IF(INDEX(Theo_Doi_Tan_Suat_Be_Tong!$C:$C,AO28)="","",INDEX(Theo_Doi_Tan_Suat_Be_Tong!$C:$C,AO28)-VLOOKUP(AN28,$AQ$2:$AR$7,2,FALSE)))</f>
        <v/>
      </c>
      <c r="N28" s="6" t="n"/>
      <c r="O28" s="24">
        <f>IF(ROUNDUP(S28/20,0)&gt;ROUNDUP(S27/20,0),"TN Ø16 (Lần " &amp; ROUNDUP(S28/20,0) &amp; ")","")</f>
        <v/>
      </c>
      <c r="P28" s="20">
        <f>ROUND(P27+IF(AND(E28&lt;=10,F28&lt;&gt;"ASTM A416"),L28,0),3)</f>
        <v/>
      </c>
      <c r="Q28" s="20">
        <f>ROUND(Q27+IF(AND(E28=12,F28&lt;&gt;"ASTM A416"),L28,0),3)</f>
        <v/>
      </c>
      <c r="R28" s="20">
        <f>ROUND(R27+IF(AND(E28=14,F28&lt;&gt;"ASTM A416"),L28,0),3)</f>
        <v/>
      </c>
      <c r="S28" s="20">
        <f>ROUND(S27+IF(AND(E28=16,F28&lt;&gt;"ASTM A416"),L28,0),3)</f>
        <v/>
      </c>
      <c r="T28" s="20">
        <f>ROUND(T27+IF(AND(E28=18,F28&lt;&gt;"ASTM A416"),L28,0),3)</f>
        <v/>
      </c>
      <c r="U28" s="20">
        <f>ROUND(U27+IF(AND(E28=20,F28&lt;&gt;"ASTM A416"),L28,0),3)</f>
        <v/>
      </c>
      <c r="V28" s="20">
        <f>ROUND(V27+IF(AND(E28=22,F28&lt;&gt;"ASTM A416"),L28,0),3)</f>
        <v/>
      </c>
      <c r="W28" s="20">
        <f>ROUND(W27+IF(AND(E28=25,F28&lt;&gt;"ASTM A416"),L28,0),3)</f>
        <v/>
      </c>
      <c r="X28" s="20">
        <f>ROUND(X27+IF(AND(E28=28,F28&lt;&gt;"ASTM A416"),L28,0),3)</f>
        <v/>
      </c>
      <c r="Y28" s="20">
        <f>ROUND(Y27+IF(AND(E28=32,F28&lt;&gt;"ASTM A416"),L28,0),3)</f>
        <v/>
      </c>
      <c r="Z28" s="20">
        <f>ROUND(Z27+IF(F28="ASTM A416",L28,0),3)</f>
        <v/>
      </c>
      <c r="AA28" s="11">
        <f>IF(ROUNDUP(P28/20,0)&gt;ROUNDUP(P27/20,0),"Lần " &amp; ROUNDUP(P28/20,0),"")</f>
        <v/>
      </c>
      <c r="AB28" s="11">
        <f>IF(ROUNDUP(Q28/20,0)&gt;ROUNDUP(Q27/20,0),"Lần " &amp; ROUNDUP(Q28/20,0),"")</f>
        <v/>
      </c>
      <c r="AC28" s="11">
        <f>IF(ROUNDUP(R28/20,0)&gt;ROUNDUP(R27/20,0),"Lần " &amp; ROUNDUP(R28/20,0),"")</f>
        <v/>
      </c>
      <c r="AD28" s="11">
        <f>IF(ROUNDUP(S28/20,0)&gt;ROUNDUP(S27/20,0),"Lần " &amp; ROUNDUP(S28/20,0),"")</f>
        <v/>
      </c>
      <c r="AE28" s="11">
        <f>IF(ROUNDUP(T28/20,0)&gt;ROUNDUP(T27/20,0),"Lần " &amp; ROUNDUP(T28/20,0),"")</f>
        <v/>
      </c>
      <c r="AF28" s="11">
        <f>IF(ROUNDUP(U28/20,0)&gt;ROUNDUP(U27/20,0),"Lần " &amp; ROUNDUP(U28/20,0),"")</f>
        <v/>
      </c>
      <c r="AG28" s="11">
        <f>IF(ROUNDUP(V28/20,0)&gt;ROUNDUP(V27/20,0),"Lần " &amp; ROUNDUP(V28/20,0),"")</f>
        <v/>
      </c>
      <c r="AH28" s="11">
        <f>IF(ROUNDUP(W28/20,0)&gt;ROUNDUP(W27/20,0),"Lần " &amp; ROUNDUP(W28/20,0),"")</f>
        <v/>
      </c>
      <c r="AI28" s="11">
        <f>IF(ROUNDUP(X28/20,0)&gt;ROUNDUP(X27/20,0),"Lần " &amp; ROUNDUP(X28/20,0),"")</f>
        <v/>
      </c>
      <c r="AJ28" s="11">
        <f>IF(ROUNDUP(Y28/20,0)&gt;ROUNDUP(Y27/20,0),"Lần " &amp; ROUNDUP(Y28/20,0),"")</f>
        <v/>
      </c>
      <c r="AK28" s="11">
        <f>IF(ROUNDUP(Z28/20,0)&gt;ROUNDUP(Z27/20,0),"Lần " &amp; ROUNDUP(Z28/20,0),"")</f>
        <v/>
      </c>
      <c r="AL28" s="6" t="n"/>
      <c r="AN28" t="inlineStr">
        <is>
          <t>Than</t>
        </is>
      </c>
      <c r="AO28" t="n">
        <v>50</v>
      </c>
    </row>
    <row r="29" ht="19" customHeight="1">
      <c r="A29" s="6" t="n">
        <v>26</v>
      </c>
      <c r="B29" s="7" t="inlineStr">
        <is>
          <t>Mố M1</t>
        </is>
      </c>
      <c r="C29" s="7" t="inlineStr">
        <is>
          <t>Mố M1 (tr.31)</t>
        </is>
      </c>
      <c r="D29" s="18" t="inlineStr">
        <is>
          <t>W3D(T</t>
        </is>
      </c>
      <c r="E29" s="19" t="n">
        <v>16</v>
      </c>
      <c r="F29" s="6" t="inlineStr">
        <is>
          <t>CB400-V</t>
        </is>
      </c>
      <c r="G29" s="7" t="inlineStr"/>
      <c r="H29" s="20" t="n">
        <v>3.333</v>
      </c>
      <c r="I29" s="21" t="n">
        <v>1</v>
      </c>
      <c r="J29" s="22" t="n">
        <v>1.578</v>
      </c>
      <c r="K29" s="9">
        <f>ROUND(H29*I29*J29, 2)</f>
        <v/>
      </c>
      <c r="L29" s="23">
        <f>ROUND(K29/1000, 3)</f>
        <v/>
      </c>
      <c r="M29" s="8">
        <f>IF(AO29="","",IF(INDEX(Theo_Doi_Tan_Suat_Be_Tong!$C:$C,AO29)="","",INDEX(Theo_Doi_Tan_Suat_Be_Tong!$C:$C,AO29)-VLOOKUP(AN29,$AQ$2:$AR$7,2,FALSE)))</f>
        <v/>
      </c>
      <c r="N29" s="6" t="n"/>
      <c r="O29" s="24">
        <f>IF(ROUNDUP(S29/20,0)&gt;ROUNDUP(S28/20,0),"TN Ø16 (Lần " &amp; ROUNDUP(S29/20,0) &amp; ")","")</f>
        <v/>
      </c>
      <c r="P29" s="20">
        <f>ROUND(P28+IF(AND(E29&lt;=10,F29&lt;&gt;"ASTM A416"),L29,0),3)</f>
        <v/>
      </c>
      <c r="Q29" s="20">
        <f>ROUND(Q28+IF(AND(E29=12,F29&lt;&gt;"ASTM A416"),L29,0),3)</f>
        <v/>
      </c>
      <c r="R29" s="20">
        <f>ROUND(R28+IF(AND(E29=14,F29&lt;&gt;"ASTM A416"),L29,0),3)</f>
        <v/>
      </c>
      <c r="S29" s="20">
        <f>ROUND(S28+IF(AND(E29=16,F29&lt;&gt;"ASTM A416"),L29,0),3)</f>
        <v/>
      </c>
      <c r="T29" s="20">
        <f>ROUND(T28+IF(AND(E29=18,F29&lt;&gt;"ASTM A416"),L29,0),3)</f>
        <v/>
      </c>
      <c r="U29" s="20">
        <f>ROUND(U28+IF(AND(E29=20,F29&lt;&gt;"ASTM A416"),L29,0),3)</f>
        <v/>
      </c>
      <c r="V29" s="20">
        <f>ROUND(V28+IF(AND(E29=22,F29&lt;&gt;"ASTM A416"),L29,0),3)</f>
        <v/>
      </c>
      <c r="W29" s="20">
        <f>ROUND(W28+IF(AND(E29=25,F29&lt;&gt;"ASTM A416"),L29,0),3)</f>
        <v/>
      </c>
      <c r="X29" s="20">
        <f>ROUND(X28+IF(AND(E29=28,F29&lt;&gt;"ASTM A416"),L29,0),3)</f>
        <v/>
      </c>
      <c r="Y29" s="20">
        <f>ROUND(Y28+IF(AND(E29=32,F29&lt;&gt;"ASTM A416"),L29,0),3)</f>
        <v/>
      </c>
      <c r="Z29" s="20">
        <f>ROUND(Z28+IF(F29="ASTM A416",L29,0),3)</f>
        <v/>
      </c>
      <c r="AA29" s="11">
        <f>IF(ROUNDUP(P29/20,0)&gt;ROUNDUP(P28/20,0),"Lần " &amp; ROUNDUP(P29/20,0),"")</f>
        <v/>
      </c>
      <c r="AB29" s="11">
        <f>IF(ROUNDUP(Q29/20,0)&gt;ROUNDUP(Q28/20,0),"Lần " &amp; ROUNDUP(Q29/20,0),"")</f>
        <v/>
      </c>
      <c r="AC29" s="11">
        <f>IF(ROUNDUP(R29/20,0)&gt;ROUNDUP(R28/20,0),"Lần " &amp; ROUNDUP(R29/20,0),"")</f>
        <v/>
      </c>
      <c r="AD29" s="11">
        <f>IF(ROUNDUP(S29/20,0)&gt;ROUNDUP(S28/20,0),"Lần " &amp; ROUNDUP(S29/20,0),"")</f>
        <v/>
      </c>
      <c r="AE29" s="11">
        <f>IF(ROUNDUP(T29/20,0)&gt;ROUNDUP(T28/20,0),"Lần " &amp; ROUNDUP(T29/20,0),"")</f>
        <v/>
      </c>
      <c r="AF29" s="11">
        <f>IF(ROUNDUP(U29/20,0)&gt;ROUNDUP(U28/20,0),"Lần " &amp; ROUNDUP(U29/20,0),"")</f>
        <v/>
      </c>
      <c r="AG29" s="11">
        <f>IF(ROUNDUP(V29/20,0)&gt;ROUNDUP(V28/20,0),"Lần " &amp; ROUNDUP(V29/20,0),"")</f>
        <v/>
      </c>
      <c r="AH29" s="11">
        <f>IF(ROUNDUP(W29/20,0)&gt;ROUNDUP(W28/20,0),"Lần " &amp; ROUNDUP(W29/20,0),"")</f>
        <v/>
      </c>
      <c r="AI29" s="11">
        <f>IF(ROUNDUP(X29/20,0)&gt;ROUNDUP(X28/20,0),"Lần " &amp; ROUNDUP(X29/20,0),"")</f>
        <v/>
      </c>
      <c r="AJ29" s="11">
        <f>IF(ROUNDUP(Y29/20,0)&gt;ROUNDUP(Y28/20,0),"Lần " &amp; ROUNDUP(Y29/20,0),"")</f>
        <v/>
      </c>
      <c r="AK29" s="11">
        <f>IF(ROUNDUP(Z29/20,0)&gt;ROUNDUP(Z28/20,0),"Lần " &amp; ROUNDUP(Z29/20,0),"")</f>
        <v/>
      </c>
      <c r="AL29" s="6" t="n"/>
      <c r="AN29" t="inlineStr">
        <is>
          <t>Than</t>
        </is>
      </c>
      <c r="AO29" t="n">
        <v>50</v>
      </c>
    </row>
    <row r="30" ht="19" customHeight="1">
      <c r="A30" s="6" t="n">
        <v>27</v>
      </c>
      <c r="B30" s="7" t="inlineStr">
        <is>
          <t>Mố M1</t>
        </is>
      </c>
      <c r="C30" s="7" t="inlineStr">
        <is>
          <t>Mố M1 (tr.31)</t>
        </is>
      </c>
      <c r="D30" s="18" t="inlineStr">
        <is>
          <t>W4A(T)</t>
        </is>
      </c>
      <c r="E30" s="19" t="n">
        <v>16</v>
      </c>
      <c r="F30" s="6" t="inlineStr">
        <is>
          <t>CB400-V</t>
        </is>
      </c>
      <c r="G30" s="7" t="inlineStr"/>
      <c r="H30" s="20" t="n">
        <v>4.052</v>
      </c>
      <c r="I30" s="21" t="n">
        <v>1</v>
      </c>
      <c r="J30" s="22" t="n">
        <v>1.578</v>
      </c>
      <c r="K30" s="9">
        <f>ROUND(H30*I30*J30, 2)</f>
        <v/>
      </c>
      <c r="L30" s="23">
        <f>ROUND(K30/1000, 3)</f>
        <v/>
      </c>
      <c r="M30" s="8">
        <f>IF(AO30="","",IF(INDEX(Theo_Doi_Tan_Suat_Be_Tong!$C:$C,AO30)="","",INDEX(Theo_Doi_Tan_Suat_Be_Tong!$C:$C,AO30)-VLOOKUP(AN30,$AQ$2:$AR$7,2,FALSE)))</f>
        <v/>
      </c>
      <c r="N30" s="6" t="n"/>
      <c r="O30" s="24">
        <f>IF(ROUNDUP(S30/20,0)&gt;ROUNDUP(S29/20,0),"TN Ø16 (Lần " &amp; ROUNDUP(S30/20,0) &amp; ")","")</f>
        <v/>
      </c>
      <c r="P30" s="20">
        <f>ROUND(P29+IF(AND(E30&lt;=10,F30&lt;&gt;"ASTM A416"),L30,0),3)</f>
        <v/>
      </c>
      <c r="Q30" s="20">
        <f>ROUND(Q29+IF(AND(E30=12,F30&lt;&gt;"ASTM A416"),L30,0),3)</f>
        <v/>
      </c>
      <c r="R30" s="20">
        <f>ROUND(R29+IF(AND(E30=14,F30&lt;&gt;"ASTM A416"),L30,0),3)</f>
        <v/>
      </c>
      <c r="S30" s="20">
        <f>ROUND(S29+IF(AND(E30=16,F30&lt;&gt;"ASTM A416"),L30,0),3)</f>
        <v/>
      </c>
      <c r="T30" s="20">
        <f>ROUND(T29+IF(AND(E30=18,F30&lt;&gt;"ASTM A416"),L30,0),3)</f>
        <v/>
      </c>
      <c r="U30" s="20">
        <f>ROUND(U29+IF(AND(E30=20,F30&lt;&gt;"ASTM A416"),L30,0),3)</f>
        <v/>
      </c>
      <c r="V30" s="20">
        <f>ROUND(V29+IF(AND(E30=22,F30&lt;&gt;"ASTM A416"),L30,0),3)</f>
        <v/>
      </c>
      <c r="W30" s="20">
        <f>ROUND(W29+IF(AND(E30=25,F30&lt;&gt;"ASTM A416"),L30,0),3)</f>
        <v/>
      </c>
      <c r="X30" s="20">
        <f>ROUND(X29+IF(AND(E30=28,F30&lt;&gt;"ASTM A416"),L30,0),3)</f>
        <v/>
      </c>
      <c r="Y30" s="20">
        <f>ROUND(Y29+IF(AND(E30=32,F30&lt;&gt;"ASTM A416"),L30,0),3)</f>
        <v/>
      </c>
      <c r="Z30" s="20">
        <f>ROUND(Z29+IF(F30="ASTM A416",L30,0),3)</f>
        <v/>
      </c>
      <c r="AA30" s="11">
        <f>IF(ROUNDUP(P30/20,0)&gt;ROUNDUP(P29/20,0),"Lần " &amp; ROUNDUP(P30/20,0),"")</f>
        <v/>
      </c>
      <c r="AB30" s="11">
        <f>IF(ROUNDUP(Q30/20,0)&gt;ROUNDUP(Q29/20,0),"Lần " &amp; ROUNDUP(Q30/20,0),"")</f>
        <v/>
      </c>
      <c r="AC30" s="11">
        <f>IF(ROUNDUP(R30/20,0)&gt;ROUNDUP(R29/20,0),"Lần " &amp; ROUNDUP(R30/20,0),"")</f>
        <v/>
      </c>
      <c r="AD30" s="11">
        <f>IF(ROUNDUP(S30/20,0)&gt;ROUNDUP(S29/20,0),"Lần " &amp; ROUNDUP(S30/20,0),"")</f>
        <v/>
      </c>
      <c r="AE30" s="11">
        <f>IF(ROUNDUP(T30/20,0)&gt;ROUNDUP(T29/20,0),"Lần " &amp; ROUNDUP(T30/20,0),"")</f>
        <v/>
      </c>
      <c r="AF30" s="11">
        <f>IF(ROUNDUP(U30/20,0)&gt;ROUNDUP(U29/20,0),"Lần " &amp; ROUNDUP(U30/20,0),"")</f>
        <v/>
      </c>
      <c r="AG30" s="11">
        <f>IF(ROUNDUP(V30/20,0)&gt;ROUNDUP(V29/20,0),"Lần " &amp; ROUNDUP(V30/20,0),"")</f>
        <v/>
      </c>
      <c r="AH30" s="11">
        <f>IF(ROUNDUP(W30/20,0)&gt;ROUNDUP(W29/20,0),"Lần " &amp; ROUNDUP(W30/20,0),"")</f>
        <v/>
      </c>
      <c r="AI30" s="11">
        <f>IF(ROUNDUP(X30/20,0)&gt;ROUNDUP(X29/20,0),"Lần " &amp; ROUNDUP(X30/20,0),"")</f>
        <v/>
      </c>
      <c r="AJ30" s="11">
        <f>IF(ROUNDUP(Y30/20,0)&gt;ROUNDUP(Y29/20,0),"Lần " &amp; ROUNDUP(Y30/20,0),"")</f>
        <v/>
      </c>
      <c r="AK30" s="11">
        <f>IF(ROUNDUP(Z30/20,0)&gt;ROUNDUP(Z29/20,0),"Lần " &amp; ROUNDUP(Z30/20,0),"")</f>
        <v/>
      </c>
      <c r="AL30" s="6" t="n"/>
      <c r="AN30" t="inlineStr">
        <is>
          <t>Than</t>
        </is>
      </c>
      <c r="AO30" t="n">
        <v>50</v>
      </c>
    </row>
    <row r="31" ht="19" customHeight="1">
      <c r="A31" s="6" t="n">
        <v>28</v>
      </c>
      <c r="B31" s="7" t="inlineStr">
        <is>
          <t>Mố M1</t>
        </is>
      </c>
      <c r="C31" s="7" t="inlineStr">
        <is>
          <t>Mố M1 (tr.31)</t>
        </is>
      </c>
      <c r="D31" s="18" t="inlineStr">
        <is>
          <t>W4B(T)</t>
        </is>
      </c>
      <c r="E31" s="19" t="n">
        <v>16</v>
      </c>
      <c r="F31" s="6" t="inlineStr">
        <is>
          <t>CB400-V</t>
        </is>
      </c>
      <c r="G31" s="7" t="inlineStr"/>
      <c r="H31" s="20" t="n">
        <v>2.795</v>
      </c>
      <c r="I31" s="21" t="n">
        <v>16</v>
      </c>
      <c r="J31" s="22" t="n">
        <v>1.578</v>
      </c>
      <c r="K31" s="9">
        <f>ROUND(H31*I31*J31, 2)</f>
        <v/>
      </c>
      <c r="L31" s="23">
        <f>ROUND(K31/1000, 3)</f>
        <v/>
      </c>
      <c r="M31" s="8">
        <f>IF(AO31="","",IF(INDEX(Theo_Doi_Tan_Suat_Be_Tong!$C:$C,AO31)="","",INDEX(Theo_Doi_Tan_Suat_Be_Tong!$C:$C,AO31)-VLOOKUP(AN31,$AQ$2:$AR$7,2,FALSE)))</f>
        <v/>
      </c>
      <c r="N31" s="6" t="n"/>
      <c r="O31" s="24">
        <f>IF(ROUNDUP(S31/20,0)&gt;ROUNDUP(S30/20,0),"TN Ø16 (Lần " &amp; ROUNDUP(S31/20,0) &amp; ")","")</f>
        <v/>
      </c>
      <c r="P31" s="20">
        <f>ROUND(P30+IF(AND(E31&lt;=10,F31&lt;&gt;"ASTM A416"),L31,0),3)</f>
        <v/>
      </c>
      <c r="Q31" s="20">
        <f>ROUND(Q30+IF(AND(E31=12,F31&lt;&gt;"ASTM A416"),L31,0),3)</f>
        <v/>
      </c>
      <c r="R31" s="20">
        <f>ROUND(R30+IF(AND(E31=14,F31&lt;&gt;"ASTM A416"),L31,0),3)</f>
        <v/>
      </c>
      <c r="S31" s="20">
        <f>ROUND(S30+IF(AND(E31=16,F31&lt;&gt;"ASTM A416"),L31,0),3)</f>
        <v/>
      </c>
      <c r="T31" s="20">
        <f>ROUND(T30+IF(AND(E31=18,F31&lt;&gt;"ASTM A416"),L31,0),3)</f>
        <v/>
      </c>
      <c r="U31" s="20">
        <f>ROUND(U30+IF(AND(E31=20,F31&lt;&gt;"ASTM A416"),L31,0),3)</f>
        <v/>
      </c>
      <c r="V31" s="20">
        <f>ROUND(V30+IF(AND(E31=22,F31&lt;&gt;"ASTM A416"),L31,0),3)</f>
        <v/>
      </c>
      <c r="W31" s="20">
        <f>ROUND(W30+IF(AND(E31=25,F31&lt;&gt;"ASTM A416"),L31,0),3)</f>
        <v/>
      </c>
      <c r="X31" s="20">
        <f>ROUND(X30+IF(AND(E31=28,F31&lt;&gt;"ASTM A416"),L31,0),3)</f>
        <v/>
      </c>
      <c r="Y31" s="20">
        <f>ROUND(Y30+IF(AND(E31=32,F31&lt;&gt;"ASTM A416"),L31,0),3)</f>
        <v/>
      </c>
      <c r="Z31" s="20">
        <f>ROUND(Z30+IF(F31="ASTM A416",L31,0),3)</f>
        <v/>
      </c>
      <c r="AA31" s="11">
        <f>IF(ROUNDUP(P31/20,0)&gt;ROUNDUP(P30/20,0),"Lần " &amp; ROUNDUP(P31/20,0),"")</f>
        <v/>
      </c>
      <c r="AB31" s="11">
        <f>IF(ROUNDUP(Q31/20,0)&gt;ROUNDUP(Q30/20,0),"Lần " &amp; ROUNDUP(Q31/20,0),"")</f>
        <v/>
      </c>
      <c r="AC31" s="11">
        <f>IF(ROUNDUP(R31/20,0)&gt;ROUNDUP(R30/20,0),"Lần " &amp; ROUNDUP(R31/20,0),"")</f>
        <v/>
      </c>
      <c r="AD31" s="11">
        <f>IF(ROUNDUP(S31/20,0)&gt;ROUNDUP(S30/20,0),"Lần " &amp; ROUNDUP(S31/20,0),"")</f>
        <v/>
      </c>
      <c r="AE31" s="11">
        <f>IF(ROUNDUP(T31/20,0)&gt;ROUNDUP(T30/20,0),"Lần " &amp; ROUNDUP(T31/20,0),"")</f>
        <v/>
      </c>
      <c r="AF31" s="11">
        <f>IF(ROUNDUP(U31/20,0)&gt;ROUNDUP(U30/20,0),"Lần " &amp; ROUNDUP(U31/20,0),"")</f>
        <v/>
      </c>
      <c r="AG31" s="11">
        <f>IF(ROUNDUP(V31/20,0)&gt;ROUNDUP(V30/20,0),"Lần " &amp; ROUNDUP(V31/20,0),"")</f>
        <v/>
      </c>
      <c r="AH31" s="11">
        <f>IF(ROUNDUP(W31/20,0)&gt;ROUNDUP(W30/20,0),"Lần " &amp; ROUNDUP(W31/20,0),"")</f>
        <v/>
      </c>
      <c r="AI31" s="11">
        <f>IF(ROUNDUP(X31/20,0)&gt;ROUNDUP(X30/20,0),"Lần " &amp; ROUNDUP(X31/20,0),"")</f>
        <v/>
      </c>
      <c r="AJ31" s="11">
        <f>IF(ROUNDUP(Y31/20,0)&gt;ROUNDUP(Y30/20,0),"Lần " &amp; ROUNDUP(Y31/20,0),"")</f>
        <v/>
      </c>
      <c r="AK31" s="11">
        <f>IF(ROUNDUP(Z31/20,0)&gt;ROUNDUP(Z30/20,0),"Lần " &amp; ROUNDUP(Z31/20,0),"")</f>
        <v/>
      </c>
      <c r="AL31" s="6" t="n"/>
      <c r="AN31" t="inlineStr">
        <is>
          <t>Than</t>
        </is>
      </c>
      <c r="AO31" t="n">
        <v>50</v>
      </c>
    </row>
    <row r="32" ht="19" customHeight="1">
      <c r="A32" s="6" t="n">
        <v>29</v>
      </c>
      <c r="B32" s="7" t="inlineStr">
        <is>
          <t>Mố M1</t>
        </is>
      </c>
      <c r="C32" s="7" t="inlineStr">
        <is>
          <t>Mố M1 (tr.31)</t>
        </is>
      </c>
      <c r="D32" s="18" t="inlineStr">
        <is>
          <t>W5(T)</t>
        </is>
      </c>
      <c r="E32" s="19" t="n">
        <v>16</v>
      </c>
      <c r="F32" s="6" t="inlineStr">
        <is>
          <t>CB400-V</t>
        </is>
      </c>
      <c r="G32" s="7" t="inlineStr"/>
      <c r="H32" s="20" t="n">
        <v>4.816</v>
      </c>
      <c r="I32" s="21" t="n">
        <v>1</v>
      </c>
      <c r="J32" s="22" t="n">
        <v>1.578</v>
      </c>
      <c r="K32" s="9">
        <f>ROUND(H32*I32*J32, 2)</f>
        <v/>
      </c>
      <c r="L32" s="23">
        <f>ROUND(K32/1000, 3)</f>
        <v/>
      </c>
      <c r="M32" s="8">
        <f>IF(AO32="","",IF(INDEX(Theo_Doi_Tan_Suat_Be_Tong!$C:$C,AO32)="","",INDEX(Theo_Doi_Tan_Suat_Be_Tong!$C:$C,AO32)-VLOOKUP(AN32,$AQ$2:$AR$7,2,FALSE)))</f>
        <v/>
      </c>
      <c r="N32" s="6" t="n"/>
      <c r="O32" s="24">
        <f>IF(ROUNDUP(S32/20,0)&gt;ROUNDUP(S31/20,0),"TN Ø16 (Lần " &amp; ROUNDUP(S32/20,0) &amp; ")","")</f>
        <v/>
      </c>
      <c r="P32" s="20">
        <f>ROUND(P31+IF(AND(E32&lt;=10,F32&lt;&gt;"ASTM A416"),L32,0),3)</f>
        <v/>
      </c>
      <c r="Q32" s="20">
        <f>ROUND(Q31+IF(AND(E32=12,F32&lt;&gt;"ASTM A416"),L32,0),3)</f>
        <v/>
      </c>
      <c r="R32" s="20">
        <f>ROUND(R31+IF(AND(E32=14,F32&lt;&gt;"ASTM A416"),L32,0),3)</f>
        <v/>
      </c>
      <c r="S32" s="20">
        <f>ROUND(S31+IF(AND(E32=16,F32&lt;&gt;"ASTM A416"),L32,0),3)</f>
        <v/>
      </c>
      <c r="T32" s="20">
        <f>ROUND(T31+IF(AND(E32=18,F32&lt;&gt;"ASTM A416"),L32,0),3)</f>
        <v/>
      </c>
      <c r="U32" s="20">
        <f>ROUND(U31+IF(AND(E32=20,F32&lt;&gt;"ASTM A416"),L32,0),3)</f>
        <v/>
      </c>
      <c r="V32" s="20">
        <f>ROUND(V31+IF(AND(E32=22,F32&lt;&gt;"ASTM A416"),L32,0),3)</f>
        <v/>
      </c>
      <c r="W32" s="20">
        <f>ROUND(W31+IF(AND(E32=25,F32&lt;&gt;"ASTM A416"),L32,0),3)</f>
        <v/>
      </c>
      <c r="X32" s="20">
        <f>ROUND(X31+IF(AND(E32=28,F32&lt;&gt;"ASTM A416"),L32,0),3)</f>
        <v/>
      </c>
      <c r="Y32" s="20">
        <f>ROUND(Y31+IF(AND(E32=32,F32&lt;&gt;"ASTM A416"),L32,0),3)</f>
        <v/>
      </c>
      <c r="Z32" s="20">
        <f>ROUND(Z31+IF(F32="ASTM A416",L32,0),3)</f>
        <v/>
      </c>
      <c r="AA32" s="11">
        <f>IF(ROUNDUP(P32/20,0)&gt;ROUNDUP(P31/20,0),"Lần " &amp; ROUNDUP(P32/20,0),"")</f>
        <v/>
      </c>
      <c r="AB32" s="11">
        <f>IF(ROUNDUP(Q32/20,0)&gt;ROUNDUP(Q31/20,0),"Lần " &amp; ROUNDUP(Q32/20,0),"")</f>
        <v/>
      </c>
      <c r="AC32" s="11">
        <f>IF(ROUNDUP(R32/20,0)&gt;ROUNDUP(R31/20,0),"Lần " &amp; ROUNDUP(R32/20,0),"")</f>
        <v/>
      </c>
      <c r="AD32" s="11">
        <f>IF(ROUNDUP(S32/20,0)&gt;ROUNDUP(S31/20,0),"Lần " &amp; ROUNDUP(S32/20,0),"")</f>
        <v/>
      </c>
      <c r="AE32" s="11">
        <f>IF(ROUNDUP(T32/20,0)&gt;ROUNDUP(T31/20,0),"Lần " &amp; ROUNDUP(T32/20,0),"")</f>
        <v/>
      </c>
      <c r="AF32" s="11">
        <f>IF(ROUNDUP(U32/20,0)&gt;ROUNDUP(U31/20,0),"Lần " &amp; ROUNDUP(U32/20,0),"")</f>
        <v/>
      </c>
      <c r="AG32" s="11">
        <f>IF(ROUNDUP(V32/20,0)&gt;ROUNDUP(V31/20,0),"Lần " &amp; ROUNDUP(V32/20,0),"")</f>
        <v/>
      </c>
      <c r="AH32" s="11">
        <f>IF(ROUNDUP(W32/20,0)&gt;ROUNDUP(W31/20,0),"Lần " &amp; ROUNDUP(W32/20,0),"")</f>
        <v/>
      </c>
      <c r="AI32" s="11">
        <f>IF(ROUNDUP(X32/20,0)&gt;ROUNDUP(X31/20,0),"Lần " &amp; ROUNDUP(X32/20,0),"")</f>
        <v/>
      </c>
      <c r="AJ32" s="11">
        <f>IF(ROUNDUP(Y32/20,0)&gt;ROUNDUP(Y31/20,0),"Lần " &amp; ROUNDUP(Y32/20,0),"")</f>
        <v/>
      </c>
      <c r="AK32" s="11">
        <f>IF(ROUNDUP(Z32/20,0)&gt;ROUNDUP(Z31/20,0),"Lần " &amp; ROUNDUP(Z32/20,0),"")</f>
        <v/>
      </c>
      <c r="AL32" s="6" t="n"/>
      <c r="AN32" t="inlineStr">
        <is>
          <t>Than</t>
        </is>
      </c>
      <c r="AO32" t="n">
        <v>50</v>
      </c>
    </row>
    <row r="33" ht="19" customHeight="1">
      <c r="A33" s="6" t="n">
        <v>30</v>
      </c>
      <c r="B33" s="7" t="inlineStr">
        <is>
          <t>Mố M1</t>
        </is>
      </c>
      <c r="C33" s="7" t="inlineStr">
        <is>
          <t>Mố M1 (tr.31)</t>
        </is>
      </c>
      <c r="D33" s="18" t="inlineStr">
        <is>
          <t>W6(T)</t>
        </is>
      </c>
      <c r="E33" s="19" t="n">
        <v>14</v>
      </c>
      <c r="F33" s="6" t="inlineStr">
        <is>
          <t>CB400-V</t>
        </is>
      </c>
      <c r="G33" s="7" t="inlineStr"/>
      <c r="H33" s="20" t="n">
        <v>0.61</v>
      </c>
      <c r="I33" s="21" t="n">
        <v>18</v>
      </c>
      <c r="J33" s="22" t="n">
        <v>1.208</v>
      </c>
      <c r="K33" s="9">
        <f>ROUND(H33*I33*J33, 2)</f>
        <v/>
      </c>
      <c r="L33" s="23">
        <f>ROUND(K33/1000, 3)</f>
        <v/>
      </c>
      <c r="M33" s="8">
        <f>IF(AO33="","",IF(INDEX(Theo_Doi_Tan_Suat_Be_Tong!$C:$C,AO33)="","",INDEX(Theo_Doi_Tan_Suat_Be_Tong!$C:$C,AO33)-VLOOKUP(AN33,$AQ$2:$AR$7,2,FALSE)))</f>
        <v/>
      </c>
      <c r="N33" s="6" t="n"/>
      <c r="O33" s="24">
        <f>IF(ROUNDUP(R33/20,0)&gt;ROUNDUP(R32/20,0),"TN Ø14 (Lần " &amp; ROUNDUP(R33/20,0) &amp; ")","")</f>
        <v/>
      </c>
      <c r="P33" s="20">
        <f>ROUND(P32+IF(AND(E33&lt;=10,F33&lt;&gt;"ASTM A416"),L33,0),3)</f>
        <v/>
      </c>
      <c r="Q33" s="20">
        <f>ROUND(Q32+IF(AND(E33=12,F33&lt;&gt;"ASTM A416"),L33,0),3)</f>
        <v/>
      </c>
      <c r="R33" s="20">
        <f>ROUND(R32+IF(AND(E33=14,F33&lt;&gt;"ASTM A416"),L33,0),3)</f>
        <v/>
      </c>
      <c r="S33" s="20">
        <f>ROUND(S32+IF(AND(E33=16,F33&lt;&gt;"ASTM A416"),L33,0),3)</f>
        <v/>
      </c>
      <c r="T33" s="20">
        <f>ROUND(T32+IF(AND(E33=18,F33&lt;&gt;"ASTM A416"),L33,0),3)</f>
        <v/>
      </c>
      <c r="U33" s="20">
        <f>ROUND(U32+IF(AND(E33=20,F33&lt;&gt;"ASTM A416"),L33,0),3)</f>
        <v/>
      </c>
      <c r="V33" s="20">
        <f>ROUND(V32+IF(AND(E33=22,F33&lt;&gt;"ASTM A416"),L33,0),3)</f>
        <v/>
      </c>
      <c r="W33" s="20">
        <f>ROUND(W32+IF(AND(E33=25,F33&lt;&gt;"ASTM A416"),L33,0),3)</f>
        <v/>
      </c>
      <c r="X33" s="20">
        <f>ROUND(X32+IF(AND(E33=28,F33&lt;&gt;"ASTM A416"),L33,0),3)</f>
        <v/>
      </c>
      <c r="Y33" s="20">
        <f>ROUND(Y32+IF(AND(E33=32,F33&lt;&gt;"ASTM A416"),L33,0),3)</f>
        <v/>
      </c>
      <c r="Z33" s="20">
        <f>ROUND(Z32+IF(F33="ASTM A416",L33,0),3)</f>
        <v/>
      </c>
      <c r="AA33" s="11">
        <f>IF(ROUNDUP(P33/20,0)&gt;ROUNDUP(P32/20,0),"Lần " &amp; ROUNDUP(P33/20,0),"")</f>
        <v/>
      </c>
      <c r="AB33" s="11">
        <f>IF(ROUNDUP(Q33/20,0)&gt;ROUNDUP(Q32/20,0),"Lần " &amp; ROUNDUP(Q33/20,0),"")</f>
        <v/>
      </c>
      <c r="AC33" s="11">
        <f>IF(ROUNDUP(R33/20,0)&gt;ROUNDUP(R32/20,0),"Lần " &amp; ROUNDUP(R33/20,0),"")</f>
        <v/>
      </c>
      <c r="AD33" s="11">
        <f>IF(ROUNDUP(S33/20,0)&gt;ROUNDUP(S32/20,0),"Lần " &amp; ROUNDUP(S33/20,0),"")</f>
        <v/>
      </c>
      <c r="AE33" s="11">
        <f>IF(ROUNDUP(T33/20,0)&gt;ROUNDUP(T32/20,0),"Lần " &amp; ROUNDUP(T33/20,0),"")</f>
        <v/>
      </c>
      <c r="AF33" s="11">
        <f>IF(ROUNDUP(U33/20,0)&gt;ROUNDUP(U32/20,0),"Lần " &amp; ROUNDUP(U33/20,0),"")</f>
        <v/>
      </c>
      <c r="AG33" s="11">
        <f>IF(ROUNDUP(V33/20,0)&gt;ROUNDUP(V32/20,0),"Lần " &amp; ROUNDUP(V33/20,0),"")</f>
        <v/>
      </c>
      <c r="AH33" s="11">
        <f>IF(ROUNDUP(W33/20,0)&gt;ROUNDUP(W32/20,0),"Lần " &amp; ROUNDUP(W33/20,0),"")</f>
        <v/>
      </c>
      <c r="AI33" s="11">
        <f>IF(ROUNDUP(X33/20,0)&gt;ROUNDUP(X32/20,0),"Lần " &amp; ROUNDUP(X33/20,0),"")</f>
        <v/>
      </c>
      <c r="AJ33" s="11">
        <f>IF(ROUNDUP(Y33/20,0)&gt;ROUNDUP(Y32/20,0),"Lần " &amp; ROUNDUP(Y33/20,0),"")</f>
        <v/>
      </c>
      <c r="AK33" s="11">
        <f>IF(ROUNDUP(Z33/20,0)&gt;ROUNDUP(Z32/20,0),"Lần " &amp; ROUNDUP(Z33/20,0),"")</f>
        <v/>
      </c>
      <c r="AL33" s="6" t="n"/>
      <c r="AN33" t="inlineStr">
        <is>
          <t>Than</t>
        </is>
      </c>
      <c r="AO33" t="n">
        <v>50</v>
      </c>
    </row>
    <row r="34" ht="20" customHeight="1">
      <c r="A34" s="6" t="n">
        <v>31</v>
      </c>
      <c r="B34" s="7" t="inlineStr">
        <is>
          <t>Mố M1</t>
        </is>
      </c>
      <c r="C34" s="7" t="inlineStr">
        <is>
          <t>Mố M1 (tr.31)</t>
        </is>
      </c>
      <c r="D34" s="18" t="inlineStr">
        <is>
          <t>W7(D</t>
        </is>
      </c>
      <c r="E34" s="19" t="n">
        <v>16</v>
      </c>
      <c r="F34" s="6" t="inlineStr">
        <is>
          <t>CB400-V</t>
        </is>
      </c>
      <c r="G34" s="7" t="inlineStr"/>
      <c r="H34" s="20" t="n">
        <v>0.64</v>
      </c>
      <c r="I34" s="21" t="n">
        <v>26</v>
      </c>
      <c r="J34" s="22" t="n">
        <v>1.578</v>
      </c>
      <c r="K34" s="9">
        <f>ROUND(H34*I34*J34, 2)</f>
        <v/>
      </c>
      <c r="L34" s="23">
        <f>ROUND(K34/1000, 3)</f>
        <v/>
      </c>
      <c r="M34" s="8">
        <f>IF(AO34="","",IF(INDEX(Theo_Doi_Tan_Suat_Be_Tong!$C:$C,AO34)="","",INDEX(Theo_Doi_Tan_Suat_Be_Tong!$C:$C,AO34)-VLOOKUP(AN34,$AQ$2:$AR$7,2,FALSE)))</f>
        <v/>
      </c>
      <c r="N34" s="6" t="n"/>
      <c r="O34" s="24">
        <f>IF(ROUNDUP(S34/20,0)&gt;ROUNDUP(S33/20,0),"TN Ø16 (Lần " &amp; ROUNDUP(S34/20,0) &amp; ")","")</f>
        <v/>
      </c>
      <c r="P34" s="20">
        <f>ROUND(P33+IF(AND(E34&lt;=10,F34&lt;&gt;"ASTM A416"),L34,0),3)</f>
        <v/>
      </c>
      <c r="Q34" s="20">
        <f>ROUND(Q33+IF(AND(E34=12,F34&lt;&gt;"ASTM A416"),L34,0),3)</f>
        <v/>
      </c>
      <c r="R34" s="20">
        <f>ROUND(R33+IF(AND(E34=14,F34&lt;&gt;"ASTM A416"),L34,0),3)</f>
        <v/>
      </c>
      <c r="S34" s="20">
        <f>ROUND(S33+IF(AND(E34=16,F34&lt;&gt;"ASTM A416"),L34,0),3)</f>
        <v/>
      </c>
      <c r="T34" s="20">
        <f>ROUND(T33+IF(AND(E34=18,F34&lt;&gt;"ASTM A416"),L34,0),3)</f>
        <v/>
      </c>
      <c r="U34" s="20">
        <f>ROUND(U33+IF(AND(E34=20,F34&lt;&gt;"ASTM A416"),L34,0),3)</f>
        <v/>
      </c>
      <c r="V34" s="20">
        <f>ROUND(V33+IF(AND(E34=22,F34&lt;&gt;"ASTM A416"),L34,0),3)</f>
        <v/>
      </c>
      <c r="W34" s="20">
        <f>ROUND(W33+IF(AND(E34=25,F34&lt;&gt;"ASTM A416"),L34,0),3)</f>
        <v/>
      </c>
      <c r="X34" s="20">
        <f>ROUND(X33+IF(AND(E34=28,F34&lt;&gt;"ASTM A416"),L34,0),3)</f>
        <v/>
      </c>
      <c r="Y34" s="20">
        <f>ROUND(Y33+IF(AND(E34=32,F34&lt;&gt;"ASTM A416"),L34,0),3)</f>
        <v/>
      </c>
      <c r="Z34" s="20">
        <f>ROUND(Z33+IF(F34="ASTM A416",L34,0),3)</f>
        <v/>
      </c>
      <c r="AA34" s="11">
        <f>IF(ROUNDUP(P34/20,0)&gt;ROUNDUP(P33/20,0),"Lần " &amp; ROUNDUP(P34/20,0),"")</f>
        <v/>
      </c>
      <c r="AB34" s="11">
        <f>IF(ROUNDUP(Q34/20,0)&gt;ROUNDUP(Q33/20,0),"Lần " &amp; ROUNDUP(Q34/20,0),"")</f>
        <v/>
      </c>
      <c r="AC34" s="11">
        <f>IF(ROUNDUP(R34/20,0)&gt;ROUNDUP(R33/20,0),"Lần " &amp; ROUNDUP(R34/20,0),"")</f>
        <v/>
      </c>
      <c r="AD34" s="11">
        <f>IF(ROUNDUP(S34/20,0)&gt;ROUNDUP(S33/20,0),"Lần " &amp; ROUNDUP(S34/20,0),"")</f>
        <v/>
      </c>
      <c r="AE34" s="11">
        <f>IF(ROUNDUP(T34/20,0)&gt;ROUNDUP(T33/20,0),"Lần " &amp; ROUNDUP(T34/20,0),"")</f>
        <v/>
      </c>
      <c r="AF34" s="11">
        <f>IF(ROUNDUP(U34/20,0)&gt;ROUNDUP(U33/20,0),"Lần " &amp; ROUNDUP(U34/20,0),"")</f>
        <v/>
      </c>
      <c r="AG34" s="11">
        <f>IF(ROUNDUP(V34/20,0)&gt;ROUNDUP(V33/20,0),"Lần " &amp; ROUNDUP(V34/20,0),"")</f>
        <v/>
      </c>
      <c r="AH34" s="11">
        <f>IF(ROUNDUP(W34/20,0)&gt;ROUNDUP(W33/20,0),"Lần " &amp; ROUNDUP(W34/20,0),"")</f>
        <v/>
      </c>
      <c r="AI34" s="11">
        <f>IF(ROUNDUP(X34/20,0)&gt;ROUNDUP(X33/20,0),"Lần " &amp; ROUNDUP(X34/20,0),"")</f>
        <v/>
      </c>
      <c r="AJ34" s="11">
        <f>IF(ROUNDUP(Y34/20,0)&gt;ROUNDUP(Y33/20,0),"Lần " &amp; ROUNDUP(Y34/20,0),"")</f>
        <v/>
      </c>
      <c r="AK34" s="11">
        <f>IF(ROUNDUP(Z34/20,0)&gt;ROUNDUP(Z33/20,0),"Lần " &amp; ROUNDUP(Z34/20,0),"")</f>
        <v/>
      </c>
      <c r="AL34" s="6" t="n"/>
      <c r="AN34" t="inlineStr">
        <is>
          <t>Than</t>
        </is>
      </c>
      <c r="AO34" t="n">
        <v>50</v>
      </c>
    </row>
    <row r="35" ht="19" customHeight="1">
      <c r="A35" s="6" t="n">
        <v>32</v>
      </c>
      <c r="B35" s="7" t="inlineStr">
        <is>
          <t>Mố M1</t>
        </is>
      </c>
      <c r="C35" s="7" t="inlineStr">
        <is>
          <t>Mố M1 (tr.31)</t>
        </is>
      </c>
      <c r="D35" s="18" t="inlineStr">
        <is>
          <t>W8(T)</t>
        </is>
      </c>
      <c r="E35" s="19" t="n">
        <v>16</v>
      </c>
      <c r="F35" s="6" t="inlineStr">
        <is>
          <t>CB400-V</t>
        </is>
      </c>
      <c r="G35" s="7" t="inlineStr"/>
      <c r="H35" s="20" t="n">
        <v>3.493</v>
      </c>
      <c r="I35" s="21" t="n">
        <v>2</v>
      </c>
      <c r="J35" s="22" t="n">
        <v>1.578</v>
      </c>
      <c r="K35" s="9">
        <f>ROUND(H35*I35*J35, 2)</f>
        <v/>
      </c>
      <c r="L35" s="23">
        <f>ROUND(K35/1000, 3)</f>
        <v/>
      </c>
      <c r="M35" s="8">
        <f>IF(AO35="","",IF(INDEX(Theo_Doi_Tan_Suat_Be_Tong!$C:$C,AO35)="","",INDEX(Theo_Doi_Tan_Suat_Be_Tong!$C:$C,AO35)-VLOOKUP(AN35,$AQ$2:$AR$7,2,FALSE)))</f>
        <v/>
      </c>
      <c r="N35" s="6" t="n"/>
      <c r="O35" s="24">
        <f>IF(ROUNDUP(S35/20,0)&gt;ROUNDUP(S34/20,0),"TN Ø16 (Lần " &amp; ROUNDUP(S35/20,0) &amp; ")","")</f>
        <v/>
      </c>
      <c r="P35" s="20">
        <f>ROUND(P34+IF(AND(E35&lt;=10,F35&lt;&gt;"ASTM A416"),L35,0),3)</f>
        <v/>
      </c>
      <c r="Q35" s="20">
        <f>ROUND(Q34+IF(AND(E35=12,F35&lt;&gt;"ASTM A416"),L35,0),3)</f>
        <v/>
      </c>
      <c r="R35" s="20">
        <f>ROUND(R34+IF(AND(E35=14,F35&lt;&gt;"ASTM A416"),L35,0),3)</f>
        <v/>
      </c>
      <c r="S35" s="20">
        <f>ROUND(S34+IF(AND(E35=16,F35&lt;&gt;"ASTM A416"),L35,0),3)</f>
        <v/>
      </c>
      <c r="T35" s="20">
        <f>ROUND(T34+IF(AND(E35=18,F35&lt;&gt;"ASTM A416"),L35,0),3)</f>
        <v/>
      </c>
      <c r="U35" s="20">
        <f>ROUND(U34+IF(AND(E35=20,F35&lt;&gt;"ASTM A416"),L35,0),3)</f>
        <v/>
      </c>
      <c r="V35" s="20">
        <f>ROUND(V34+IF(AND(E35=22,F35&lt;&gt;"ASTM A416"),L35,0),3)</f>
        <v/>
      </c>
      <c r="W35" s="20">
        <f>ROUND(W34+IF(AND(E35=25,F35&lt;&gt;"ASTM A416"),L35,0),3)</f>
        <v/>
      </c>
      <c r="X35" s="20">
        <f>ROUND(X34+IF(AND(E35=28,F35&lt;&gt;"ASTM A416"),L35,0),3)</f>
        <v/>
      </c>
      <c r="Y35" s="20">
        <f>ROUND(Y34+IF(AND(E35=32,F35&lt;&gt;"ASTM A416"),L35,0),3)</f>
        <v/>
      </c>
      <c r="Z35" s="20">
        <f>ROUND(Z34+IF(F35="ASTM A416",L35,0),3)</f>
        <v/>
      </c>
      <c r="AA35" s="11">
        <f>IF(ROUNDUP(P35/20,0)&gt;ROUNDUP(P34/20,0),"Lần " &amp; ROUNDUP(P35/20,0),"")</f>
        <v/>
      </c>
      <c r="AB35" s="11">
        <f>IF(ROUNDUP(Q35/20,0)&gt;ROUNDUP(Q34/20,0),"Lần " &amp; ROUNDUP(Q35/20,0),"")</f>
        <v/>
      </c>
      <c r="AC35" s="11">
        <f>IF(ROUNDUP(R35/20,0)&gt;ROUNDUP(R34/20,0),"Lần " &amp; ROUNDUP(R35/20,0),"")</f>
        <v/>
      </c>
      <c r="AD35" s="11">
        <f>IF(ROUNDUP(S35/20,0)&gt;ROUNDUP(S34/20,0),"Lần " &amp; ROUNDUP(S35/20,0),"")</f>
        <v/>
      </c>
      <c r="AE35" s="11">
        <f>IF(ROUNDUP(T35/20,0)&gt;ROUNDUP(T34/20,0),"Lần " &amp; ROUNDUP(T35/20,0),"")</f>
        <v/>
      </c>
      <c r="AF35" s="11">
        <f>IF(ROUNDUP(U35/20,0)&gt;ROUNDUP(U34/20,0),"Lần " &amp; ROUNDUP(U35/20,0),"")</f>
        <v/>
      </c>
      <c r="AG35" s="11">
        <f>IF(ROUNDUP(V35/20,0)&gt;ROUNDUP(V34/20,0),"Lần " &amp; ROUNDUP(V35/20,0),"")</f>
        <v/>
      </c>
      <c r="AH35" s="11">
        <f>IF(ROUNDUP(W35/20,0)&gt;ROUNDUP(W34/20,0),"Lần " &amp; ROUNDUP(W35/20,0),"")</f>
        <v/>
      </c>
      <c r="AI35" s="11">
        <f>IF(ROUNDUP(X35/20,0)&gt;ROUNDUP(X34/20,0),"Lần " &amp; ROUNDUP(X35/20,0),"")</f>
        <v/>
      </c>
      <c r="AJ35" s="11">
        <f>IF(ROUNDUP(Y35/20,0)&gt;ROUNDUP(Y34/20,0),"Lần " &amp; ROUNDUP(Y35/20,0),"")</f>
        <v/>
      </c>
      <c r="AK35" s="11">
        <f>IF(ROUNDUP(Z35/20,0)&gt;ROUNDUP(Z34/20,0),"Lần " &amp; ROUNDUP(Z35/20,0),"")</f>
        <v/>
      </c>
      <c r="AL35" s="6" t="n"/>
      <c r="AN35" t="inlineStr">
        <is>
          <t>Than</t>
        </is>
      </c>
      <c r="AO35" t="n">
        <v>50</v>
      </c>
    </row>
    <row r="36" ht="19" customHeight="1">
      <c r="A36" s="6" t="n">
        <v>33</v>
      </c>
      <c r="B36" s="7" t="inlineStr">
        <is>
          <t>Mố M1</t>
        </is>
      </c>
      <c r="C36" s="7" t="inlineStr">
        <is>
          <t>Mố M1 (tr.31)</t>
        </is>
      </c>
      <c r="D36" s="18" t="inlineStr">
        <is>
          <t>W9(T)</t>
        </is>
      </c>
      <c r="E36" s="19" t="n">
        <v>16</v>
      </c>
      <c r="F36" s="6" t="inlineStr">
        <is>
          <t>CB400-V</t>
        </is>
      </c>
      <c r="G36" s="7" t="inlineStr"/>
      <c r="H36" s="20" t="n">
        <v>1.906</v>
      </c>
      <c r="I36" s="21" t="n">
        <v>15</v>
      </c>
      <c r="J36" s="22" t="n">
        <v>1.578</v>
      </c>
      <c r="K36" s="9">
        <f>ROUND(H36*I36*J36, 2)</f>
        <v/>
      </c>
      <c r="L36" s="23">
        <f>ROUND(K36/1000, 3)</f>
        <v/>
      </c>
      <c r="M36" s="8">
        <f>IF(AO36="","",IF(INDEX(Theo_Doi_Tan_Suat_Be_Tong!$C:$C,AO36)="","",INDEX(Theo_Doi_Tan_Suat_Be_Tong!$C:$C,AO36)-VLOOKUP(AN36,$AQ$2:$AR$7,2,FALSE)))</f>
        <v/>
      </c>
      <c r="N36" s="6" t="n"/>
      <c r="O36" s="24">
        <f>IF(ROUNDUP(S36/20,0)&gt;ROUNDUP(S35/20,0),"TN Ø16 (Lần " &amp; ROUNDUP(S36/20,0) &amp; ")","")</f>
        <v/>
      </c>
      <c r="P36" s="20">
        <f>ROUND(P35+IF(AND(E36&lt;=10,F36&lt;&gt;"ASTM A416"),L36,0),3)</f>
        <v/>
      </c>
      <c r="Q36" s="20">
        <f>ROUND(Q35+IF(AND(E36=12,F36&lt;&gt;"ASTM A416"),L36,0),3)</f>
        <v/>
      </c>
      <c r="R36" s="20">
        <f>ROUND(R35+IF(AND(E36=14,F36&lt;&gt;"ASTM A416"),L36,0),3)</f>
        <v/>
      </c>
      <c r="S36" s="20">
        <f>ROUND(S35+IF(AND(E36=16,F36&lt;&gt;"ASTM A416"),L36,0),3)</f>
        <v/>
      </c>
      <c r="T36" s="20">
        <f>ROUND(T35+IF(AND(E36=18,F36&lt;&gt;"ASTM A416"),L36,0),3)</f>
        <v/>
      </c>
      <c r="U36" s="20">
        <f>ROUND(U35+IF(AND(E36=20,F36&lt;&gt;"ASTM A416"),L36,0),3)</f>
        <v/>
      </c>
      <c r="V36" s="20">
        <f>ROUND(V35+IF(AND(E36=22,F36&lt;&gt;"ASTM A416"),L36,0),3)</f>
        <v/>
      </c>
      <c r="W36" s="20">
        <f>ROUND(W35+IF(AND(E36=25,F36&lt;&gt;"ASTM A416"),L36,0),3)</f>
        <v/>
      </c>
      <c r="X36" s="20">
        <f>ROUND(X35+IF(AND(E36=28,F36&lt;&gt;"ASTM A416"),L36,0),3)</f>
        <v/>
      </c>
      <c r="Y36" s="20">
        <f>ROUND(Y35+IF(AND(E36=32,F36&lt;&gt;"ASTM A416"),L36,0),3)</f>
        <v/>
      </c>
      <c r="Z36" s="20">
        <f>ROUND(Z35+IF(F36="ASTM A416",L36,0),3)</f>
        <v/>
      </c>
      <c r="AA36" s="11">
        <f>IF(ROUNDUP(P36/20,0)&gt;ROUNDUP(P35/20,0),"Lần " &amp; ROUNDUP(P36/20,0),"")</f>
        <v/>
      </c>
      <c r="AB36" s="11">
        <f>IF(ROUNDUP(Q36/20,0)&gt;ROUNDUP(Q35/20,0),"Lần " &amp; ROUNDUP(Q36/20,0),"")</f>
        <v/>
      </c>
      <c r="AC36" s="11">
        <f>IF(ROUNDUP(R36/20,0)&gt;ROUNDUP(R35/20,0),"Lần " &amp; ROUNDUP(R36/20,0),"")</f>
        <v/>
      </c>
      <c r="AD36" s="11">
        <f>IF(ROUNDUP(S36/20,0)&gt;ROUNDUP(S35/20,0),"Lần " &amp; ROUNDUP(S36/20,0),"")</f>
        <v/>
      </c>
      <c r="AE36" s="11">
        <f>IF(ROUNDUP(T36/20,0)&gt;ROUNDUP(T35/20,0),"Lần " &amp; ROUNDUP(T36/20,0),"")</f>
        <v/>
      </c>
      <c r="AF36" s="11">
        <f>IF(ROUNDUP(U36/20,0)&gt;ROUNDUP(U35/20,0),"Lần " &amp; ROUNDUP(U36/20,0),"")</f>
        <v/>
      </c>
      <c r="AG36" s="11">
        <f>IF(ROUNDUP(V36/20,0)&gt;ROUNDUP(V35/20,0),"Lần " &amp; ROUNDUP(V36/20,0),"")</f>
        <v/>
      </c>
      <c r="AH36" s="11">
        <f>IF(ROUNDUP(W36/20,0)&gt;ROUNDUP(W35/20,0),"Lần " &amp; ROUNDUP(W36/20,0),"")</f>
        <v/>
      </c>
      <c r="AI36" s="11">
        <f>IF(ROUNDUP(X36/20,0)&gt;ROUNDUP(X35/20,0),"Lần " &amp; ROUNDUP(X36/20,0),"")</f>
        <v/>
      </c>
      <c r="AJ36" s="11">
        <f>IF(ROUNDUP(Y36/20,0)&gt;ROUNDUP(Y35/20,0),"Lần " &amp; ROUNDUP(Y36/20,0),"")</f>
        <v/>
      </c>
      <c r="AK36" s="11">
        <f>IF(ROUNDUP(Z36/20,0)&gt;ROUNDUP(Z35/20,0),"Lần " &amp; ROUNDUP(Z36/20,0),"")</f>
        <v/>
      </c>
      <c r="AL36" s="6" t="n"/>
      <c r="AN36" t="inlineStr">
        <is>
          <t>Than</t>
        </is>
      </c>
      <c r="AO36" t="n">
        <v>50</v>
      </c>
    </row>
    <row r="37" ht="19" customHeight="1">
      <c r="A37" s="6" t="n">
        <v>34</v>
      </c>
      <c r="B37" s="7" t="inlineStr">
        <is>
          <t>Mố M1</t>
        </is>
      </c>
      <c r="C37" s="7" t="inlineStr">
        <is>
          <t>Mố M1 (tr.31)</t>
        </is>
      </c>
      <c r="D37" s="18" t="inlineStr">
        <is>
          <t>U1</t>
        </is>
      </c>
      <c r="E37" s="19" t="n">
        <v>16</v>
      </c>
      <c r="F37" s="6" t="inlineStr">
        <is>
          <t>CB400-V</t>
        </is>
      </c>
      <c r="G37" s="7" t="inlineStr">
        <is>
          <t>S06</t>
        </is>
      </c>
      <c r="H37" s="20" t="n">
        <v>4.192</v>
      </c>
      <c r="I37" s="21" t="n">
        <v>8</v>
      </c>
      <c r="J37" s="22" t="n">
        <v>1.578</v>
      </c>
      <c r="K37" s="9">
        <f>ROUND(H37*I37*J37, 2)</f>
        <v/>
      </c>
      <c r="L37" s="23">
        <f>ROUND(K37/1000, 3)</f>
        <v/>
      </c>
      <c r="M37" s="8">
        <f>IF(AO37="","",IF(INDEX(Theo_Doi_Tan_Suat_Be_Tong!$C:$C,AO37)="","",INDEX(Theo_Doi_Tan_Suat_Be_Tong!$C:$C,AO37)-VLOOKUP(AN37,$AQ$2:$AR$7,2,FALSE)))</f>
        <v/>
      </c>
      <c r="N37" s="6" t="n"/>
      <c r="O37" s="24">
        <f>IF(ROUNDUP(S37/20,0)&gt;ROUNDUP(S36/20,0),"TN Ø16 (Lần " &amp; ROUNDUP(S37/20,0) &amp; ")","")</f>
        <v/>
      </c>
      <c r="P37" s="20">
        <f>ROUND(P36+IF(AND(E37&lt;=10,F37&lt;&gt;"ASTM A416"),L37,0),3)</f>
        <v/>
      </c>
      <c r="Q37" s="20">
        <f>ROUND(Q36+IF(AND(E37=12,F37&lt;&gt;"ASTM A416"),L37,0),3)</f>
        <v/>
      </c>
      <c r="R37" s="20">
        <f>ROUND(R36+IF(AND(E37=14,F37&lt;&gt;"ASTM A416"),L37,0),3)</f>
        <v/>
      </c>
      <c r="S37" s="20">
        <f>ROUND(S36+IF(AND(E37=16,F37&lt;&gt;"ASTM A416"),L37,0),3)</f>
        <v/>
      </c>
      <c r="T37" s="20">
        <f>ROUND(T36+IF(AND(E37=18,F37&lt;&gt;"ASTM A416"),L37,0),3)</f>
        <v/>
      </c>
      <c r="U37" s="20">
        <f>ROUND(U36+IF(AND(E37=20,F37&lt;&gt;"ASTM A416"),L37,0),3)</f>
        <v/>
      </c>
      <c r="V37" s="20">
        <f>ROUND(V36+IF(AND(E37=22,F37&lt;&gt;"ASTM A416"),L37,0),3)</f>
        <v/>
      </c>
      <c r="W37" s="20">
        <f>ROUND(W36+IF(AND(E37=25,F37&lt;&gt;"ASTM A416"),L37,0),3)</f>
        <v/>
      </c>
      <c r="X37" s="20">
        <f>ROUND(X36+IF(AND(E37=28,F37&lt;&gt;"ASTM A416"),L37,0),3)</f>
        <v/>
      </c>
      <c r="Y37" s="20">
        <f>ROUND(Y36+IF(AND(E37=32,F37&lt;&gt;"ASTM A416"),L37,0),3)</f>
        <v/>
      </c>
      <c r="Z37" s="20">
        <f>ROUND(Z36+IF(F37="ASTM A416",L37,0),3)</f>
        <v/>
      </c>
      <c r="AA37" s="11">
        <f>IF(ROUNDUP(P37/20,0)&gt;ROUNDUP(P36/20,0),"Lần " &amp; ROUNDUP(P37/20,0),"")</f>
        <v/>
      </c>
      <c r="AB37" s="11">
        <f>IF(ROUNDUP(Q37/20,0)&gt;ROUNDUP(Q36/20,0),"Lần " &amp; ROUNDUP(Q37/20,0),"")</f>
        <v/>
      </c>
      <c r="AC37" s="11">
        <f>IF(ROUNDUP(R37/20,0)&gt;ROUNDUP(R36/20,0),"Lần " &amp; ROUNDUP(R37/20,0),"")</f>
        <v/>
      </c>
      <c r="AD37" s="11">
        <f>IF(ROUNDUP(S37/20,0)&gt;ROUNDUP(S36/20,0),"Lần " &amp; ROUNDUP(S37/20,0),"")</f>
        <v/>
      </c>
      <c r="AE37" s="11">
        <f>IF(ROUNDUP(T37/20,0)&gt;ROUNDUP(T36/20,0),"Lần " &amp; ROUNDUP(T37/20,0),"")</f>
        <v/>
      </c>
      <c r="AF37" s="11">
        <f>IF(ROUNDUP(U37/20,0)&gt;ROUNDUP(U36/20,0),"Lần " &amp; ROUNDUP(U37/20,0),"")</f>
        <v/>
      </c>
      <c r="AG37" s="11">
        <f>IF(ROUNDUP(V37/20,0)&gt;ROUNDUP(V36/20,0),"Lần " &amp; ROUNDUP(V37/20,0),"")</f>
        <v/>
      </c>
      <c r="AH37" s="11">
        <f>IF(ROUNDUP(W37/20,0)&gt;ROUNDUP(W36/20,0),"Lần " &amp; ROUNDUP(W37/20,0),"")</f>
        <v/>
      </c>
      <c r="AI37" s="11">
        <f>IF(ROUNDUP(X37/20,0)&gt;ROUNDUP(X36/20,0),"Lần " &amp; ROUNDUP(X37/20,0),"")</f>
        <v/>
      </c>
      <c r="AJ37" s="11">
        <f>IF(ROUNDUP(Y37/20,0)&gt;ROUNDUP(Y36/20,0),"Lần " &amp; ROUNDUP(Y37/20,0),"")</f>
        <v/>
      </c>
      <c r="AK37" s="11">
        <f>IF(ROUNDUP(Z37/20,0)&gt;ROUNDUP(Z36/20,0),"Lần " &amp; ROUNDUP(Z37/20,0),"")</f>
        <v/>
      </c>
      <c r="AL37" s="6" t="n"/>
      <c r="AN37" t="inlineStr">
        <is>
          <t>Than</t>
        </is>
      </c>
      <c r="AO37" t="n">
        <v>50</v>
      </c>
    </row>
    <row r="38" ht="19" customHeight="1">
      <c r="A38" s="6" t="n">
        <v>35</v>
      </c>
      <c r="B38" s="7" t="inlineStr">
        <is>
          <t>Mố M1</t>
        </is>
      </c>
      <c r="C38" s="7" t="inlineStr">
        <is>
          <t>Mố M1 (tr.31)</t>
        </is>
      </c>
      <c r="D38" s="18" t="inlineStr">
        <is>
          <t>U2</t>
        </is>
      </c>
      <c r="E38" s="19" t="n">
        <v>16</v>
      </c>
      <c r="F38" s="6" t="inlineStr">
        <is>
          <t>CB400-V</t>
        </is>
      </c>
      <c r="G38" s="7" t="inlineStr">
        <is>
          <t>S06</t>
        </is>
      </c>
      <c r="H38" s="20" t="n">
        <v>3.892</v>
      </c>
      <c r="I38" s="21" t="n">
        <v>14</v>
      </c>
      <c r="J38" s="22" t="n">
        <v>1.578</v>
      </c>
      <c r="K38" s="9">
        <f>ROUND(H38*I38*J38, 2)</f>
        <v/>
      </c>
      <c r="L38" s="23">
        <f>ROUND(K38/1000, 3)</f>
        <v/>
      </c>
      <c r="M38" s="8">
        <f>IF(AO38="","",IF(INDEX(Theo_Doi_Tan_Suat_Be_Tong!$C:$C,AO38)="","",INDEX(Theo_Doi_Tan_Suat_Be_Tong!$C:$C,AO38)-VLOOKUP(AN38,$AQ$2:$AR$7,2,FALSE)))</f>
        <v/>
      </c>
      <c r="N38" s="6" t="n"/>
      <c r="O38" s="24">
        <f>IF(ROUNDUP(S38/20,0)&gt;ROUNDUP(S37/20,0),"TN Ø16 (Lần " &amp; ROUNDUP(S38/20,0) &amp; ")","")</f>
        <v/>
      </c>
      <c r="P38" s="20">
        <f>ROUND(P37+IF(AND(E38&lt;=10,F38&lt;&gt;"ASTM A416"),L38,0),3)</f>
        <v/>
      </c>
      <c r="Q38" s="20">
        <f>ROUND(Q37+IF(AND(E38=12,F38&lt;&gt;"ASTM A416"),L38,0),3)</f>
        <v/>
      </c>
      <c r="R38" s="20">
        <f>ROUND(R37+IF(AND(E38=14,F38&lt;&gt;"ASTM A416"),L38,0),3)</f>
        <v/>
      </c>
      <c r="S38" s="20">
        <f>ROUND(S37+IF(AND(E38=16,F38&lt;&gt;"ASTM A416"),L38,0),3)</f>
        <v/>
      </c>
      <c r="T38" s="20">
        <f>ROUND(T37+IF(AND(E38=18,F38&lt;&gt;"ASTM A416"),L38,0),3)</f>
        <v/>
      </c>
      <c r="U38" s="20">
        <f>ROUND(U37+IF(AND(E38=20,F38&lt;&gt;"ASTM A416"),L38,0),3)</f>
        <v/>
      </c>
      <c r="V38" s="20">
        <f>ROUND(V37+IF(AND(E38=22,F38&lt;&gt;"ASTM A416"),L38,0),3)</f>
        <v/>
      </c>
      <c r="W38" s="20">
        <f>ROUND(W37+IF(AND(E38=25,F38&lt;&gt;"ASTM A416"),L38,0),3)</f>
        <v/>
      </c>
      <c r="X38" s="20">
        <f>ROUND(X37+IF(AND(E38=28,F38&lt;&gt;"ASTM A416"),L38,0),3)</f>
        <v/>
      </c>
      <c r="Y38" s="20">
        <f>ROUND(Y37+IF(AND(E38=32,F38&lt;&gt;"ASTM A416"),L38,0),3)</f>
        <v/>
      </c>
      <c r="Z38" s="20">
        <f>ROUND(Z37+IF(F38="ASTM A416",L38,0),3)</f>
        <v/>
      </c>
      <c r="AA38" s="11">
        <f>IF(ROUNDUP(P38/20,0)&gt;ROUNDUP(P37/20,0),"Lần " &amp; ROUNDUP(P38/20,0),"")</f>
        <v/>
      </c>
      <c r="AB38" s="11">
        <f>IF(ROUNDUP(Q38/20,0)&gt;ROUNDUP(Q37/20,0),"Lần " &amp; ROUNDUP(Q38/20,0),"")</f>
        <v/>
      </c>
      <c r="AC38" s="11">
        <f>IF(ROUNDUP(R38/20,0)&gt;ROUNDUP(R37/20,0),"Lần " &amp; ROUNDUP(R38/20,0),"")</f>
        <v/>
      </c>
      <c r="AD38" s="11">
        <f>IF(ROUNDUP(S38/20,0)&gt;ROUNDUP(S37/20,0),"Lần " &amp; ROUNDUP(S38/20,0),"")</f>
        <v/>
      </c>
      <c r="AE38" s="11">
        <f>IF(ROUNDUP(T38/20,0)&gt;ROUNDUP(T37/20,0),"Lần " &amp; ROUNDUP(T38/20,0),"")</f>
        <v/>
      </c>
      <c r="AF38" s="11">
        <f>IF(ROUNDUP(U38/20,0)&gt;ROUNDUP(U37/20,0),"Lần " &amp; ROUNDUP(U38/20,0),"")</f>
        <v/>
      </c>
      <c r="AG38" s="11">
        <f>IF(ROUNDUP(V38/20,0)&gt;ROUNDUP(V37/20,0),"Lần " &amp; ROUNDUP(V38/20,0),"")</f>
        <v/>
      </c>
      <c r="AH38" s="11">
        <f>IF(ROUNDUP(W38/20,0)&gt;ROUNDUP(W37/20,0),"Lần " &amp; ROUNDUP(W38/20,0),"")</f>
        <v/>
      </c>
      <c r="AI38" s="11">
        <f>IF(ROUNDUP(X38/20,0)&gt;ROUNDUP(X37/20,0),"Lần " &amp; ROUNDUP(X38/20,0),"")</f>
        <v/>
      </c>
      <c r="AJ38" s="11">
        <f>IF(ROUNDUP(Y38/20,0)&gt;ROUNDUP(Y37/20,0),"Lần " &amp; ROUNDUP(Y38/20,0),"")</f>
        <v/>
      </c>
      <c r="AK38" s="11">
        <f>IF(ROUNDUP(Z38/20,0)&gt;ROUNDUP(Z37/20,0),"Lần " &amp; ROUNDUP(Z38/20,0),"")</f>
        <v/>
      </c>
      <c r="AL38" s="6" t="n"/>
      <c r="AN38" t="inlineStr">
        <is>
          <t>Than</t>
        </is>
      </c>
      <c r="AO38" t="n">
        <v>50</v>
      </c>
    </row>
    <row r="39" ht="19" customHeight="1">
      <c r="A39" s="6" t="n">
        <v>36</v>
      </c>
      <c r="B39" s="7" t="inlineStr">
        <is>
          <t>Mố M1</t>
        </is>
      </c>
      <c r="C39" s="7" t="inlineStr">
        <is>
          <t>Mố M1 (tr.31)</t>
        </is>
      </c>
      <c r="D39" s="18" t="inlineStr">
        <is>
          <t>U3</t>
        </is>
      </c>
      <c r="E39" s="19" t="n">
        <v>16</v>
      </c>
      <c r="F39" s="6" t="inlineStr">
        <is>
          <t>CB400-V</t>
        </is>
      </c>
      <c r="G39" s="7" t="inlineStr">
        <is>
          <t>S51</t>
        </is>
      </c>
      <c r="H39" s="20" t="n">
        <v>3.256</v>
      </c>
      <c r="I39" s="21" t="n">
        <v>22</v>
      </c>
      <c r="J39" s="22" t="n">
        <v>1.578</v>
      </c>
      <c r="K39" s="9">
        <f>ROUND(H39*I39*J39, 2)</f>
        <v/>
      </c>
      <c r="L39" s="23">
        <f>ROUND(K39/1000, 3)</f>
        <v/>
      </c>
      <c r="M39" s="8">
        <f>IF(AO39="","",IF(INDEX(Theo_Doi_Tan_Suat_Be_Tong!$C:$C,AO39)="","",INDEX(Theo_Doi_Tan_Suat_Be_Tong!$C:$C,AO39)-VLOOKUP(AN39,$AQ$2:$AR$7,2,FALSE)))</f>
        <v/>
      </c>
      <c r="N39" s="6" t="n"/>
      <c r="O39" s="24">
        <f>IF(ROUNDUP(S39/20,0)&gt;ROUNDUP(S38/20,0),"TN Ø16 (Lần " &amp; ROUNDUP(S39/20,0) &amp; ")","")</f>
        <v/>
      </c>
      <c r="P39" s="20">
        <f>ROUND(P38+IF(AND(E39&lt;=10,F39&lt;&gt;"ASTM A416"),L39,0),3)</f>
        <v/>
      </c>
      <c r="Q39" s="20">
        <f>ROUND(Q38+IF(AND(E39=12,F39&lt;&gt;"ASTM A416"),L39,0),3)</f>
        <v/>
      </c>
      <c r="R39" s="20">
        <f>ROUND(R38+IF(AND(E39=14,F39&lt;&gt;"ASTM A416"),L39,0),3)</f>
        <v/>
      </c>
      <c r="S39" s="20">
        <f>ROUND(S38+IF(AND(E39=16,F39&lt;&gt;"ASTM A416"),L39,0),3)</f>
        <v/>
      </c>
      <c r="T39" s="20">
        <f>ROUND(T38+IF(AND(E39=18,F39&lt;&gt;"ASTM A416"),L39,0),3)</f>
        <v/>
      </c>
      <c r="U39" s="20">
        <f>ROUND(U38+IF(AND(E39=20,F39&lt;&gt;"ASTM A416"),L39,0),3)</f>
        <v/>
      </c>
      <c r="V39" s="20">
        <f>ROUND(V38+IF(AND(E39=22,F39&lt;&gt;"ASTM A416"),L39,0),3)</f>
        <v/>
      </c>
      <c r="W39" s="20">
        <f>ROUND(W38+IF(AND(E39=25,F39&lt;&gt;"ASTM A416"),L39,0),3)</f>
        <v/>
      </c>
      <c r="X39" s="20">
        <f>ROUND(X38+IF(AND(E39=28,F39&lt;&gt;"ASTM A416"),L39,0),3)</f>
        <v/>
      </c>
      <c r="Y39" s="20">
        <f>ROUND(Y38+IF(AND(E39=32,F39&lt;&gt;"ASTM A416"),L39,0),3)</f>
        <v/>
      </c>
      <c r="Z39" s="20">
        <f>ROUND(Z38+IF(F39="ASTM A416",L39,0),3)</f>
        <v/>
      </c>
      <c r="AA39" s="11">
        <f>IF(ROUNDUP(P39/20,0)&gt;ROUNDUP(P38/20,0),"Lần " &amp; ROUNDUP(P39/20,0),"")</f>
        <v/>
      </c>
      <c r="AB39" s="11">
        <f>IF(ROUNDUP(Q39/20,0)&gt;ROUNDUP(Q38/20,0),"Lần " &amp; ROUNDUP(Q39/20,0),"")</f>
        <v/>
      </c>
      <c r="AC39" s="11">
        <f>IF(ROUNDUP(R39/20,0)&gt;ROUNDUP(R38/20,0),"Lần " &amp; ROUNDUP(R39/20,0),"")</f>
        <v/>
      </c>
      <c r="AD39" s="11">
        <f>IF(ROUNDUP(S39/20,0)&gt;ROUNDUP(S38/20,0),"Lần " &amp; ROUNDUP(S39/20,0),"")</f>
        <v/>
      </c>
      <c r="AE39" s="11">
        <f>IF(ROUNDUP(T39/20,0)&gt;ROUNDUP(T38/20,0),"Lần " &amp; ROUNDUP(T39/20,0),"")</f>
        <v/>
      </c>
      <c r="AF39" s="11">
        <f>IF(ROUNDUP(U39/20,0)&gt;ROUNDUP(U38/20,0),"Lần " &amp; ROUNDUP(U39/20,0),"")</f>
        <v/>
      </c>
      <c r="AG39" s="11">
        <f>IF(ROUNDUP(V39/20,0)&gt;ROUNDUP(V38/20,0),"Lần " &amp; ROUNDUP(V39/20,0),"")</f>
        <v/>
      </c>
      <c r="AH39" s="11">
        <f>IF(ROUNDUP(W39/20,0)&gt;ROUNDUP(W38/20,0),"Lần " &amp; ROUNDUP(W39/20,0),"")</f>
        <v/>
      </c>
      <c r="AI39" s="11">
        <f>IF(ROUNDUP(X39/20,0)&gt;ROUNDUP(X38/20,0),"Lần " &amp; ROUNDUP(X39/20,0),"")</f>
        <v/>
      </c>
      <c r="AJ39" s="11">
        <f>IF(ROUNDUP(Y39/20,0)&gt;ROUNDUP(Y38/20,0),"Lần " &amp; ROUNDUP(Y39/20,0),"")</f>
        <v/>
      </c>
      <c r="AK39" s="11">
        <f>IF(ROUNDUP(Z39/20,0)&gt;ROUNDUP(Z38/20,0),"Lần " &amp; ROUNDUP(Z39/20,0),"")</f>
        <v/>
      </c>
      <c r="AL39" s="6" t="n"/>
      <c r="AN39" t="inlineStr">
        <is>
          <t>Than</t>
        </is>
      </c>
      <c r="AO39" t="n">
        <v>50</v>
      </c>
    </row>
    <row r="40" ht="19" customHeight="1">
      <c r="A40" s="6" t="n">
        <v>37</v>
      </c>
      <c r="B40" s="7" t="inlineStr">
        <is>
          <t>Mố M1</t>
        </is>
      </c>
      <c r="C40" s="7" t="inlineStr">
        <is>
          <t>Mố M1 (tr.31)</t>
        </is>
      </c>
      <c r="D40" s="18" t="inlineStr">
        <is>
          <t>U4</t>
        </is>
      </c>
      <c r="E40" s="19" t="n">
        <v>16</v>
      </c>
      <c r="F40" s="6" t="inlineStr">
        <is>
          <t>CB400-V</t>
        </is>
      </c>
      <c r="G40" s="7" t="inlineStr">
        <is>
          <t>S32</t>
        </is>
      </c>
      <c r="H40" s="20" t="n">
        <v>1.64</v>
      </c>
      <c r="I40" s="21" t="n">
        <v>4</v>
      </c>
      <c r="J40" s="22" t="n">
        <v>1.578</v>
      </c>
      <c r="K40" s="9">
        <f>ROUND(H40*I40*J40, 2)</f>
        <v/>
      </c>
      <c r="L40" s="23">
        <f>ROUND(K40/1000, 3)</f>
        <v/>
      </c>
      <c r="M40" s="8">
        <f>IF(AO40="","",IF(INDEX(Theo_Doi_Tan_Suat_Be_Tong!$C:$C,AO40)="","",INDEX(Theo_Doi_Tan_Suat_Be_Tong!$C:$C,AO40)-VLOOKUP(AN40,$AQ$2:$AR$7,2,FALSE)))</f>
        <v/>
      </c>
      <c r="N40" s="6" t="n"/>
      <c r="O40" s="24">
        <f>IF(ROUNDUP(S40/20,0)&gt;ROUNDUP(S39/20,0),"TN Ø16 (Lần " &amp; ROUNDUP(S40/20,0) &amp; ")","")</f>
        <v/>
      </c>
      <c r="P40" s="20">
        <f>ROUND(P39+IF(AND(E40&lt;=10,F40&lt;&gt;"ASTM A416"),L40,0),3)</f>
        <v/>
      </c>
      <c r="Q40" s="20">
        <f>ROUND(Q39+IF(AND(E40=12,F40&lt;&gt;"ASTM A416"),L40,0),3)</f>
        <v/>
      </c>
      <c r="R40" s="20">
        <f>ROUND(R39+IF(AND(E40=14,F40&lt;&gt;"ASTM A416"),L40,0),3)</f>
        <v/>
      </c>
      <c r="S40" s="20">
        <f>ROUND(S39+IF(AND(E40=16,F40&lt;&gt;"ASTM A416"),L40,0),3)</f>
        <v/>
      </c>
      <c r="T40" s="20">
        <f>ROUND(T39+IF(AND(E40=18,F40&lt;&gt;"ASTM A416"),L40,0),3)</f>
        <v/>
      </c>
      <c r="U40" s="20">
        <f>ROUND(U39+IF(AND(E40=20,F40&lt;&gt;"ASTM A416"),L40,0),3)</f>
        <v/>
      </c>
      <c r="V40" s="20">
        <f>ROUND(V39+IF(AND(E40=22,F40&lt;&gt;"ASTM A416"),L40,0),3)</f>
        <v/>
      </c>
      <c r="W40" s="20">
        <f>ROUND(W39+IF(AND(E40=25,F40&lt;&gt;"ASTM A416"),L40,0),3)</f>
        <v/>
      </c>
      <c r="X40" s="20">
        <f>ROUND(X39+IF(AND(E40=28,F40&lt;&gt;"ASTM A416"),L40,0),3)</f>
        <v/>
      </c>
      <c r="Y40" s="20">
        <f>ROUND(Y39+IF(AND(E40=32,F40&lt;&gt;"ASTM A416"),L40,0),3)</f>
        <v/>
      </c>
      <c r="Z40" s="20">
        <f>ROUND(Z39+IF(F40="ASTM A416",L40,0),3)</f>
        <v/>
      </c>
      <c r="AA40" s="11">
        <f>IF(ROUNDUP(P40/20,0)&gt;ROUNDUP(P39/20,0),"Lần " &amp; ROUNDUP(P40/20,0),"")</f>
        <v/>
      </c>
      <c r="AB40" s="11">
        <f>IF(ROUNDUP(Q40/20,0)&gt;ROUNDUP(Q39/20,0),"Lần " &amp; ROUNDUP(Q40/20,0),"")</f>
        <v/>
      </c>
      <c r="AC40" s="11">
        <f>IF(ROUNDUP(R40/20,0)&gt;ROUNDUP(R39/20,0),"Lần " &amp; ROUNDUP(R40/20,0),"")</f>
        <v/>
      </c>
      <c r="AD40" s="11">
        <f>IF(ROUNDUP(S40/20,0)&gt;ROUNDUP(S39/20,0),"Lần " &amp; ROUNDUP(S40/20,0),"")</f>
        <v/>
      </c>
      <c r="AE40" s="11">
        <f>IF(ROUNDUP(T40/20,0)&gt;ROUNDUP(T39/20,0),"Lần " &amp; ROUNDUP(T40/20,0),"")</f>
        <v/>
      </c>
      <c r="AF40" s="11">
        <f>IF(ROUNDUP(U40/20,0)&gt;ROUNDUP(U39/20,0),"Lần " &amp; ROUNDUP(U40/20,0),"")</f>
        <v/>
      </c>
      <c r="AG40" s="11">
        <f>IF(ROUNDUP(V40/20,0)&gt;ROUNDUP(V39/20,0),"Lần " &amp; ROUNDUP(V40/20,0),"")</f>
        <v/>
      </c>
      <c r="AH40" s="11">
        <f>IF(ROUNDUP(W40/20,0)&gt;ROUNDUP(W39/20,0),"Lần " &amp; ROUNDUP(W40/20,0),"")</f>
        <v/>
      </c>
      <c r="AI40" s="11">
        <f>IF(ROUNDUP(X40/20,0)&gt;ROUNDUP(X39/20,0),"Lần " &amp; ROUNDUP(X40/20,0),"")</f>
        <v/>
      </c>
      <c r="AJ40" s="11">
        <f>IF(ROUNDUP(Y40/20,0)&gt;ROUNDUP(Y39/20,0),"Lần " &amp; ROUNDUP(Y40/20,0),"")</f>
        <v/>
      </c>
      <c r="AK40" s="11">
        <f>IF(ROUNDUP(Z40/20,0)&gt;ROUNDUP(Z39/20,0),"Lần " &amp; ROUNDUP(Z40/20,0),"")</f>
        <v/>
      </c>
      <c r="AL40" s="6" t="n"/>
      <c r="AN40" t="inlineStr">
        <is>
          <t>Than</t>
        </is>
      </c>
      <c r="AO40" t="n">
        <v>50</v>
      </c>
    </row>
    <row r="41" ht="19" customHeight="1">
      <c r="A41" s="6" t="n">
        <v>38</v>
      </c>
      <c r="B41" s="7" t="inlineStr">
        <is>
          <t>Mố M1</t>
        </is>
      </c>
      <c r="C41" s="7" t="inlineStr">
        <is>
          <t>Mố M1 (tr.31)</t>
        </is>
      </c>
      <c r="D41" s="18" t="inlineStr">
        <is>
          <t>B1</t>
        </is>
      </c>
      <c r="E41" s="19" t="n">
        <v>8</v>
      </c>
      <c r="F41" s="6" t="inlineStr">
        <is>
          <t>CB240-T</t>
        </is>
      </c>
      <c r="G41" s="7" t="inlineStr">
        <is>
          <t>S01</t>
        </is>
      </c>
      <c r="H41" s="20" t="n">
        <v>0.64</v>
      </c>
      <c r="I41" s="21" t="n">
        <v>50</v>
      </c>
      <c r="J41" s="22" t="n">
        <v>0.395</v>
      </c>
      <c r="K41" s="9">
        <f>ROUND(H41*I41*J41, 2)</f>
        <v/>
      </c>
      <c r="L41" s="23">
        <f>ROUND(K41/1000, 3)</f>
        <v/>
      </c>
      <c r="M41" s="8">
        <f>IF(AO41="","",IF(INDEX(Theo_Doi_Tan_Suat_Be_Tong!$C:$C,AO41)="","",INDEX(Theo_Doi_Tan_Suat_Be_Tong!$C:$C,AO41)-VLOOKUP(AN41,$AQ$2:$AR$7,2,FALSE)))</f>
        <v/>
      </c>
      <c r="N41" s="6" t="n"/>
      <c r="O41" s="24">
        <f>IF(ROUNDUP(P41/20,0)&gt;ROUNDUP(P40/20,0),"TN Ø10 (Lần " &amp; ROUNDUP(P41/20,0) &amp; ")","")</f>
        <v/>
      </c>
      <c r="P41" s="20">
        <f>ROUND(P40+IF(AND(E41&lt;=10,F41&lt;&gt;"ASTM A416"),L41,0),3)</f>
        <v/>
      </c>
      <c r="Q41" s="20">
        <f>ROUND(Q40+IF(AND(E41=12,F41&lt;&gt;"ASTM A416"),L41,0),3)</f>
        <v/>
      </c>
      <c r="R41" s="20">
        <f>ROUND(R40+IF(AND(E41=14,F41&lt;&gt;"ASTM A416"),L41,0),3)</f>
        <v/>
      </c>
      <c r="S41" s="20">
        <f>ROUND(S40+IF(AND(E41=16,F41&lt;&gt;"ASTM A416"),L41,0),3)</f>
        <v/>
      </c>
      <c r="T41" s="20">
        <f>ROUND(T40+IF(AND(E41=18,F41&lt;&gt;"ASTM A416"),L41,0),3)</f>
        <v/>
      </c>
      <c r="U41" s="20">
        <f>ROUND(U40+IF(AND(E41=20,F41&lt;&gt;"ASTM A416"),L41,0),3)</f>
        <v/>
      </c>
      <c r="V41" s="20">
        <f>ROUND(V40+IF(AND(E41=22,F41&lt;&gt;"ASTM A416"),L41,0),3)</f>
        <v/>
      </c>
      <c r="W41" s="20">
        <f>ROUND(W40+IF(AND(E41=25,F41&lt;&gt;"ASTM A416"),L41,0),3)</f>
        <v/>
      </c>
      <c r="X41" s="20">
        <f>ROUND(X40+IF(AND(E41=28,F41&lt;&gt;"ASTM A416"),L41,0),3)</f>
        <v/>
      </c>
      <c r="Y41" s="20">
        <f>ROUND(Y40+IF(AND(E41=32,F41&lt;&gt;"ASTM A416"),L41,0),3)</f>
        <v/>
      </c>
      <c r="Z41" s="20">
        <f>ROUND(Z40+IF(F41="ASTM A416",L41,0),3)</f>
        <v/>
      </c>
      <c r="AA41" s="11">
        <f>IF(ROUNDUP(P41/20,0)&gt;ROUNDUP(P40/20,0),"Lần " &amp; ROUNDUP(P41/20,0),"")</f>
        <v/>
      </c>
      <c r="AB41" s="11">
        <f>IF(ROUNDUP(Q41/20,0)&gt;ROUNDUP(Q40/20,0),"Lần " &amp; ROUNDUP(Q41/20,0),"")</f>
        <v/>
      </c>
      <c r="AC41" s="11">
        <f>IF(ROUNDUP(R41/20,0)&gt;ROUNDUP(R40/20,0),"Lần " &amp; ROUNDUP(R41/20,0),"")</f>
        <v/>
      </c>
      <c r="AD41" s="11">
        <f>IF(ROUNDUP(S41/20,0)&gt;ROUNDUP(S40/20,0),"Lần " &amp; ROUNDUP(S41/20,0),"")</f>
        <v/>
      </c>
      <c r="AE41" s="11">
        <f>IF(ROUNDUP(T41/20,0)&gt;ROUNDUP(T40/20,0),"Lần " &amp; ROUNDUP(T41/20,0),"")</f>
        <v/>
      </c>
      <c r="AF41" s="11">
        <f>IF(ROUNDUP(U41/20,0)&gt;ROUNDUP(U40/20,0),"Lần " &amp; ROUNDUP(U41/20,0),"")</f>
        <v/>
      </c>
      <c r="AG41" s="11">
        <f>IF(ROUNDUP(V41/20,0)&gt;ROUNDUP(V40/20,0),"Lần " &amp; ROUNDUP(V41/20,0),"")</f>
        <v/>
      </c>
      <c r="AH41" s="11">
        <f>IF(ROUNDUP(W41/20,0)&gt;ROUNDUP(W40/20,0),"Lần " &amp; ROUNDUP(W41/20,0),"")</f>
        <v/>
      </c>
      <c r="AI41" s="11">
        <f>IF(ROUNDUP(X41/20,0)&gt;ROUNDUP(X40/20,0),"Lần " &amp; ROUNDUP(X41/20,0),"")</f>
        <v/>
      </c>
      <c r="AJ41" s="11">
        <f>IF(ROUNDUP(Y41/20,0)&gt;ROUNDUP(Y40/20,0),"Lần " &amp; ROUNDUP(Y41/20,0),"")</f>
        <v/>
      </c>
      <c r="AK41" s="11">
        <f>IF(ROUNDUP(Z41/20,0)&gt;ROUNDUP(Z40/20,0),"Lần " &amp; ROUNDUP(Z41/20,0),"")</f>
        <v/>
      </c>
      <c r="AL41" s="6" t="n"/>
      <c r="AN41" t="inlineStr">
        <is>
          <t>Than</t>
        </is>
      </c>
      <c r="AO41" t="n">
        <v>50</v>
      </c>
    </row>
    <row r="42" ht="19" customHeight="1">
      <c r="A42" s="6" t="n">
        <v>39</v>
      </c>
      <c r="B42" s="7" t="inlineStr">
        <is>
          <t>Mố M1</t>
        </is>
      </c>
      <c r="C42" s="7" t="inlineStr">
        <is>
          <t>Mố M1 (tr.31)</t>
        </is>
      </c>
      <c r="D42" s="18" t="inlineStr">
        <is>
          <t>B2</t>
        </is>
      </c>
      <c r="E42" s="19" t="n">
        <v>8</v>
      </c>
      <c r="F42" s="6" t="inlineStr">
        <is>
          <t>CB240-T</t>
        </is>
      </c>
      <c r="G42" s="7" t="inlineStr">
        <is>
          <t>S01</t>
        </is>
      </c>
      <c r="H42" s="20" t="n">
        <v>0.48</v>
      </c>
      <c r="I42" s="21" t="n">
        <v>65</v>
      </c>
      <c r="J42" s="22" t="n">
        <v>0.395</v>
      </c>
      <c r="K42" s="9">
        <f>ROUND(H42*I42*J42, 2)</f>
        <v/>
      </c>
      <c r="L42" s="23">
        <f>ROUND(K42/1000, 3)</f>
        <v/>
      </c>
      <c r="M42" s="8">
        <f>IF(AO42="","",IF(INDEX(Theo_Doi_Tan_Suat_Be_Tong!$C:$C,AO42)="","",INDEX(Theo_Doi_Tan_Suat_Be_Tong!$C:$C,AO42)-VLOOKUP(AN42,$AQ$2:$AR$7,2,FALSE)))</f>
        <v/>
      </c>
      <c r="N42" s="6" t="n"/>
      <c r="O42" s="24">
        <f>IF(ROUNDUP(P42/20,0)&gt;ROUNDUP(P41/20,0),"TN Ø10 (Lần " &amp; ROUNDUP(P42/20,0) &amp; ")","")</f>
        <v/>
      </c>
      <c r="P42" s="20">
        <f>ROUND(P41+IF(AND(E42&lt;=10,F42&lt;&gt;"ASTM A416"),L42,0),3)</f>
        <v/>
      </c>
      <c r="Q42" s="20">
        <f>ROUND(Q41+IF(AND(E42=12,F42&lt;&gt;"ASTM A416"),L42,0),3)</f>
        <v/>
      </c>
      <c r="R42" s="20">
        <f>ROUND(R41+IF(AND(E42=14,F42&lt;&gt;"ASTM A416"),L42,0),3)</f>
        <v/>
      </c>
      <c r="S42" s="20">
        <f>ROUND(S41+IF(AND(E42=16,F42&lt;&gt;"ASTM A416"),L42,0),3)</f>
        <v/>
      </c>
      <c r="T42" s="20">
        <f>ROUND(T41+IF(AND(E42=18,F42&lt;&gt;"ASTM A416"),L42,0),3)</f>
        <v/>
      </c>
      <c r="U42" s="20">
        <f>ROUND(U41+IF(AND(E42=20,F42&lt;&gt;"ASTM A416"),L42,0),3)</f>
        <v/>
      </c>
      <c r="V42" s="20">
        <f>ROUND(V41+IF(AND(E42=22,F42&lt;&gt;"ASTM A416"),L42,0),3)</f>
        <v/>
      </c>
      <c r="W42" s="20">
        <f>ROUND(W41+IF(AND(E42=25,F42&lt;&gt;"ASTM A416"),L42,0),3)</f>
        <v/>
      </c>
      <c r="X42" s="20">
        <f>ROUND(X41+IF(AND(E42=28,F42&lt;&gt;"ASTM A416"),L42,0),3)</f>
        <v/>
      </c>
      <c r="Y42" s="20">
        <f>ROUND(Y41+IF(AND(E42=32,F42&lt;&gt;"ASTM A416"),L42,0),3)</f>
        <v/>
      </c>
      <c r="Z42" s="20">
        <f>ROUND(Z41+IF(F42="ASTM A416",L42,0),3)</f>
        <v/>
      </c>
      <c r="AA42" s="11">
        <f>IF(ROUNDUP(P42/20,0)&gt;ROUNDUP(P41/20,0),"Lần " &amp; ROUNDUP(P42/20,0),"")</f>
        <v/>
      </c>
      <c r="AB42" s="11">
        <f>IF(ROUNDUP(Q42/20,0)&gt;ROUNDUP(Q41/20,0),"Lần " &amp; ROUNDUP(Q42/20,0),"")</f>
        <v/>
      </c>
      <c r="AC42" s="11">
        <f>IF(ROUNDUP(R42/20,0)&gt;ROUNDUP(R41/20,0),"Lần " &amp; ROUNDUP(R42/20,0),"")</f>
        <v/>
      </c>
      <c r="AD42" s="11">
        <f>IF(ROUNDUP(S42/20,0)&gt;ROUNDUP(S41/20,0),"Lần " &amp; ROUNDUP(S42/20,0),"")</f>
        <v/>
      </c>
      <c r="AE42" s="11">
        <f>IF(ROUNDUP(T42/20,0)&gt;ROUNDUP(T41/20,0),"Lần " &amp; ROUNDUP(T42/20,0),"")</f>
        <v/>
      </c>
      <c r="AF42" s="11">
        <f>IF(ROUNDUP(U42/20,0)&gt;ROUNDUP(U41/20,0),"Lần " &amp; ROUNDUP(U42/20,0),"")</f>
        <v/>
      </c>
      <c r="AG42" s="11">
        <f>IF(ROUNDUP(V42/20,0)&gt;ROUNDUP(V41/20,0),"Lần " &amp; ROUNDUP(V42/20,0),"")</f>
        <v/>
      </c>
      <c r="AH42" s="11">
        <f>IF(ROUNDUP(W42/20,0)&gt;ROUNDUP(W41/20,0),"Lần " &amp; ROUNDUP(W42/20,0),"")</f>
        <v/>
      </c>
      <c r="AI42" s="11">
        <f>IF(ROUNDUP(X42/20,0)&gt;ROUNDUP(X41/20,0),"Lần " &amp; ROUNDUP(X42/20,0),"")</f>
        <v/>
      </c>
      <c r="AJ42" s="11">
        <f>IF(ROUNDUP(Y42/20,0)&gt;ROUNDUP(Y41/20,0),"Lần " &amp; ROUNDUP(Y42/20,0),"")</f>
        <v/>
      </c>
      <c r="AK42" s="11">
        <f>IF(ROUNDUP(Z42/20,0)&gt;ROUNDUP(Z41/20,0),"Lần " &amp; ROUNDUP(Z42/20,0),"")</f>
        <v/>
      </c>
      <c r="AL42" s="6" t="n"/>
      <c r="AN42" t="inlineStr">
        <is>
          <t>Than</t>
        </is>
      </c>
      <c r="AO42" t="n">
        <v>50</v>
      </c>
    </row>
    <row r="43" ht="19" customHeight="1">
      <c r="A43" s="6" t="n">
        <v>40</v>
      </c>
      <c r="B43" s="7" t="inlineStr">
        <is>
          <t>Mố M1</t>
        </is>
      </c>
      <c r="C43" s="7" t="inlineStr">
        <is>
          <t>Mố M1 (tr.31)</t>
        </is>
      </c>
      <c r="D43" s="18" t="inlineStr">
        <is>
          <t>T1</t>
        </is>
      </c>
      <c r="E43" s="19" t="n">
        <v>16</v>
      </c>
      <c r="F43" s="6" t="inlineStr">
        <is>
          <t>CB400-V</t>
        </is>
      </c>
      <c r="G43" s="7" t="inlineStr">
        <is>
          <t>S01</t>
        </is>
      </c>
      <c r="H43" s="20" t="n">
        <v>1.89</v>
      </c>
      <c r="I43" s="21" t="n">
        <v>10</v>
      </c>
      <c r="J43" s="22" t="n">
        <v>1.578</v>
      </c>
      <c r="K43" s="9">
        <f>ROUND(H43*I43*J43, 2)</f>
        <v/>
      </c>
      <c r="L43" s="23">
        <f>ROUND(K43/1000, 3)</f>
        <v/>
      </c>
      <c r="M43" s="8">
        <f>IF(AO43="","",IF(INDEX(Theo_Doi_Tan_Suat_Be_Tong!$C:$C,AO43)="","",INDEX(Theo_Doi_Tan_Suat_Be_Tong!$C:$C,AO43)-VLOOKUP(AN43,$AQ$2:$AR$7,2,FALSE)))</f>
        <v/>
      </c>
      <c r="N43" s="6" t="n"/>
      <c r="O43" s="24">
        <f>IF(ROUNDUP(S43/20,0)&gt;ROUNDUP(S42/20,0),"TN Ø16 (Lần " &amp; ROUNDUP(S43/20,0) &amp; ")","")</f>
        <v/>
      </c>
      <c r="P43" s="20">
        <f>ROUND(P42+IF(AND(E43&lt;=10,F43&lt;&gt;"ASTM A416"),L43,0),3)</f>
        <v/>
      </c>
      <c r="Q43" s="20">
        <f>ROUND(Q42+IF(AND(E43=12,F43&lt;&gt;"ASTM A416"),L43,0),3)</f>
        <v/>
      </c>
      <c r="R43" s="20">
        <f>ROUND(R42+IF(AND(E43=14,F43&lt;&gt;"ASTM A416"),L43,0),3)</f>
        <v/>
      </c>
      <c r="S43" s="20">
        <f>ROUND(S42+IF(AND(E43=16,F43&lt;&gt;"ASTM A416"),L43,0),3)</f>
        <v/>
      </c>
      <c r="T43" s="20">
        <f>ROUND(T42+IF(AND(E43=18,F43&lt;&gt;"ASTM A416"),L43,0),3)</f>
        <v/>
      </c>
      <c r="U43" s="20">
        <f>ROUND(U42+IF(AND(E43=20,F43&lt;&gt;"ASTM A416"),L43,0),3)</f>
        <v/>
      </c>
      <c r="V43" s="20">
        <f>ROUND(V42+IF(AND(E43=22,F43&lt;&gt;"ASTM A416"),L43,0),3)</f>
        <v/>
      </c>
      <c r="W43" s="20">
        <f>ROUND(W42+IF(AND(E43=25,F43&lt;&gt;"ASTM A416"),L43,0),3)</f>
        <v/>
      </c>
      <c r="X43" s="20">
        <f>ROUND(X42+IF(AND(E43=28,F43&lt;&gt;"ASTM A416"),L43,0),3)</f>
        <v/>
      </c>
      <c r="Y43" s="20">
        <f>ROUND(Y42+IF(AND(E43=32,F43&lt;&gt;"ASTM A416"),L43,0),3)</f>
        <v/>
      </c>
      <c r="Z43" s="20">
        <f>ROUND(Z42+IF(F43="ASTM A416",L43,0),3)</f>
        <v/>
      </c>
      <c r="AA43" s="11">
        <f>IF(ROUNDUP(P43/20,0)&gt;ROUNDUP(P42/20,0),"Lần " &amp; ROUNDUP(P43/20,0),"")</f>
        <v/>
      </c>
      <c r="AB43" s="11">
        <f>IF(ROUNDUP(Q43/20,0)&gt;ROUNDUP(Q42/20,0),"Lần " &amp; ROUNDUP(Q43/20,0),"")</f>
        <v/>
      </c>
      <c r="AC43" s="11">
        <f>IF(ROUNDUP(R43/20,0)&gt;ROUNDUP(R42/20,0),"Lần " &amp; ROUNDUP(R43/20,0),"")</f>
        <v/>
      </c>
      <c r="AD43" s="11">
        <f>IF(ROUNDUP(S43/20,0)&gt;ROUNDUP(S42/20,0),"Lần " &amp; ROUNDUP(S43/20,0),"")</f>
        <v/>
      </c>
      <c r="AE43" s="11">
        <f>IF(ROUNDUP(T43/20,0)&gt;ROUNDUP(T42/20,0),"Lần " &amp; ROUNDUP(T43/20,0),"")</f>
        <v/>
      </c>
      <c r="AF43" s="11">
        <f>IF(ROUNDUP(U43/20,0)&gt;ROUNDUP(U42/20,0),"Lần " &amp; ROUNDUP(U43/20,0),"")</f>
        <v/>
      </c>
      <c r="AG43" s="11">
        <f>IF(ROUNDUP(V43/20,0)&gt;ROUNDUP(V42/20,0),"Lần " &amp; ROUNDUP(V43/20,0),"")</f>
        <v/>
      </c>
      <c r="AH43" s="11">
        <f>IF(ROUNDUP(W43/20,0)&gt;ROUNDUP(W42/20,0),"Lần " &amp; ROUNDUP(W43/20,0),"")</f>
        <v/>
      </c>
      <c r="AI43" s="11">
        <f>IF(ROUNDUP(X43/20,0)&gt;ROUNDUP(X42/20,0),"Lần " &amp; ROUNDUP(X43/20,0),"")</f>
        <v/>
      </c>
      <c r="AJ43" s="11">
        <f>IF(ROUNDUP(Y43/20,0)&gt;ROUNDUP(Y42/20,0),"Lần " &amp; ROUNDUP(Y43/20,0),"")</f>
        <v/>
      </c>
      <c r="AK43" s="11">
        <f>IF(ROUNDUP(Z43/20,0)&gt;ROUNDUP(Z42/20,0),"Lần " &amp; ROUNDUP(Z43/20,0),"")</f>
        <v/>
      </c>
      <c r="AL43" s="6" t="n"/>
      <c r="AN43" t="inlineStr">
        <is>
          <t>Than</t>
        </is>
      </c>
      <c r="AO43" t="n">
        <v>50</v>
      </c>
    </row>
    <row r="44" ht="19" customHeight="1">
      <c r="A44" s="6" t="n">
        <v>41</v>
      </c>
      <c r="B44" s="7" t="inlineStr">
        <is>
          <t>Mố M1</t>
        </is>
      </c>
      <c r="C44" s="7" t="inlineStr">
        <is>
          <t>Mố M1 (tr.31)</t>
        </is>
      </c>
      <c r="D44" s="18" t="inlineStr">
        <is>
          <t>T2</t>
        </is>
      </c>
      <c r="E44" s="19" t="n">
        <v>16</v>
      </c>
      <c r="F44" s="6" t="inlineStr">
        <is>
          <t>CB400-V</t>
        </is>
      </c>
      <c r="G44" s="7" t="inlineStr"/>
      <c r="H44" s="20" t="n">
        <v>2.09</v>
      </c>
      <c r="I44" s="21" t="n">
        <v>9</v>
      </c>
      <c r="J44" s="22" t="n">
        <v>1.578</v>
      </c>
      <c r="K44" s="9">
        <f>ROUND(H44*I44*J44, 2)</f>
        <v/>
      </c>
      <c r="L44" s="23">
        <f>ROUND(K44/1000, 3)</f>
        <v/>
      </c>
      <c r="M44" s="8">
        <f>IF(AO44="","",IF(INDEX(Theo_Doi_Tan_Suat_Be_Tong!$C:$C,AO44)="","",INDEX(Theo_Doi_Tan_Suat_Be_Tong!$C:$C,AO44)-VLOOKUP(AN44,$AQ$2:$AR$7,2,FALSE)))</f>
        <v/>
      </c>
      <c r="N44" s="6" t="n"/>
      <c r="O44" s="24">
        <f>IF(ROUNDUP(S44/20,0)&gt;ROUNDUP(S43/20,0),"TN Ø16 (Lần " &amp; ROUNDUP(S44/20,0) &amp; ")","")</f>
        <v/>
      </c>
      <c r="P44" s="20">
        <f>ROUND(P43+IF(AND(E44&lt;=10,F44&lt;&gt;"ASTM A416"),L44,0),3)</f>
        <v/>
      </c>
      <c r="Q44" s="20">
        <f>ROUND(Q43+IF(AND(E44=12,F44&lt;&gt;"ASTM A416"),L44,0),3)</f>
        <v/>
      </c>
      <c r="R44" s="20">
        <f>ROUND(R43+IF(AND(E44=14,F44&lt;&gt;"ASTM A416"),L44,0),3)</f>
        <v/>
      </c>
      <c r="S44" s="20">
        <f>ROUND(S43+IF(AND(E44=16,F44&lt;&gt;"ASTM A416"),L44,0),3)</f>
        <v/>
      </c>
      <c r="T44" s="20">
        <f>ROUND(T43+IF(AND(E44=18,F44&lt;&gt;"ASTM A416"),L44,0),3)</f>
        <v/>
      </c>
      <c r="U44" s="20">
        <f>ROUND(U43+IF(AND(E44=20,F44&lt;&gt;"ASTM A416"),L44,0),3)</f>
        <v/>
      </c>
      <c r="V44" s="20">
        <f>ROUND(V43+IF(AND(E44=22,F44&lt;&gt;"ASTM A416"),L44,0),3)</f>
        <v/>
      </c>
      <c r="W44" s="20">
        <f>ROUND(W43+IF(AND(E44=25,F44&lt;&gt;"ASTM A416"),L44,0),3)</f>
        <v/>
      </c>
      <c r="X44" s="20">
        <f>ROUND(X43+IF(AND(E44=28,F44&lt;&gt;"ASTM A416"),L44,0),3)</f>
        <v/>
      </c>
      <c r="Y44" s="20">
        <f>ROUND(Y43+IF(AND(E44=32,F44&lt;&gt;"ASTM A416"),L44,0),3)</f>
        <v/>
      </c>
      <c r="Z44" s="20">
        <f>ROUND(Z43+IF(F44="ASTM A416",L44,0),3)</f>
        <v/>
      </c>
      <c r="AA44" s="11">
        <f>IF(ROUNDUP(P44/20,0)&gt;ROUNDUP(P43/20,0),"Lần " &amp; ROUNDUP(P44/20,0),"")</f>
        <v/>
      </c>
      <c r="AB44" s="11">
        <f>IF(ROUNDUP(Q44/20,0)&gt;ROUNDUP(Q43/20,0),"Lần " &amp; ROUNDUP(Q44/20,0),"")</f>
        <v/>
      </c>
      <c r="AC44" s="11">
        <f>IF(ROUNDUP(R44/20,0)&gt;ROUNDUP(R43/20,0),"Lần " &amp; ROUNDUP(R44/20,0),"")</f>
        <v/>
      </c>
      <c r="AD44" s="11">
        <f>IF(ROUNDUP(S44/20,0)&gt;ROUNDUP(S43/20,0),"Lần " &amp; ROUNDUP(S44/20,0),"")</f>
        <v/>
      </c>
      <c r="AE44" s="11">
        <f>IF(ROUNDUP(T44/20,0)&gt;ROUNDUP(T43/20,0),"Lần " &amp; ROUNDUP(T44/20,0),"")</f>
        <v/>
      </c>
      <c r="AF44" s="11">
        <f>IF(ROUNDUP(U44/20,0)&gt;ROUNDUP(U43/20,0),"Lần " &amp; ROUNDUP(U44/20,0),"")</f>
        <v/>
      </c>
      <c r="AG44" s="11">
        <f>IF(ROUNDUP(V44/20,0)&gt;ROUNDUP(V43/20,0),"Lần " &amp; ROUNDUP(V44/20,0),"")</f>
        <v/>
      </c>
      <c r="AH44" s="11">
        <f>IF(ROUNDUP(W44/20,0)&gt;ROUNDUP(W43/20,0),"Lần " &amp; ROUNDUP(W44/20,0),"")</f>
        <v/>
      </c>
      <c r="AI44" s="11">
        <f>IF(ROUNDUP(X44/20,0)&gt;ROUNDUP(X43/20,0),"Lần " &amp; ROUNDUP(X44/20,0),"")</f>
        <v/>
      </c>
      <c r="AJ44" s="11">
        <f>IF(ROUNDUP(Y44/20,0)&gt;ROUNDUP(Y43/20,0),"Lần " &amp; ROUNDUP(Y44/20,0),"")</f>
        <v/>
      </c>
      <c r="AK44" s="11">
        <f>IF(ROUNDUP(Z44/20,0)&gt;ROUNDUP(Z43/20,0),"Lần " &amp; ROUNDUP(Z44/20,0),"")</f>
        <v/>
      </c>
      <c r="AL44" s="6" t="n"/>
      <c r="AN44" t="inlineStr">
        <is>
          <t>Than</t>
        </is>
      </c>
      <c r="AO44" t="n">
        <v>50</v>
      </c>
    </row>
    <row r="45" ht="19" customHeight="1">
      <c r="A45" s="6" t="n">
        <v>42</v>
      </c>
      <c r="B45" s="7" t="inlineStr">
        <is>
          <t>Mố M1</t>
        </is>
      </c>
      <c r="C45" s="7" t="inlineStr">
        <is>
          <t>Mố M1 (tr.31)</t>
        </is>
      </c>
      <c r="D45" s="18" t="inlineStr">
        <is>
          <t>G1</t>
        </is>
      </c>
      <c r="E45" s="19" t="n">
        <v>14</v>
      </c>
      <c r="F45" s="6" t="inlineStr">
        <is>
          <t>CB400-V</t>
        </is>
      </c>
      <c r="G45" s="7" t="inlineStr"/>
      <c r="H45" s="20" t="n">
        <v>2.9</v>
      </c>
      <c r="I45" s="21" t="n">
        <v>19</v>
      </c>
      <c r="J45" s="22" t="n">
        <v>1.208</v>
      </c>
      <c r="K45" s="9">
        <f>ROUND(H45*I45*J45, 2)</f>
        <v/>
      </c>
      <c r="L45" s="23">
        <f>ROUND(K45/1000, 3)</f>
        <v/>
      </c>
      <c r="M45" s="8">
        <f>IF(AO45="","",IF(INDEX(Theo_Doi_Tan_Suat_Be_Tong!$C:$C,AO45)="","",INDEX(Theo_Doi_Tan_Suat_Be_Tong!$C:$C,AO45)-VLOOKUP(AN45,$AQ$2:$AR$7,2,FALSE)))</f>
        <v/>
      </c>
      <c r="N45" s="6" t="n"/>
      <c r="O45" s="24">
        <f>IF(ROUNDUP(R45/20,0)&gt;ROUNDUP(R44/20,0),"TN Ø14 (Lần " &amp; ROUNDUP(R45/20,0) &amp; ")","")</f>
        <v/>
      </c>
      <c r="P45" s="20">
        <f>ROUND(P44+IF(AND(E45&lt;=10,F45&lt;&gt;"ASTM A416"),L45,0),3)</f>
        <v/>
      </c>
      <c r="Q45" s="20">
        <f>ROUND(Q44+IF(AND(E45=12,F45&lt;&gt;"ASTM A416"),L45,0),3)</f>
        <v/>
      </c>
      <c r="R45" s="20">
        <f>ROUND(R44+IF(AND(E45=14,F45&lt;&gt;"ASTM A416"),L45,0),3)</f>
        <v/>
      </c>
      <c r="S45" s="20">
        <f>ROUND(S44+IF(AND(E45=16,F45&lt;&gt;"ASTM A416"),L45,0),3)</f>
        <v/>
      </c>
      <c r="T45" s="20">
        <f>ROUND(T44+IF(AND(E45=18,F45&lt;&gt;"ASTM A416"),L45,0),3)</f>
        <v/>
      </c>
      <c r="U45" s="20">
        <f>ROUND(U44+IF(AND(E45=20,F45&lt;&gt;"ASTM A416"),L45,0),3)</f>
        <v/>
      </c>
      <c r="V45" s="20">
        <f>ROUND(V44+IF(AND(E45=22,F45&lt;&gt;"ASTM A416"),L45,0),3)</f>
        <v/>
      </c>
      <c r="W45" s="20">
        <f>ROUND(W44+IF(AND(E45=25,F45&lt;&gt;"ASTM A416"),L45,0),3)</f>
        <v/>
      </c>
      <c r="X45" s="20">
        <f>ROUND(X44+IF(AND(E45=28,F45&lt;&gt;"ASTM A416"),L45,0),3)</f>
        <v/>
      </c>
      <c r="Y45" s="20">
        <f>ROUND(Y44+IF(AND(E45=32,F45&lt;&gt;"ASTM A416"),L45,0),3)</f>
        <v/>
      </c>
      <c r="Z45" s="20">
        <f>ROUND(Z44+IF(F45="ASTM A416",L45,0),3)</f>
        <v/>
      </c>
      <c r="AA45" s="11">
        <f>IF(ROUNDUP(P45/20,0)&gt;ROUNDUP(P44/20,0),"Lần " &amp; ROUNDUP(P45/20,0),"")</f>
        <v/>
      </c>
      <c r="AB45" s="11">
        <f>IF(ROUNDUP(Q45/20,0)&gt;ROUNDUP(Q44/20,0),"Lần " &amp; ROUNDUP(Q45/20,0),"")</f>
        <v/>
      </c>
      <c r="AC45" s="11">
        <f>IF(ROUNDUP(R45/20,0)&gt;ROUNDUP(R44/20,0),"Lần " &amp; ROUNDUP(R45/20,0),"")</f>
        <v/>
      </c>
      <c r="AD45" s="11">
        <f>IF(ROUNDUP(S45/20,0)&gt;ROUNDUP(S44/20,0),"Lần " &amp; ROUNDUP(S45/20,0),"")</f>
        <v/>
      </c>
      <c r="AE45" s="11">
        <f>IF(ROUNDUP(T45/20,0)&gt;ROUNDUP(T44/20,0),"Lần " &amp; ROUNDUP(T45/20,0),"")</f>
        <v/>
      </c>
      <c r="AF45" s="11">
        <f>IF(ROUNDUP(U45/20,0)&gt;ROUNDUP(U44/20,0),"Lần " &amp; ROUNDUP(U45/20,0),"")</f>
        <v/>
      </c>
      <c r="AG45" s="11">
        <f>IF(ROUNDUP(V45/20,0)&gt;ROUNDUP(V44/20,0),"Lần " &amp; ROUNDUP(V45/20,0),"")</f>
        <v/>
      </c>
      <c r="AH45" s="11">
        <f>IF(ROUNDUP(W45/20,0)&gt;ROUNDUP(W44/20,0),"Lần " &amp; ROUNDUP(W45/20,0),"")</f>
        <v/>
      </c>
      <c r="AI45" s="11">
        <f>IF(ROUNDUP(X45/20,0)&gt;ROUNDUP(X44/20,0),"Lần " &amp; ROUNDUP(X45/20,0),"")</f>
        <v/>
      </c>
      <c r="AJ45" s="11">
        <f>IF(ROUNDUP(Y45/20,0)&gt;ROUNDUP(Y44/20,0),"Lần " &amp; ROUNDUP(Y45/20,0),"")</f>
        <v/>
      </c>
      <c r="AK45" s="11">
        <f>IF(ROUNDUP(Z45/20,0)&gt;ROUNDUP(Z44/20,0),"Lần " &amp; ROUNDUP(Z45/20,0),"")</f>
        <v/>
      </c>
      <c r="AL45" s="6" t="n"/>
      <c r="AN45" t="inlineStr">
        <is>
          <t>Than</t>
        </is>
      </c>
      <c r="AO45" t="n">
        <v>53</v>
      </c>
    </row>
    <row r="46" ht="19" customHeight="1">
      <c r="A46" s="6" t="n">
        <v>43</v>
      </c>
      <c r="B46" s="7" t="inlineStr">
        <is>
          <t>Mố M1</t>
        </is>
      </c>
      <c r="C46" s="7" t="inlineStr">
        <is>
          <t>Mố M1 (tr.31)</t>
        </is>
      </c>
      <c r="D46" s="18" t="inlineStr">
        <is>
          <t>G2</t>
        </is>
      </c>
      <c r="E46" s="19" t="n">
        <v>18</v>
      </c>
      <c r="F46" s="6" t="inlineStr">
        <is>
          <t>CB400-V</t>
        </is>
      </c>
      <c r="G46" s="7" t="inlineStr">
        <is>
          <t>S57</t>
        </is>
      </c>
      <c r="H46" s="20" t="n">
        <v>3.265</v>
      </c>
      <c r="I46" s="21" t="n">
        <v>20</v>
      </c>
      <c r="J46" s="22" t="n">
        <v>1.998</v>
      </c>
      <c r="K46" s="9">
        <f>ROUND(H46*I46*J46, 2)</f>
        <v/>
      </c>
      <c r="L46" s="23">
        <f>ROUND(K46/1000, 3)</f>
        <v/>
      </c>
      <c r="M46" s="8">
        <f>IF(AO46="","",IF(INDEX(Theo_Doi_Tan_Suat_Be_Tong!$C:$C,AO46)="","",INDEX(Theo_Doi_Tan_Suat_Be_Tong!$C:$C,AO46)-VLOOKUP(AN46,$AQ$2:$AR$7,2,FALSE)))</f>
        <v/>
      </c>
      <c r="N46" s="6" t="n"/>
      <c r="O46" s="24">
        <f>IF(ROUNDUP(T46/20,0)&gt;ROUNDUP(T45/20,0),"TN Ø18 (Lần " &amp; ROUNDUP(T46/20,0) &amp; ")","")</f>
        <v/>
      </c>
      <c r="P46" s="20">
        <f>ROUND(P45+IF(AND(E46&lt;=10,F46&lt;&gt;"ASTM A416"),L46,0),3)</f>
        <v/>
      </c>
      <c r="Q46" s="20">
        <f>ROUND(Q45+IF(AND(E46=12,F46&lt;&gt;"ASTM A416"),L46,0),3)</f>
        <v/>
      </c>
      <c r="R46" s="20">
        <f>ROUND(R45+IF(AND(E46=14,F46&lt;&gt;"ASTM A416"),L46,0),3)</f>
        <v/>
      </c>
      <c r="S46" s="20">
        <f>ROUND(S45+IF(AND(E46=16,F46&lt;&gt;"ASTM A416"),L46,0),3)</f>
        <v/>
      </c>
      <c r="T46" s="20">
        <f>ROUND(T45+IF(AND(E46=18,F46&lt;&gt;"ASTM A416"),L46,0),3)</f>
        <v/>
      </c>
      <c r="U46" s="20">
        <f>ROUND(U45+IF(AND(E46=20,F46&lt;&gt;"ASTM A416"),L46,0),3)</f>
        <v/>
      </c>
      <c r="V46" s="20">
        <f>ROUND(V45+IF(AND(E46=22,F46&lt;&gt;"ASTM A416"),L46,0),3)</f>
        <v/>
      </c>
      <c r="W46" s="20">
        <f>ROUND(W45+IF(AND(E46=25,F46&lt;&gt;"ASTM A416"),L46,0),3)</f>
        <v/>
      </c>
      <c r="X46" s="20">
        <f>ROUND(X45+IF(AND(E46=28,F46&lt;&gt;"ASTM A416"),L46,0),3)</f>
        <v/>
      </c>
      <c r="Y46" s="20">
        <f>ROUND(Y45+IF(AND(E46=32,F46&lt;&gt;"ASTM A416"),L46,0),3)</f>
        <v/>
      </c>
      <c r="Z46" s="20">
        <f>ROUND(Z45+IF(F46="ASTM A416",L46,0),3)</f>
        <v/>
      </c>
      <c r="AA46" s="11">
        <f>IF(ROUNDUP(P46/20,0)&gt;ROUNDUP(P45/20,0),"Lần " &amp; ROUNDUP(P46/20,0),"")</f>
        <v/>
      </c>
      <c r="AB46" s="11">
        <f>IF(ROUNDUP(Q46/20,0)&gt;ROUNDUP(Q45/20,0),"Lần " &amp; ROUNDUP(Q46/20,0),"")</f>
        <v/>
      </c>
      <c r="AC46" s="11">
        <f>IF(ROUNDUP(R46/20,0)&gt;ROUNDUP(R45/20,0),"Lần " &amp; ROUNDUP(R46/20,0),"")</f>
        <v/>
      </c>
      <c r="AD46" s="11">
        <f>IF(ROUNDUP(S46/20,0)&gt;ROUNDUP(S45/20,0),"Lần " &amp; ROUNDUP(S46/20,0),"")</f>
        <v/>
      </c>
      <c r="AE46" s="11">
        <f>IF(ROUNDUP(T46/20,0)&gt;ROUNDUP(T45/20,0),"Lần " &amp; ROUNDUP(T46/20,0),"")</f>
        <v/>
      </c>
      <c r="AF46" s="11">
        <f>IF(ROUNDUP(U46/20,0)&gt;ROUNDUP(U45/20,0),"Lần " &amp; ROUNDUP(U46/20,0),"")</f>
        <v/>
      </c>
      <c r="AG46" s="11">
        <f>IF(ROUNDUP(V46/20,0)&gt;ROUNDUP(V45/20,0),"Lần " &amp; ROUNDUP(V46/20,0),"")</f>
        <v/>
      </c>
      <c r="AH46" s="11">
        <f>IF(ROUNDUP(W46/20,0)&gt;ROUNDUP(W45/20,0),"Lần " &amp; ROUNDUP(W46/20,0),"")</f>
        <v/>
      </c>
      <c r="AI46" s="11">
        <f>IF(ROUNDUP(X46/20,0)&gt;ROUNDUP(X45/20,0),"Lần " &amp; ROUNDUP(X46/20,0),"")</f>
        <v/>
      </c>
      <c r="AJ46" s="11">
        <f>IF(ROUNDUP(Y46/20,0)&gt;ROUNDUP(Y45/20,0),"Lần " &amp; ROUNDUP(Y46/20,0),"")</f>
        <v/>
      </c>
      <c r="AK46" s="11">
        <f>IF(ROUNDUP(Z46/20,0)&gt;ROUNDUP(Z45/20,0),"Lần " &amp; ROUNDUP(Z46/20,0),"")</f>
        <v/>
      </c>
      <c r="AL46" s="6" t="n"/>
      <c r="AN46" t="inlineStr">
        <is>
          <t>Than</t>
        </is>
      </c>
      <c r="AO46" t="n">
        <v>53</v>
      </c>
    </row>
    <row r="47" ht="19" customHeight="1">
      <c r="A47" s="6" t="n">
        <v>44</v>
      </c>
      <c r="B47" s="7" t="inlineStr">
        <is>
          <t>Mố M1</t>
        </is>
      </c>
      <c r="C47" s="7" t="inlineStr">
        <is>
          <t>Mố M1 (tr.31)</t>
        </is>
      </c>
      <c r="D47" s="18" t="inlineStr">
        <is>
          <t>G3</t>
        </is>
      </c>
      <c r="E47" s="19" t="n">
        <v>14</v>
      </c>
      <c r="F47" s="6" t="inlineStr">
        <is>
          <t>CB400-V</t>
        </is>
      </c>
      <c r="G47" s="7" t="inlineStr">
        <is>
          <t>S29</t>
        </is>
      </c>
      <c r="H47" s="20" t="n">
        <v>2.344</v>
      </c>
      <c r="I47" s="21" t="n">
        <v>20</v>
      </c>
      <c r="J47" s="22" t="n">
        <v>1.208</v>
      </c>
      <c r="K47" s="9">
        <f>ROUND(H47*I47*J47, 2)</f>
        <v/>
      </c>
      <c r="L47" s="23">
        <f>ROUND(K47/1000, 3)</f>
        <v/>
      </c>
      <c r="M47" s="8">
        <f>IF(AO47="","",IF(INDEX(Theo_Doi_Tan_Suat_Be_Tong!$C:$C,AO47)="","",INDEX(Theo_Doi_Tan_Suat_Be_Tong!$C:$C,AO47)-VLOOKUP(AN47,$AQ$2:$AR$7,2,FALSE)))</f>
        <v/>
      </c>
      <c r="N47" s="6" t="n"/>
      <c r="O47" s="24">
        <f>IF(ROUNDUP(R47/20,0)&gt;ROUNDUP(R46/20,0),"TN Ø14 (Lần " &amp; ROUNDUP(R47/20,0) &amp; ")","")</f>
        <v/>
      </c>
      <c r="P47" s="20">
        <f>ROUND(P46+IF(AND(E47&lt;=10,F47&lt;&gt;"ASTM A416"),L47,0),3)</f>
        <v/>
      </c>
      <c r="Q47" s="20">
        <f>ROUND(Q46+IF(AND(E47=12,F47&lt;&gt;"ASTM A416"),L47,0),3)</f>
        <v/>
      </c>
      <c r="R47" s="20">
        <f>ROUND(R46+IF(AND(E47=14,F47&lt;&gt;"ASTM A416"),L47,0),3)</f>
        <v/>
      </c>
      <c r="S47" s="20">
        <f>ROUND(S46+IF(AND(E47=16,F47&lt;&gt;"ASTM A416"),L47,0),3)</f>
        <v/>
      </c>
      <c r="T47" s="20">
        <f>ROUND(T46+IF(AND(E47=18,F47&lt;&gt;"ASTM A416"),L47,0),3)</f>
        <v/>
      </c>
      <c r="U47" s="20">
        <f>ROUND(U46+IF(AND(E47=20,F47&lt;&gt;"ASTM A416"),L47,0),3)</f>
        <v/>
      </c>
      <c r="V47" s="20">
        <f>ROUND(V46+IF(AND(E47=22,F47&lt;&gt;"ASTM A416"),L47,0),3)</f>
        <v/>
      </c>
      <c r="W47" s="20">
        <f>ROUND(W46+IF(AND(E47=25,F47&lt;&gt;"ASTM A416"),L47,0),3)</f>
        <v/>
      </c>
      <c r="X47" s="20">
        <f>ROUND(X46+IF(AND(E47=28,F47&lt;&gt;"ASTM A416"),L47,0),3)</f>
        <v/>
      </c>
      <c r="Y47" s="20">
        <f>ROUND(Y46+IF(AND(E47=32,F47&lt;&gt;"ASTM A416"),L47,0),3)</f>
        <v/>
      </c>
      <c r="Z47" s="20">
        <f>ROUND(Z46+IF(F47="ASTM A416",L47,0),3)</f>
        <v/>
      </c>
      <c r="AA47" s="11">
        <f>IF(ROUNDUP(P47/20,0)&gt;ROUNDUP(P46/20,0),"Lần " &amp; ROUNDUP(P47/20,0),"")</f>
        <v/>
      </c>
      <c r="AB47" s="11">
        <f>IF(ROUNDUP(Q47/20,0)&gt;ROUNDUP(Q46/20,0),"Lần " &amp; ROUNDUP(Q47/20,0),"")</f>
        <v/>
      </c>
      <c r="AC47" s="11">
        <f>IF(ROUNDUP(R47/20,0)&gt;ROUNDUP(R46/20,0),"Lần " &amp; ROUNDUP(R47/20,0),"")</f>
        <v/>
      </c>
      <c r="AD47" s="11">
        <f>IF(ROUNDUP(S47/20,0)&gt;ROUNDUP(S46/20,0),"Lần " &amp; ROUNDUP(S47/20,0),"")</f>
        <v/>
      </c>
      <c r="AE47" s="11">
        <f>IF(ROUNDUP(T47/20,0)&gt;ROUNDUP(T46/20,0),"Lần " &amp; ROUNDUP(T47/20,0),"")</f>
        <v/>
      </c>
      <c r="AF47" s="11">
        <f>IF(ROUNDUP(U47/20,0)&gt;ROUNDUP(U46/20,0),"Lần " &amp; ROUNDUP(U47/20,0),"")</f>
        <v/>
      </c>
      <c r="AG47" s="11">
        <f>IF(ROUNDUP(V47/20,0)&gt;ROUNDUP(V46/20,0),"Lần " &amp; ROUNDUP(V47/20,0),"")</f>
        <v/>
      </c>
      <c r="AH47" s="11">
        <f>IF(ROUNDUP(W47/20,0)&gt;ROUNDUP(W46/20,0),"Lần " &amp; ROUNDUP(W47/20,0),"")</f>
        <v/>
      </c>
      <c r="AI47" s="11">
        <f>IF(ROUNDUP(X47/20,0)&gt;ROUNDUP(X46/20,0),"Lần " &amp; ROUNDUP(X47/20,0),"")</f>
        <v/>
      </c>
      <c r="AJ47" s="11">
        <f>IF(ROUNDUP(Y47/20,0)&gt;ROUNDUP(Y46/20,0),"Lần " &amp; ROUNDUP(Y47/20,0),"")</f>
        <v/>
      </c>
      <c r="AK47" s="11">
        <f>IF(ROUNDUP(Z47/20,0)&gt;ROUNDUP(Z46/20,0),"Lần " &amp; ROUNDUP(Z47/20,0),"")</f>
        <v/>
      </c>
      <c r="AL47" s="6" t="n"/>
      <c r="AN47" t="inlineStr">
        <is>
          <t>Than</t>
        </is>
      </c>
      <c r="AO47" t="n">
        <v>53</v>
      </c>
    </row>
    <row r="48" ht="19" customHeight="1">
      <c r="A48" s="6" t="n">
        <v>45</v>
      </c>
      <c r="B48" s="7" t="inlineStr">
        <is>
          <t>Mố M1</t>
        </is>
      </c>
      <c r="C48" s="7" t="inlineStr">
        <is>
          <t>Mố M1 (tr.31)</t>
        </is>
      </c>
      <c r="D48" s="18" t="inlineStr">
        <is>
          <t>G4A</t>
        </is>
      </c>
      <c r="E48" s="19" t="n">
        <v>12</v>
      </c>
      <c r="F48" s="6" t="inlineStr">
        <is>
          <t>CB400-V</t>
        </is>
      </c>
      <c r="G48" s="7" t="inlineStr">
        <is>
          <t>S06</t>
        </is>
      </c>
      <c r="H48" s="20" t="n">
        <v>0.342</v>
      </c>
      <c r="I48" s="21" t="n">
        <v>8</v>
      </c>
      <c r="J48" s="22" t="n">
        <v>0.888</v>
      </c>
      <c r="K48" s="9">
        <f>ROUND(H48*I48*J48, 2)</f>
        <v/>
      </c>
      <c r="L48" s="23">
        <f>ROUND(K48/1000, 3)</f>
        <v/>
      </c>
      <c r="M48" s="8">
        <f>IF(AO48="","",IF(INDEX(Theo_Doi_Tan_Suat_Be_Tong!$C:$C,AO48)="","",INDEX(Theo_Doi_Tan_Suat_Be_Tong!$C:$C,AO48)-VLOOKUP(AN48,$AQ$2:$AR$7,2,FALSE)))</f>
        <v/>
      </c>
      <c r="N48" s="6" t="n"/>
      <c r="O48" s="24">
        <f>IF(ROUNDUP(Q48/20,0)&gt;ROUNDUP(Q47/20,0),"TN Ø12 (Lần " &amp; ROUNDUP(Q48/20,0) &amp; ")","")</f>
        <v/>
      </c>
      <c r="P48" s="20">
        <f>ROUND(P47+IF(AND(E48&lt;=10,F48&lt;&gt;"ASTM A416"),L48,0),3)</f>
        <v/>
      </c>
      <c r="Q48" s="20">
        <f>ROUND(Q47+IF(AND(E48=12,F48&lt;&gt;"ASTM A416"),L48,0),3)</f>
        <v/>
      </c>
      <c r="R48" s="20">
        <f>ROUND(R47+IF(AND(E48=14,F48&lt;&gt;"ASTM A416"),L48,0),3)</f>
        <v/>
      </c>
      <c r="S48" s="20">
        <f>ROUND(S47+IF(AND(E48=16,F48&lt;&gt;"ASTM A416"),L48,0),3)</f>
        <v/>
      </c>
      <c r="T48" s="20">
        <f>ROUND(T47+IF(AND(E48=18,F48&lt;&gt;"ASTM A416"),L48,0),3)</f>
        <v/>
      </c>
      <c r="U48" s="20">
        <f>ROUND(U47+IF(AND(E48=20,F48&lt;&gt;"ASTM A416"),L48,0),3)</f>
        <v/>
      </c>
      <c r="V48" s="20">
        <f>ROUND(V47+IF(AND(E48=22,F48&lt;&gt;"ASTM A416"),L48,0),3)</f>
        <v/>
      </c>
      <c r="W48" s="20">
        <f>ROUND(W47+IF(AND(E48=25,F48&lt;&gt;"ASTM A416"),L48,0),3)</f>
        <v/>
      </c>
      <c r="X48" s="20">
        <f>ROUND(X47+IF(AND(E48=28,F48&lt;&gt;"ASTM A416"),L48,0),3)</f>
        <v/>
      </c>
      <c r="Y48" s="20">
        <f>ROUND(Y47+IF(AND(E48=32,F48&lt;&gt;"ASTM A416"),L48,0),3)</f>
        <v/>
      </c>
      <c r="Z48" s="20">
        <f>ROUND(Z47+IF(F48="ASTM A416",L48,0),3)</f>
        <v/>
      </c>
      <c r="AA48" s="11">
        <f>IF(ROUNDUP(P48/20,0)&gt;ROUNDUP(P47/20,0),"Lần " &amp; ROUNDUP(P48/20,0),"")</f>
        <v/>
      </c>
      <c r="AB48" s="11">
        <f>IF(ROUNDUP(Q48/20,0)&gt;ROUNDUP(Q47/20,0),"Lần " &amp; ROUNDUP(Q48/20,0),"")</f>
        <v/>
      </c>
      <c r="AC48" s="11">
        <f>IF(ROUNDUP(R48/20,0)&gt;ROUNDUP(R47/20,0),"Lần " &amp; ROUNDUP(R48/20,0),"")</f>
        <v/>
      </c>
      <c r="AD48" s="11">
        <f>IF(ROUNDUP(S48/20,0)&gt;ROUNDUP(S47/20,0),"Lần " &amp; ROUNDUP(S48/20,0),"")</f>
        <v/>
      </c>
      <c r="AE48" s="11">
        <f>IF(ROUNDUP(T48/20,0)&gt;ROUNDUP(T47/20,0),"Lần " &amp; ROUNDUP(T48/20,0),"")</f>
        <v/>
      </c>
      <c r="AF48" s="11">
        <f>IF(ROUNDUP(U48/20,0)&gt;ROUNDUP(U47/20,0),"Lần " &amp; ROUNDUP(U48/20,0),"")</f>
        <v/>
      </c>
      <c r="AG48" s="11">
        <f>IF(ROUNDUP(V48/20,0)&gt;ROUNDUP(V47/20,0),"Lần " &amp; ROUNDUP(V48/20,0),"")</f>
        <v/>
      </c>
      <c r="AH48" s="11">
        <f>IF(ROUNDUP(W48/20,0)&gt;ROUNDUP(W47/20,0),"Lần " &amp; ROUNDUP(W48/20,0),"")</f>
        <v/>
      </c>
      <c r="AI48" s="11">
        <f>IF(ROUNDUP(X48/20,0)&gt;ROUNDUP(X47/20,0),"Lần " &amp; ROUNDUP(X48/20,0),"")</f>
        <v/>
      </c>
      <c r="AJ48" s="11">
        <f>IF(ROUNDUP(Y48/20,0)&gt;ROUNDUP(Y47/20,0),"Lần " &amp; ROUNDUP(Y48/20,0),"")</f>
        <v/>
      </c>
      <c r="AK48" s="11">
        <f>IF(ROUNDUP(Z48/20,0)&gt;ROUNDUP(Z47/20,0),"Lần " &amp; ROUNDUP(Z48/20,0),"")</f>
        <v/>
      </c>
      <c r="AL48" s="6" t="n"/>
      <c r="AN48" t="inlineStr">
        <is>
          <t>Than</t>
        </is>
      </c>
      <c r="AO48" t="n">
        <v>53</v>
      </c>
    </row>
    <row r="49" ht="20" customHeight="1">
      <c r="A49" s="6" t="n">
        <v>46</v>
      </c>
      <c r="B49" s="7" t="inlineStr">
        <is>
          <t>Mố M1</t>
        </is>
      </c>
      <c r="C49" s="7" t="inlineStr">
        <is>
          <t>Mố M1 (tr.31)</t>
        </is>
      </c>
      <c r="D49" s="18" t="inlineStr">
        <is>
          <t>G4B</t>
        </is>
      </c>
      <c r="E49" s="19" t="n">
        <v>12</v>
      </c>
      <c r="F49" s="6" t="inlineStr">
        <is>
          <t>CB400-V</t>
        </is>
      </c>
      <c r="G49" s="7" t="inlineStr">
        <is>
          <t>S06</t>
        </is>
      </c>
      <c r="H49" s="20" t="n">
        <v>0.388</v>
      </c>
      <c r="I49" s="21" t="n">
        <v>8</v>
      </c>
      <c r="J49" s="22" t="n">
        <v>0.888</v>
      </c>
      <c r="K49" s="9">
        <f>ROUND(H49*I49*J49, 2)</f>
        <v/>
      </c>
      <c r="L49" s="23">
        <f>ROUND(K49/1000, 3)</f>
        <v/>
      </c>
      <c r="M49" s="8">
        <f>IF(AO49="","",IF(INDEX(Theo_Doi_Tan_Suat_Be_Tong!$C:$C,AO49)="","",INDEX(Theo_Doi_Tan_Suat_Be_Tong!$C:$C,AO49)-VLOOKUP(AN49,$AQ$2:$AR$7,2,FALSE)))</f>
        <v/>
      </c>
      <c r="N49" s="6" t="n"/>
      <c r="O49" s="24">
        <f>IF(ROUNDUP(Q49/20,0)&gt;ROUNDUP(Q48/20,0),"TN Ø12 (Lần " &amp; ROUNDUP(Q49/20,0) &amp; ")","")</f>
        <v/>
      </c>
      <c r="P49" s="20">
        <f>ROUND(P48+IF(AND(E49&lt;=10,F49&lt;&gt;"ASTM A416"),L49,0),3)</f>
        <v/>
      </c>
      <c r="Q49" s="20">
        <f>ROUND(Q48+IF(AND(E49=12,F49&lt;&gt;"ASTM A416"),L49,0),3)</f>
        <v/>
      </c>
      <c r="R49" s="20">
        <f>ROUND(R48+IF(AND(E49=14,F49&lt;&gt;"ASTM A416"),L49,0),3)</f>
        <v/>
      </c>
      <c r="S49" s="20">
        <f>ROUND(S48+IF(AND(E49=16,F49&lt;&gt;"ASTM A416"),L49,0),3)</f>
        <v/>
      </c>
      <c r="T49" s="20">
        <f>ROUND(T48+IF(AND(E49=18,F49&lt;&gt;"ASTM A416"),L49,0),3)</f>
        <v/>
      </c>
      <c r="U49" s="20">
        <f>ROUND(U48+IF(AND(E49=20,F49&lt;&gt;"ASTM A416"),L49,0),3)</f>
        <v/>
      </c>
      <c r="V49" s="20">
        <f>ROUND(V48+IF(AND(E49=22,F49&lt;&gt;"ASTM A416"),L49,0),3)</f>
        <v/>
      </c>
      <c r="W49" s="20">
        <f>ROUND(W48+IF(AND(E49=25,F49&lt;&gt;"ASTM A416"),L49,0),3)</f>
        <v/>
      </c>
      <c r="X49" s="20">
        <f>ROUND(X48+IF(AND(E49=28,F49&lt;&gt;"ASTM A416"),L49,0),3)</f>
        <v/>
      </c>
      <c r="Y49" s="20">
        <f>ROUND(Y48+IF(AND(E49=32,F49&lt;&gt;"ASTM A416"),L49,0),3)</f>
        <v/>
      </c>
      <c r="Z49" s="20">
        <f>ROUND(Z48+IF(F49="ASTM A416",L49,0),3)</f>
        <v/>
      </c>
      <c r="AA49" s="11">
        <f>IF(ROUNDUP(P49/20,0)&gt;ROUNDUP(P48/20,0),"Lần " &amp; ROUNDUP(P49/20,0),"")</f>
        <v/>
      </c>
      <c r="AB49" s="11">
        <f>IF(ROUNDUP(Q49/20,0)&gt;ROUNDUP(Q48/20,0),"Lần " &amp; ROUNDUP(Q49/20,0),"")</f>
        <v/>
      </c>
      <c r="AC49" s="11">
        <f>IF(ROUNDUP(R49/20,0)&gt;ROUNDUP(R48/20,0),"Lần " &amp; ROUNDUP(R49/20,0),"")</f>
        <v/>
      </c>
      <c r="AD49" s="11">
        <f>IF(ROUNDUP(S49/20,0)&gt;ROUNDUP(S48/20,0),"Lần " &amp; ROUNDUP(S49/20,0),"")</f>
        <v/>
      </c>
      <c r="AE49" s="11">
        <f>IF(ROUNDUP(T49/20,0)&gt;ROUNDUP(T48/20,0),"Lần " &amp; ROUNDUP(T49/20,0),"")</f>
        <v/>
      </c>
      <c r="AF49" s="11">
        <f>IF(ROUNDUP(U49/20,0)&gt;ROUNDUP(U48/20,0),"Lần " &amp; ROUNDUP(U49/20,0),"")</f>
        <v/>
      </c>
      <c r="AG49" s="11">
        <f>IF(ROUNDUP(V49/20,0)&gt;ROUNDUP(V48/20,0),"Lần " &amp; ROUNDUP(V49/20,0),"")</f>
        <v/>
      </c>
      <c r="AH49" s="11">
        <f>IF(ROUNDUP(W49/20,0)&gt;ROUNDUP(W48/20,0),"Lần " &amp; ROUNDUP(W49/20,0),"")</f>
        <v/>
      </c>
      <c r="AI49" s="11">
        <f>IF(ROUNDUP(X49/20,0)&gt;ROUNDUP(X48/20,0),"Lần " &amp; ROUNDUP(X49/20,0),"")</f>
        <v/>
      </c>
      <c r="AJ49" s="11">
        <f>IF(ROUNDUP(Y49/20,0)&gt;ROUNDUP(Y48/20,0),"Lần " &amp; ROUNDUP(Y49/20,0),"")</f>
        <v/>
      </c>
      <c r="AK49" s="11">
        <f>IF(ROUNDUP(Z49/20,0)&gt;ROUNDUP(Z48/20,0),"Lần " &amp; ROUNDUP(Z49/20,0),"")</f>
        <v/>
      </c>
      <c r="AL49" s="6" t="n"/>
      <c r="AN49" t="inlineStr">
        <is>
          <t>Than</t>
        </is>
      </c>
      <c r="AO49" t="n">
        <v>53</v>
      </c>
    </row>
    <row r="50" ht="19" customHeight="1">
      <c r="A50" s="6" t="n">
        <v>47</v>
      </c>
      <c r="B50" s="7" t="inlineStr">
        <is>
          <t>Mố M1</t>
        </is>
      </c>
      <c r="C50" s="7" t="inlineStr">
        <is>
          <t>Mố M1 (tr.31)</t>
        </is>
      </c>
      <c r="D50" s="18" t="inlineStr">
        <is>
          <t>G4C</t>
        </is>
      </c>
      <c r="E50" s="19" t="n">
        <v>12</v>
      </c>
      <c r="F50" s="6" t="inlineStr">
        <is>
          <t>CB400-V</t>
        </is>
      </c>
      <c r="G50" s="7" t="inlineStr">
        <is>
          <t>S06</t>
        </is>
      </c>
      <c r="H50" s="20" t="n">
        <v>0.634</v>
      </c>
      <c r="I50" s="21" t="n">
        <v>8</v>
      </c>
      <c r="J50" s="22" t="n">
        <v>0.888</v>
      </c>
      <c r="K50" s="9">
        <f>ROUND(H50*I50*J50, 2)</f>
        <v/>
      </c>
      <c r="L50" s="23">
        <f>ROUND(K50/1000, 3)</f>
        <v/>
      </c>
      <c r="M50" s="8">
        <f>IF(AO50="","",IF(INDEX(Theo_Doi_Tan_Suat_Be_Tong!$C:$C,AO50)="","",INDEX(Theo_Doi_Tan_Suat_Be_Tong!$C:$C,AO50)-VLOOKUP(AN50,$AQ$2:$AR$7,2,FALSE)))</f>
        <v/>
      </c>
      <c r="N50" s="6" t="n"/>
      <c r="O50" s="24">
        <f>IF(ROUNDUP(Q50/20,0)&gt;ROUNDUP(Q49/20,0),"TN Ø12 (Lần " &amp; ROUNDUP(Q50/20,0) &amp; ")","")</f>
        <v/>
      </c>
      <c r="P50" s="20">
        <f>ROUND(P49+IF(AND(E50&lt;=10,F50&lt;&gt;"ASTM A416"),L50,0),3)</f>
        <v/>
      </c>
      <c r="Q50" s="20">
        <f>ROUND(Q49+IF(AND(E50=12,F50&lt;&gt;"ASTM A416"),L50,0),3)</f>
        <v/>
      </c>
      <c r="R50" s="20">
        <f>ROUND(R49+IF(AND(E50=14,F50&lt;&gt;"ASTM A416"),L50,0),3)</f>
        <v/>
      </c>
      <c r="S50" s="20">
        <f>ROUND(S49+IF(AND(E50=16,F50&lt;&gt;"ASTM A416"),L50,0),3)</f>
        <v/>
      </c>
      <c r="T50" s="20">
        <f>ROUND(T49+IF(AND(E50=18,F50&lt;&gt;"ASTM A416"),L50,0),3)</f>
        <v/>
      </c>
      <c r="U50" s="20">
        <f>ROUND(U49+IF(AND(E50=20,F50&lt;&gt;"ASTM A416"),L50,0),3)</f>
        <v/>
      </c>
      <c r="V50" s="20">
        <f>ROUND(V49+IF(AND(E50=22,F50&lt;&gt;"ASTM A416"),L50,0),3)</f>
        <v/>
      </c>
      <c r="W50" s="20">
        <f>ROUND(W49+IF(AND(E50=25,F50&lt;&gt;"ASTM A416"),L50,0),3)</f>
        <v/>
      </c>
      <c r="X50" s="20">
        <f>ROUND(X49+IF(AND(E50=28,F50&lt;&gt;"ASTM A416"),L50,0),3)</f>
        <v/>
      </c>
      <c r="Y50" s="20">
        <f>ROUND(Y49+IF(AND(E50=32,F50&lt;&gt;"ASTM A416"),L50,0),3)</f>
        <v/>
      </c>
      <c r="Z50" s="20">
        <f>ROUND(Z49+IF(F50="ASTM A416",L50,0),3)</f>
        <v/>
      </c>
      <c r="AA50" s="11">
        <f>IF(ROUNDUP(P50/20,0)&gt;ROUNDUP(P49/20,0),"Lần " &amp; ROUNDUP(P50/20,0),"")</f>
        <v/>
      </c>
      <c r="AB50" s="11">
        <f>IF(ROUNDUP(Q50/20,0)&gt;ROUNDUP(Q49/20,0),"Lần " &amp; ROUNDUP(Q50/20,0),"")</f>
        <v/>
      </c>
      <c r="AC50" s="11">
        <f>IF(ROUNDUP(R50/20,0)&gt;ROUNDUP(R49/20,0),"Lần " &amp; ROUNDUP(R50/20,0),"")</f>
        <v/>
      </c>
      <c r="AD50" s="11">
        <f>IF(ROUNDUP(S50/20,0)&gt;ROUNDUP(S49/20,0),"Lần " &amp; ROUNDUP(S50/20,0),"")</f>
        <v/>
      </c>
      <c r="AE50" s="11">
        <f>IF(ROUNDUP(T50/20,0)&gt;ROUNDUP(T49/20,0),"Lần " &amp; ROUNDUP(T50/20,0),"")</f>
        <v/>
      </c>
      <c r="AF50" s="11">
        <f>IF(ROUNDUP(U50/20,0)&gt;ROUNDUP(U49/20,0),"Lần " &amp; ROUNDUP(U50/20,0),"")</f>
        <v/>
      </c>
      <c r="AG50" s="11">
        <f>IF(ROUNDUP(V50/20,0)&gt;ROUNDUP(V49/20,0),"Lần " &amp; ROUNDUP(V50/20,0),"")</f>
        <v/>
      </c>
      <c r="AH50" s="11">
        <f>IF(ROUNDUP(W50/20,0)&gt;ROUNDUP(W49/20,0),"Lần " &amp; ROUNDUP(W50/20,0),"")</f>
        <v/>
      </c>
      <c r="AI50" s="11">
        <f>IF(ROUNDUP(X50/20,0)&gt;ROUNDUP(X49/20,0),"Lần " &amp; ROUNDUP(X50/20,0),"")</f>
        <v/>
      </c>
      <c r="AJ50" s="11">
        <f>IF(ROUNDUP(Y50/20,0)&gt;ROUNDUP(Y49/20,0),"Lần " &amp; ROUNDUP(Y50/20,0),"")</f>
        <v/>
      </c>
      <c r="AK50" s="11">
        <f>IF(ROUNDUP(Z50/20,0)&gt;ROUNDUP(Z49/20,0),"Lần " &amp; ROUNDUP(Z50/20,0),"")</f>
        <v/>
      </c>
      <c r="AL50" s="6" t="n"/>
      <c r="AN50" t="inlineStr">
        <is>
          <t>Than</t>
        </is>
      </c>
      <c r="AO50" t="n">
        <v>53</v>
      </c>
    </row>
    <row r="51" ht="19" customHeight="1">
      <c r="A51" s="6" t="n">
        <v>48</v>
      </c>
      <c r="B51" s="7" t="inlineStr">
        <is>
          <t>Mố M1</t>
        </is>
      </c>
      <c r="C51" s="7" t="inlineStr">
        <is>
          <t>Mố M1 (tr.31)</t>
        </is>
      </c>
      <c r="D51" s="18" t="inlineStr">
        <is>
          <t>G5</t>
        </is>
      </c>
      <c r="E51" s="19" t="n">
        <v>14</v>
      </c>
      <c r="F51" s="6" t="inlineStr">
        <is>
          <t>CB400-V</t>
        </is>
      </c>
      <c r="G51" s="7" t="inlineStr"/>
      <c r="H51" s="20" t="n">
        <v>0.4</v>
      </c>
      <c r="I51" s="21" t="n">
        <v>18</v>
      </c>
      <c r="J51" s="22" t="n">
        <v>1.208</v>
      </c>
      <c r="K51" s="9">
        <f>ROUND(H51*I51*J51, 2)</f>
        <v/>
      </c>
      <c r="L51" s="23">
        <f>ROUND(K51/1000, 3)</f>
        <v/>
      </c>
      <c r="M51" s="8">
        <f>IF(AO51="","",IF(INDEX(Theo_Doi_Tan_Suat_Be_Tong!$C:$C,AO51)="","",INDEX(Theo_Doi_Tan_Suat_Be_Tong!$C:$C,AO51)-VLOOKUP(AN51,$AQ$2:$AR$7,2,FALSE)))</f>
        <v/>
      </c>
      <c r="N51" s="6" t="n"/>
      <c r="O51" s="24">
        <f>IF(ROUNDUP(R51/20,0)&gt;ROUNDUP(R50/20,0),"TN Ø14 (Lần " &amp; ROUNDUP(R51/20,0) &amp; ")","")</f>
        <v/>
      </c>
      <c r="P51" s="20">
        <f>ROUND(P50+IF(AND(E51&lt;=10,F51&lt;&gt;"ASTM A416"),L51,0),3)</f>
        <v/>
      </c>
      <c r="Q51" s="20">
        <f>ROUND(Q50+IF(AND(E51=12,F51&lt;&gt;"ASTM A416"),L51,0),3)</f>
        <v/>
      </c>
      <c r="R51" s="20">
        <f>ROUND(R50+IF(AND(E51=14,F51&lt;&gt;"ASTM A416"),L51,0),3)</f>
        <v/>
      </c>
      <c r="S51" s="20">
        <f>ROUND(S50+IF(AND(E51=16,F51&lt;&gt;"ASTM A416"),L51,0),3)</f>
        <v/>
      </c>
      <c r="T51" s="20">
        <f>ROUND(T50+IF(AND(E51=18,F51&lt;&gt;"ASTM A416"),L51,0),3)</f>
        <v/>
      </c>
      <c r="U51" s="20">
        <f>ROUND(U50+IF(AND(E51=20,F51&lt;&gt;"ASTM A416"),L51,0),3)</f>
        <v/>
      </c>
      <c r="V51" s="20">
        <f>ROUND(V50+IF(AND(E51=22,F51&lt;&gt;"ASTM A416"),L51,0),3)</f>
        <v/>
      </c>
      <c r="W51" s="20">
        <f>ROUND(W50+IF(AND(E51=25,F51&lt;&gt;"ASTM A416"),L51,0),3)</f>
        <v/>
      </c>
      <c r="X51" s="20">
        <f>ROUND(X50+IF(AND(E51=28,F51&lt;&gt;"ASTM A416"),L51,0),3)</f>
        <v/>
      </c>
      <c r="Y51" s="20">
        <f>ROUND(Y50+IF(AND(E51=32,F51&lt;&gt;"ASTM A416"),L51,0),3)</f>
        <v/>
      </c>
      <c r="Z51" s="20">
        <f>ROUND(Z50+IF(F51="ASTM A416",L51,0),3)</f>
        <v/>
      </c>
      <c r="AA51" s="11">
        <f>IF(ROUNDUP(P51/20,0)&gt;ROUNDUP(P50/20,0),"Lần " &amp; ROUNDUP(P51/20,0),"")</f>
        <v/>
      </c>
      <c r="AB51" s="11">
        <f>IF(ROUNDUP(Q51/20,0)&gt;ROUNDUP(Q50/20,0),"Lần " &amp; ROUNDUP(Q51/20,0),"")</f>
        <v/>
      </c>
      <c r="AC51" s="11">
        <f>IF(ROUNDUP(R51/20,0)&gt;ROUNDUP(R50/20,0),"Lần " &amp; ROUNDUP(R51/20,0),"")</f>
        <v/>
      </c>
      <c r="AD51" s="11">
        <f>IF(ROUNDUP(S51/20,0)&gt;ROUNDUP(S50/20,0),"Lần " &amp; ROUNDUP(S51/20,0),"")</f>
        <v/>
      </c>
      <c r="AE51" s="11">
        <f>IF(ROUNDUP(T51/20,0)&gt;ROUNDUP(T50/20,0),"Lần " &amp; ROUNDUP(T51/20,0),"")</f>
        <v/>
      </c>
      <c r="AF51" s="11">
        <f>IF(ROUNDUP(U51/20,0)&gt;ROUNDUP(U50/20,0),"Lần " &amp; ROUNDUP(U51/20,0),"")</f>
        <v/>
      </c>
      <c r="AG51" s="11">
        <f>IF(ROUNDUP(V51/20,0)&gt;ROUNDUP(V50/20,0),"Lần " &amp; ROUNDUP(V51/20,0),"")</f>
        <v/>
      </c>
      <c r="AH51" s="11">
        <f>IF(ROUNDUP(W51/20,0)&gt;ROUNDUP(W50/20,0),"Lần " &amp; ROUNDUP(W51/20,0),"")</f>
        <v/>
      </c>
      <c r="AI51" s="11">
        <f>IF(ROUNDUP(X51/20,0)&gt;ROUNDUP(X50/20,0),"Lần " &amp; ROUNDUP(X51/20,0),"")</f>
        <v/>
      </c>
      <c r="AJ51" s="11">
        <f>IF(ROUNDUP(Y51/20,0)&gt;ROUNDUP(Y50/20,0),"Lần " &amp; ROUNDUP(Y51/20,0),"")</f>
        <v/>
      </c>
      <c r="AK51" s="11">
        <f>IF(ROUNDUP(Z51/20,0)&gt;ROUNDUP(Z50/20,0),"Lần " &amp; ROUNDUP(Z51/20,0),"")</f>
        <v/>
      </c>
      <c r="AL51" s="6" t="n"/>
      <c r="AN51" t="inlineStr">
        <is>
          <t>Than</t>
        </is>
      </c>
      <c r="AO51" t="n">
        <v>53</v>
      </c>
    </row>
    <row r="52" ht="19" customHeight="1">
      <c r="A52" s="6" t="n">
        <v>49</v>
      </c>
      <c r="B52" s="7" t="inlineStr">
        <is>
          <t>Mố M1</t>
        </is>
      </c>
      <c r="C52" s="7" t="inlineStr">
        <is>
          <t>Mố M1 (tr.31)</t>
        </is>
      </c>
      <c r="D52" s="18" t="inlineStr">
        <is>
          <t>G5A</t>
        </is>
      </c>
      <c r="E52" s="19" t="n">
        <v>14</v>
      </c>
      <c r="F52" s="6" t="inlineStr">
        <is>
          <t>CB400-V</t>
        </is>
      </c>
      <c r="G52" s="7" t="inlineStr"/>
      <c r="H52" s="20" t="n">
        <v>5.38</v>
      </c>
      <c r="I52" s="21" t="n">
        <v>22</v>
      </c>
      <c r="J52" s="22" t="n">
        <v>1.208</v>
      </c>
      <c r="K52" s="9">
        <f>ROUND(H52*I52*J52, 2)</f>
        <v/>
      </c>
      <c r="L52" s="23">
        <f>ROUND(K52/1000, 3)</f>
        <v/>
      </c>
      <c r="M52" s="8">
        <f>IF(AO52="","",IF(INDEX(Theo_Doi_Tan_Suat_Be_Tong!$C:$C,AO52)="","",INDEX(Theo_Doi_Tan_Suat_Be_Tong!$C:$C,AO52)-VLOOKUP(AN52,$AQ$2:$AR$7,2,FALSE)))</f>
        <v/>
      </c>
      <c r="N52" s="6" t="n"/>
      <c r="O52" s="24">
        <f>IF(ROUNDUP(R52/20,0)&gt;ROUNDUP(R51/20,0),"TN Ø14 (Lần " &amp; ROUNDUP(R52/20,0) &amp; ")","")</f>
        <v/>
      </c>
      <c r="P52" s="20">
        <f>ROUND(P51+IF(AND(E52&lt;=10,F52&lt;&gt;"ASTM A416"),L52,0),3)</f>
        <v/>
      </c>
      <c r="Q52" s="20">
        <f>ROUND(Q51+IF(AND(E52=12,F52&lt;&gt;"ASTM A416"),L52,0),3)</f>
        <v/>
      </c>
      <c r="R52" s="20">
        <f>ROUND(R51+IF(AND(E52=14,F52&lt;&gt;"ASTM A416"),L52,0),3)</f>
        <v/>
      </c>
      <c r="S52" s="20">
        <f>ROUND(S51+IF(AND(E52=16,F52&lt;&gt;"ASTM A416"),L52,0),3)</f>
        <v/>
      </c>
      <c r="T52" s="20">
        <f>ROUND(T51+IF(AND(E52=18,F52&lt;&gt;"ASTM A416"),L52,0),3)</f>
        <v/>
      </c>
      <c r="U52" s="20">
        <f>ROUND(U51+IF(AND(E52=20,F52&lt;&gt;"ASTM A416"),L52,0),3)</f>
        <v/>
      </c>
      <c r="V52" s="20">
        <f>ROUND(V51+IF(AND(E52=22,F52&lt;&gt;"ASTM A416"),L52,0),3)</f>
        <v/>
      </c>
      <c r="W52" s="20">
        <f>ROUND(W51+IF(AND(E52=25,F52&lt;&gt;"ASTM A416"),L52,0),3)</f>
        <v/>
      </c>
      <c r="X52" s="20">
        <f>ROUND(X51+IF(AND(E52=28,F52&lt;&gt;"ASTM A416"),L52,0),3)</f>
        <v/>
      </c>
      <c r="Y52" s="20">
        <f>ROUND(Y51+IF(AND(E52=32,F52&lt;&gt;"ASTM A416"),L52,0),3)</f>
        <v/>
      </c>
      <c r="Z52" s="20">
        <f>ROUND(Z51+IF(F52="ASTM A416",L52,0),3)</f>
        <v/>
      </c>
      <c r="AA52" s="11">
        <f>IF(ROUNDUP(P52/20,0)&gt;ROUNDUP(P51/20,0),"Lần " &amp; ROUNDUP(P52/20,0),"")</f>
        <v/>
      </c>
      <c r="AB52" s="11">
        <f>IF(ROUNDUP(Q52/20,0)&gt;ROUNDUP(Q51/20,0),"Lần " &amp; ROUNDUP(Q52/20,0),"")</f>
        <v/>
      </c>
      <c r="AC52" s="11">
        <f>IF(ROUNDUP(R52/20,0)&gt;ROUNDUP(R51/20,0),"Lần " &amp; ROUNDUP(R52/20,0),"")</f>
        <v/>
      </c>
      <c r="AD52" s="11">
        <f>IF(ROUNDUP(S52/20,0)&gt;ROUNDUP(S51/20,0),"Lần " &amp; ROUNDUP(S52/20,0),"")</f>
        <v/>
      </c>
      <c r="AE52" s="11">
        <f>IF(ROUNDUP(T52/20,0)&gt;ROUNDUP(T51/20,0),"Lần " &amp; ROUNDUP(T52/20,0),"")</f>
        <v/>
      </c>
      <c r="AF52" s="11">
        <f>IF(ROUNDUP(U52/20,0)&gt;ROUNDUP(U51/20,0),"Lần " &amp; ROUNDUP(U52/20,0),"")</f>
        <v/>
      </c>
      <c r="AG52" s="11">
        <f>IF(ROUNDUP(V52/20,0)&gt;ROUNDUP(V51/20,0),"Lần " &amp; ROUNDUP(V52/20,0),"")</f>
        <v/>
      </c>
      <c r="AH52" s="11">
        <f>IF(ROUNDUP(W52/20,0)&gt;ROUNDUP(W51/20,0),"Lần " &amp; ROUNDUP(W52/20,0),"")</f>
        <v/>
      </c>
      <c r="AI52" s="11">
        <f>IF(ROUNDUP(X52/20,0)&gt;ROUNDUP(X51/20,0),"Lần " &amp; ROUNDUP(X52/20,0),"")</f>
        <v/>
      </c>
      <c r="AJ52" s="11">
        <f>IF(ROUNDUP(Y52/20,0)&gt;ROUNDUP(Y51/20,0),"Lần " &amp; ROUNDUP(Y52/20,0),"")</f>
        <v/>
      </c>
      <c r="AK52" s="11">
        <f>IF(ROUNDUP(Z52/20,0)&gt;ROUNDUP(Z51/20,0),"Lần " &amp; ROUNDUP(Z52/20,0),"")</f>
        <v/>
      </c>
      <c r="AL52" s="6" t="n"/>
      <c r="AN52" t="inlineStr">
        <is>
          <t>Than</t>
        </is>
      </c>
      <c r="AO52" t="n">
        <v>53</v>
      </c>
    </row>
    <row r="53" ht="19" customHeight="1">
      <c r="A53" s="6" t="n">
        <v>50</v>
      </c>
      <c r="B53" s="7" t="inlineStr">
        <is>
          <t>Mố M1</t>
        </is>
      </c>
      <c r="C53" s="7" t="inlineStr">
        <is>
          <t>Mố M1 (tr.31)</t>
        </is>
      </c>
      <c r="D53" s="18" t="inlineStr">
        <is>
          <t>G6</t>
        </is>
      </c>
      <c r="E53" s="19" t="n">
        <v>20</v>
      </c>
      <c r="F53" s="6" t="inlineStr">
        <is>
          <t>CB400-V</t>
        </is>
      </c>
      <c r="G53" s="7" t="inlineStr"/>
      <c r="H53" s="20" t="n">
        <v>3.095</v>
      </c>
      <c r="I53" s="21" t="n">
        <v>39</v>
      </c>
      <c r="J53" s="22" t="n">
        <v>2.466</v>
      </c>
      <c r="K53" s="9">
        <f>ROUND(H53*I53*J53, 2)</f>
        <v/>
      </c>
      <c r="L53" s="23">
        <f>ROUND(K53/1000, 3)</f>
        <v/>
      </c>
      <c r="M53" s="8">
        <f>IF(AO53="","",IF(INDEX(Theo_Doi_Tan_Suat_Be_Tong!$C:$C,AO53)="","",INDEX(Theo_Doi_Tan_Suat_Be_Tong!$C:$C,AO53)-VLOOKUP(AN53,$AQ$2:$AR$7,2,FALSE)))</f>
        <v/>
      </c>
      <c r="N53" s="6" t="n"/>
      <c r="O53" s="24">
        <f>IF(ROUNDUP(U53/20,0)&gt;ROUNDUP(U52/20,0),"TN Ø20 (Lần " &amp; ROUNDUP(U53/20,0) &amp; ")","")</f>
        <v/>
      </c>
      <c r="P53" s="20">
        <f>ROUND(P52+IF(AND(E53&lt;=10,F53&lt;&gt;"ASTM A416"),L53,0),3)</f>
        <v/>
      </c>
      <c r="Q53" s="20">
        <f>ROUND(Q52+IF(AND(E53=12,F53&lt;&gt;"ASTM A416"),L53,0),3)</f>
        <v/>
      </c>
      <c r="R53" s="20">
        <f>ROUND(R52+IF(AND(E53=14,F53&lt;&gt;"ASTM A416"),L53,0),3)</f>
        <v/>
      </c>
      <c r="S53" s="20">
        <f>ROUND(S52+IF(AND(E53=16,F53&lt;&gt;"ASTM A416"),L53,0),3)</f>
        <v/>
      </c>
      <c r="T53" s="20">
        <f>ROUND(T52+IF(AND(E53=18,F53&lt;&gt;"ASTM A416"),L53,0),3)</f>
        <v/>
      </c>
      <c r="U53" s="20">
        <f>ROUND(U52+IF(AND(E53=20,F53&lt;&gt;"ASTM A416"),L53,0),3)</f>
        <v/>
      </c>
      <c r="V53" s="20">
        <f>ROUND(V52+IF(AND(E53=22,F53&lt;&gt;"ASTM A416"),L53,0),3)</f>
        <v/>
      </c>
      <c r="W53" s="20">
        <f>ROUND(W52+IF(AND(E53=25,F53&lt;&gt;"ASTM A416"),L53,0),3)</f>
        <v/>
      </c>
      <c r="X53" s="20">
        <f>ROUND(X52+IF(AND(E53=28,F53&lt;&gt;"ASTM A416"),L53,0),3)</f>
        <v/>
      </c>
      <c r="Y53" s="20">
        <f>ROUND(Y52+IF(AND(E53=32,F53&lt;&gt;"ASTM A416"),L53,0),3)</f>
        <v/>
      </c>
      <c r="Z53" s="20">
        <f>ROUND(Z52+IF(F53="ASTM A416",L53,0),3)</f>
        <v/>
      </c>
      <c r="AA53" s="11">
        <f>IF(ROUNDUP(P53/20,0)&gt;ROUNDUP(P52/20,0),"Lần " &amp; ROUNDUP(P53/20,0),"")</f>
        <v/>
      </c>
      <c r="AB53" s="11">
        <f>IF(ROUNDUP(Q53/20,0)&gt;ROUNDUP(Q52/20,0),"Lần " &amp; ROUNDUP(Q53/20,0),"")</f>
        <v/>
      </c>
      <c r="AC53" s="11">
        <f>IF(ROUNDUP(R53/20,0)&gt;ROUNDUP(R52/20,0),"Lần " &amp; ROUNDUP(R53/20,0),"")</f>
        <v/>
      </c>
      <c r="AD53" s="11">
        <f>IF(ROUNDUP(S53/20,0)&gt;ROUNDUP(S52/20,0),"Lần " &amp; ROUNDUP(S53/20,0),"")</f>
        <v/>
      </c>
      <c r="AE53" s="11">
        <f>IF(ROUNDUP(T53/20,0)&gt;ROUNDUP(T52/20,0),"Lần " &amp; ROUNDUP(T53/20,0),"")</f>
        <v/>
      </c>
      <c r="AF53" s="11">
        <f>IF(ROUNDUP(U53/20,0)&gt;ROUNDUP(U52/20,0),"Lần " &amp; ROUNDUP(U53/20,0),"")</f>
        <v/>
      </c>
      <c r="AG53" s="11">
        <f>IF(ROUNDUP(V53/20,0)&gt;ROUNDUP(V52/20,0),"Lần " &amp; ROUNDUP(V53/20,0),"")</f>
        <v/>
      </c>
      <c r="AH53" s="11">
        <f>IF(ROUNDUP(W53/20,0)&gt;ROUNDUP(W52/20,0),"Lần " &amp; ROUNDUP(W53/20,0),"")</f>
        <v/>
      </c>
      <c r="AI53" s="11">
        <f>IF(ROUNDUP(X53/20,0)&gt;ROUNDUP(X52/20,0),"Lần " &amp; ROUNDUP(X53/20,0),"")</f>
        <v/>
      </c>
      <c r="AJ53" s="11">
        <f>IF(ROUNDUP(Y53/20,0)&gt;ROUNDUP(Y52/20,0),"Lần " &amp; ROUNDUP(Y53/20,0),"")</f>
        <v/>
      </c>
      <c r="AK53" s="11">
        <f>IF(ROUNDUP(Z53/20,0)&gt;ROUNDUP(Z52/20,0),"Lần " &amp; ROUNDUP(Z53/20,0),"")</f>
        <v/>
      </c>
      <c r="AL53" s="6" t="n"/>
      <c r="AN53" t="inlineStr">
        <is>
          <t>Than</t>
        </is>
      </c>
      <c r="AO53" t="n">
        <v>53</v>
      </c>
    </row>
    <row r="54" ht="19" customHeight="1">
      <c r="A54" s="6" t="n">
        <v>51</v>
      </c>
      <c r="B54" s="7" t="inlineStr">
        <is>
          <t>Mố M1</t>
        </is>
      </c>
      <c r="C54" s="7" t="inlineStr">
        <is>
          <t>Mố M1 (tr.31)</t>
        </is>
      </c>
      <c r="D54" s="18" t="inlineStr">
        <is>
          <t>G7</t>
        </is>
      </c>
      <c r="E54" s="19" t="n">
        <v>14</v>
      </c>
      <c r="F54" s="6" t="inlineStr">
        <is>
          <t>CB400-V</t>
        </is>
      </c>
      <c r="G54" s="7" t="inlineStr">
        <is>
          <t>S29</t>
        </is>
      </c>
      <c r="H54" s="20" t="n">
        <v>1.536</v>
      </c>
      <c r="I54" s="21" t="n">
        <v>39</v>
      </c>
      <c r="J54" s="22" t="n">
        <v>1.208</v>
      </c>
      <c r="K54" s="9">
        <f>ROUND(H54*I54*J54, 2)</f>
        <v/>
      </c>
      <c r="L54" s="23">
        <f>ROUND(K54/1000, 3)</f>
        <v/>
      </c>
      <c r="M54" s="8">
        <f>IF(AO54="","",IF(INDEX(Theo_Doi_Tan_Suat_Be_Tong!$C:$C,AO54)="","",INDEX(Theo_Doi_Tan_Suat_Be_Tong!$C:$C,AO54)-VLOOKUP(AN54,$AQ$2:$AR$7,2,FALSE)))</f>
        <v/>
      </c>
      <c r="N54" s="6" t="n"/>
      <c r="O54" s="24">
        <f>IF(ROUNDUP(R54/20,0)&gt;ROUNDUP(R53/20,0),"TN Ø14 (Lần " &amp; ROUNDUP(R54/20,0) &amp; ")","")</f>
        <v/>
      </c>
      <c r="P54" s="20">
        <f>ROUND(P53+IF(AND(E54&lt;=10,F54&lt;&gt;"ASTM A416"),L54,0),3)</f>
        <v/>
      </c>
      <c r="Q54" s="20">
        <f>ROUND(Q53+IF(AND(E54=12,F54&lt;&gt;"ASTM A416"),L54,0),3)</f>
        <v/>
      </c>
      <c r="R54" s="20">
        <f>ROUND(R53+IF(AND(E54=14,F54&lt;&gt;"ASTM A416"),L54,0),3)</f>
        <v/>
      </c>
      <c r="S54" s="20">
        <f>ROUND(S53+IF(AND(E54=16,F54&lt;&gt;"ASTM A416"),L54,0),3)</f>
        <v/>
      </c>
      <c r="T54" s="20">
        <f>ROUND(T53+IF(AND(E54=18,F54&lt;&gt;"ASTM A416"),L54,0),3)</f>
        <v/>
      </c>
      <c r="U54" s="20">
        <f>ROUND(U53+IF(AND(E54=20,F54&lt;&gt;"ASTM A416"),L54,0),3)</f>
        <v/>
      </c>
      <c r="V54" s="20">
        <f>ROUND(V53+IF(AND(E54=22,F54&lt;&gt;"ASTM A416"),L54,0),3)</f>
        <v/>
      </c>
      <c r="W54" s="20">
        <f>ROUND(W53+IF(AND(E54=25,F54&lt;&gt;"ASTM A416"),L54,0),3)</f>
        <v/>
      </c>
      <c r="X54" s="20">
        <f>ROUND(X53+IF(AND(E54=28,F54&lt;&gt;"ASTM A416"),L54,0),3)</f>
        <v/>
      </c>
      <c r="Y54" s="20">
        <f>ROUND(Y53+IF(AND(E54=32,F54&lt;&gt;"ASTM A416"),L54,0),3)</f>
        <v/>
      </c>
      <c r="Z54" s="20">
        <f>ROUND(Z53+IF(F54="ASTM A416",L54,0),3)</f>
        <v/>
      </c>
      <c r="AA54" s="11">
        <f>IF(ROUNDUP(P54/20,0)&gt;ROUNDUP(P53/20,0),"Lần " &amp; ROUNDUP(P54/20,0),"")</f>
        <v/>
      </c>
      <c r="AB54" s="11">
        <f>IF(ROUNDUP(Q54/20,0)&gt;ROUNDUP(Q53/20,0),"Lần " &amp; ROUNDUP(Q54/20,0),"")</f>
        <v/>
      </c>
      <c r="AC54" s="11">
        <f>IF(ROUNDUP(R54/20,0)&gt;ROUNDUP(R53/20,0),"Lần " &amp; ROUNDUP(R54/20,0),"")</f>
        <v/>
      </c>
      <c r="AD54" s="11">
        <f>IF(ROUNDUP(S54/20,0)&gt;ROUNDUP(S53/20,0),"Lần " &amp; ROUNDUP(S54/20,0),"")</f>
        <v/>
      </c>
      <c r="AE54" s="11">
        <f>IF(ROUNDUP(T54/20,0)&gt;ROUNDUP(T53/20,0),"Lần " &amp; ROUNDUP(T54/20,0),"")</f>
        <v/>
      </c>
      <c r="AF54" s="11">
        <f>IF(ROUNDUP(U54/20,0)&gt;ROUNDUP(U53/20,0),"Lần " &amp; ROUNDUP(U54/20,0),"")</f>
        <v/>
      </c>
      <c r="AG54" s="11">
        <f>IF(ROUNDUP(V54/20,0)&gt;ROUNDUP(V53/20,0),"Lần " &amp; ROUNDUP(V54/20,0),"")</f>
        <v/>
      </c>
      <c r="AH54" s="11">
        <f>IF(ROUNDUP(W54/20,0)&gt;ROUNDUP(W53/20,0),"Lần " &amp; ROUNDUP(W54/20,0),"")</f>
        <v/>
      </c>
      <c r="AI54" s="11">
        <f>IF(ROUNDUP(X54/20,0)&gt;ROUNDUP(X53/20,0),"Lần " &amp; ROUNDUP(X54/20,0),"")</f>
        <v/>
      </c>
      <c r="AJ54" s="11">
        <f>IF(ROUNDUP(Y54/20,0)&gt;ROUNDUP(Y53/20,0),"Lần " &amp; ROUNDUP(Y54/20,0),"")</f>
        <v/>
      </c>
      <c r="AK54" s="11">
        <f>IF(ROUNDUP(Z54/20,0)&gt;ROUNDUP(Z53/20,0),"Lần " &amp; ROUNDUP(Z54/20,0),"")</f>
        <v/>
      </c>
      <c r="AL54" s="6" t="n"/>
      <c r="AN54" t="inlineStr">
        <is>
          <t>Than</t>
        </is>
      </c>
      <c r="AO54" t="n">
        <v>53</v>
      </c>
    </row>
    <row r="55" ht="19" customHeight="1">
      <c r="A55" s="6" t="n">
        <v>52</v>
      </c>
      <c r="B55" s="7" t="inlineStr">
        <is>
          <t>Mố M1</t>
        </is>
      </c>
      <c r="C55" s="7" t="inlineStr">
        <is>
          <t>Mố M1 (tr.31)</t>
        </is>
      </c>
      <c r="D55" s="18" t="inlineStr">
        <is>
          <t>G7A</t>
        </is>
      </c>
      <c r="E55" s="19" t="n">
        <v>20</v>
      </c>
      <c r="F55" s="6" t="inlineStr">
        <is>
          <t>CB400-V</t>
        </is>
      </c>
      <c r="G55" s="7" t="inlineStr">
        <is>
          <t>S05</t>
        </is>
      </c>
      <c r="H55" s="20" t="n">
        <v>1.182</v>
      </c>
      <c r="I55" s="21" t="n">
        <v>39</v>
      </c>
      <c r="J55" s="22" t="n">
        <v>2.466</v>
      </c>
      <c r="K55" s="9">
        <f>ROUND(H55*I55*J55, 2)</f>
        <v/>
      </c>
      <c r="L55" s="23">
        <f>ROUND(K55/1000, 3)</f>
        <v/>
      </c>
      <c r="M55" s="8">
        <f>IF(AO55="","",IF(INDEX(Theo_Doi_Tan_Suat_Be_Tong!$C:$C,AO55)="","",INDEX(Theo_Doi_Tan_Suat_Be_Tong!$C:$C,AO55)-VLOOKUP(AN55,$AQ$2:$AR$7,2,FALSE)))</f>
        <v/>
      </c>
      <c r="N55" s="6" t="n"/>
      <c r="O55" s="24">
        <f>IF(ROUNDUP(U55/20,0)&gt;ROUNDUP(U54/20,0),"TN Ø20 (Lần " &amp; ROUNDUP(U55/20,0) &amp; ")","")</f>
        <v/>
      </c>
      <c r="P55" s="20">
        <f>ROUND(P54+IF(AND(E55&lt;=10,F55&lt;&gt;"ASTM A416"),L55,0),3)</f>
        <v/>
      </c>
      <c r="Q55" s="20">
        <f>ROUND(Q54+IF(AND(E55=12,F55&lt;&gt;"ASTM A416"),L55,0),3)</f>
        <v/>
      </c>
      <c r="R55" s="20">
        <f>ROUND(R54+IF(AND(E55=14,F55&lt;&gt;"ASTM A416"),L55,0),3)</f>
        <v/>
      </c>
      <c r="S55" s="20">
        <f>ROUND(S54+IF(AND(E55=16,F55&lt;&gt;"ASTM A416"),L55,0),3)</f>
        <v/>
      </c>
      <c r="T55" s="20">
        <f>ROUND(T54+IF(AND(E55=18,F55&lt;&gt;"ASTM A416"),L55,0),3)</f>
        <v/>
      </c>
      <c r="U55" s="20">
        <f>ROUND(U54+IF(AND(E55=20,F55&lt;&gt;"ASTM A416"),L55,0),3)</f>
        <v/>
      </c>
      <c r="V55" s="20">
        <f>ROUND(V54+IF(AND(E55=22,F55&lt;&gt;"ASTM A416"),L55,0),3)</f>
        <v/>
      </c>
      <c r="W55" s="20">
        <f>ROUND(W54+IF(AND(E55=25,F55&lt;&gt;"ASTM A416"),L55,0),3)</f>
        <v/>
      </c>
      <c r="X55" s="20">
        <f>ROUND(X54+IF(AND(E55=28,F55&lt;&gt;"ASTM A416"),L55,0),3)</f>
        <v/>
      </c>
      <c r="Y55" s="20">
        <f>ROUND(Y54+IF(AND(E55=32,F55&lt;&gt;"ASTM A416"),L55,0),3)</f>
        <v/>
      </c>
      <c r="Z55" s="20">
        <f>ROUND(Z54+IF(F55="ASTM A416",L55,0),3)</f>
        <v/>
      </c>
      <c r="AA55" s="11">
        <f>IF(ROUNDUP(P55/20,0)&gt;ROUNDUP(P54/20,0),"Lần " &amp; ROUNDUP(P55/20,0),"")</f>
        <v/>
      </c>
      <c r="AB55" s="11">
        <f>IF(ROUNDUP(Q55/20,0)&gt;ROUNDUP(Q54/20,0),"Lần " &amp; ROUNDUP(Q55/20,0),"")</f>
        <v/>
      </c>
      <c r="AC55" s="11">
        <f>IF(ROUNDUP(R55/20,0)&gt;ROUNDUP(R54/20,0),"Lần " &amp; ROUNDUP(R55/20,0),"")</f>
        <v/>
      </c>
      <c r="AD55" s="11">
        <f>IF(ROUNDUP(S55/20,0)&gt;ROUNDUP(S54/20,0),"Lần " &amp; ROUNDUP(S55/20,0),"")</f>
        <v/>
      </c>
      <c r="AE55" s="11">
        <f>IF(ROUNDUP(T55/20,0)&gt;ROUNDUP(T54/20,0),"Lần " &amp; ROUNDUP(T55/20,0),"")</f>
        <v/>
      </c>
      <c r="AF55" s="11">
        <f>IF(ROUNDUP(U55/20,0)&gt;ROUNDUP(U54/20,0),"Lần " &amp; ROUNDUP(U55/20,0),"")</f>
        <v/>
      </c>
      <c r="AG55" s="11">
        <f>IF(ROUNDUP(V55/20,0)&gt;ROUNDUP(V54/20,0),"Lần " &amp; ROUNDUP(V55/20,0),"")</f>
        <v/>
      </c>
      <c r="AH55" s="11">
        <f>IF(ROUNDUP(W55/20,0)&gt;ROUNDUP(W54/20,0),"Lần " &amp; ROUNDUP(W55/20,0),"")</f>
        <v/>
      </c>
      <c r="AI55" s="11">
        <f>IF(ROUNDUP(X55/20,0)&gt;ROUNDUP(X54/20,0),"Lần " &amp; ROUNDUP(X55/20,0),"")</f>
        <v/>
      </c>
      <c r="AJ55" s="11">
        <f>IF(ROUNDUP(Y55/20,0)&gt;ROUNDUP(Y54/20,0),"Lần " &amp; ROUNDUP(Y55/20,0),"")</f>
        <v/>
      </c>
      <c r="AK55" s="11">
        <f>IF(ROUNDUP(Z55/20,0)&gt;ROUNDUP(Z54/20,0),"Lần " &amp; ROUNDUP(Z55/20,0),"")</f>
        <v/>
      </c>
      <c r="AL55" s="6" t="n"/>
      <c r="AN55" t="inlineStr">
        <is>
          <t>Than</t>
        </is>
      </c>
      <c r="AO55" t="n">
        <v>53</v>
      </c>
    </row>
    <row r="56" ht="19" customHeight="1">
      <c r="A56" s="6" t="n">
        <v>53</v>
      </c>
      <c r="B56" s="7" t="inlineStr">
        <is>
          <t>Mố M1</t>
        </is>
      </c>
      <c r="C56" s="7" t="inlineStr">
        <is>
          <t>Mố M1 (tr.31)</t>
        </is>
      </c>
      <c r="D56" s="18" t="inlineStr">
        <is>
          <t>G8A</t>
        </is>
      </c>
      <c r="E56" s="19" t="n">
        <v>12</v>
      </c>
      <c r="F56" s="6" t="inlineStr">
        <is>
          <t>CB400-V</t>
        </is>
      </c>
      <c r="G56" s="7" t="inlineStr">
        <is>
          <t>S06</t>
        </is>
      </c>
      <c r="H56" s="20" t="n">
        <v>0.26</v>
      </c>
      <c r="I56" s="21" t="n">
        <v>14</v>
      </c>
      <c r="J56" s="22" t="n">
        <v>0.888</v>
      </c>
      <c r="K56" s="9">
        <f>ROUND(H56*I56*J56, 2)</f>
        <v/>
      </c>
      <c r="L56" s="23">
        <f>ROUND(K56/1000, 3)</f>
        <v/>
      </c>
      <c r="M56" s="8">
        <f>IF(AO56="","",IF(INDEX(Theo_Doi_Tan_Suat_Be_Tong!$C:$C,AO56)="","",INDEX(Theo_Doi_Tan_Suat_Be_Tong!$C:$C,AO56)-VLOOKUP(AN56,$AQ$2:$AR$7,2,FALSE)))</f>
        <v/>
      </c>
      <c r="N56" s="6" t="n"/>
      <c r="O56" s="24">
        <f>IF(ROUNDUP(Q56/20,0)&gt;ROUNDUP(Q55/20,0),"TN Ø12 (Lần " &amp; ROUNDUP(Q56/20,0) &amp; ")","")</f>
        <v/>
      </c>
      <c r="P56" s="20">
        <f>ROUND(P55+IF(AND(E56&lt;=10,F56&lt;&gt;"ASTM A416"),L56,0),3)</f>
        <v/>
      </c>
      <c r="Q56" s="20">
        <f>ROUND(Q55+IF(AND(E56=12,F56&lt;&gt;"ASTM A416"),L56,0),3)</f>
        <v/>
      </c>
      <c r="R56" s="20">
        <f>ROUND(R55+IF(AND(E56=14,F56&lt;&gt;"ASTM A416"),L56,0),3)</f>
        <v/>
      </c>
      <c r="S56" s="20">
        <f>ROUND(S55+IF(AND(E56=16,F56&lt;&gt;"ASTM A416"),L56,0),3)</f>
        <v/>
      </c>
      <c r="T56" s="20">
        <f>ROUND(T55+IF(AND(E56=18,F56&lt;&gt;"ASTM A416"),L56,0),3)</f>
        <v/>
      </c>
      <c r="U56" s="20">
        <f>ROUND(U55+IF(AND(E56=20,F56&lt;&gt;"ASTM A416"),L56,0),3)</f>
        <v/>
      </c>
      <c r="V56" s="20">
        <f>ROUND(V55+IF(AND(E56=22,F56&lt;&gt;"ASTM A416"),L56,0),3)</f>
        <v/>
      </c>
      <c r="W56" s="20">
        <f>ROUND(W55+IF(AND(E56=25,F56&lt;&gt;"ASTM A416"),L56,0),3)</f>
        <v/>
      </c>
      <c r="X56" s="20">
        <f>ROUND(X55+IF(AND(E56=28,F56&lt;&gt;"ASTM A416"),L56,0),3)</f>
        <v/>
      </c>
      <c r="Y56" s="20">
        <f>ROUND(Y55+IF(AND(E56=32,F56&lt;&gt;"ASTM A416"),L56,0),3)</f>
        <v/>
      </c>
      <c r="Z56" s="20">
        <f>ROUND(Z55+IF(F56="ASTM A416",L56,0),3)</f>
        <v/>
      </c>
      <c r="AA56" s="11">
        <f>IF(ROUNDUP(P56/20,0)&gt;ROUNDUP(P55/20,0),"Lần " &amp; ROUNDUP(P56/20,0),"")</f>
        <v/>
      </c>
      <c r="AB56" s="11">
        <f>IF(ROUNDUP(Q56/20,0)&gt;ROUNDUP(Q55/20,0),"Lần " &amp; ROUNDUP(Q56/20,0),"")</f>
        <v/>
      </c>
      <c r="AC56" s="11">
        <f>IF(ROUNDUP(R56/20,0)&gt;ROUNDUP(R55/20,0),"Lần " &amp; ROUNDUP(R56/20,0),"")</f>
        <v/>
      </c>
      <c r="AD56" s="11">
        <f>IF(ROUNDUP(S56/20,0)&gt;ROUNDUP(S55/20,0),"Lần " &amp; ROUNDUP(S56/20,0),"")</f>
        <v/>
      </c>
      <c r="AE56" s="11">
        <f>IF(ROUNDUP(T56/20,0)&gt;ROUNDUP(T55/20,0),"Lần " &amp; ROUNDUP(T56/20,0),"")</f>
        <v/>
      </c>
      <c r="AF56" s="11">
        <f>IF(ROUNDUP(U56/20,0)&gt;ROUNDUP(U55/20,0),"Lần " &amp; ROUNDUP(U56/20,0),"")</f>
        <v/>
      </c>
      <c r="AG56" s="11">
        <f>IF(ROUNDUP(V56/20,0)&gt;ROUNDUP(V55/20,0),"Lần " &amp; ROUNDUP(V56/20,0),"")</f>
        <v/>
      </c>
      <c r="AH56" s="11">
        <f>IF(ROUNDUP(W56/20,0)&gt;ROUNDUP(W55/20,0),"Lần " &amp; ROUNDUP(W56/20,0),"")</f>
        <v/>
      </c>
      <c r="AI56" s="11">
        <f>IF(ROUNDUP(X56/20,0)&gt;ROUNDUP(X55/20,0),"Lần " &amp; ROUNDUP(X56/20,0),"")</f>
        <v/>
      </c>
      <c r="AJ56" s="11">
        <f>IF(ROUNDUP(Y56/20,0)&gt;ROUNDUP(Y55/20,0),"Lần " &amp; ROUNDUP(Y56/20,0),"")</f>
        <v/>
      </c>
      <c r="AK56" s="11">
        <f>IF(ROUNDUP(Z56/20,0)&gt;ROUNDUP(Z55/20,0),"Lần " &amp; ROUNDUP(Z56/20,0),"")</f>
        <v/>
      </c>
      <c r="AL56" s="6" t="n"/>
      <c r="AN56" t="inlineStr">
        <is>
          <t>Than</t>
        </is>
      </c>
      <c r="AO56" t="n">
        <v>53</v>
      </c>
    </row>
    <row r="57" ht="19" customHeight="1">
      <c r="A57" s="6" t="n">
        <v>54</v>
      </c>
      <c r="B57" s="7" t="inlineStr">
        <is>
          <t>Mố M1</t>
        </is>
      </c>
      <c r="C57" s="7" t="inlineStr">
        <is>
          <t>Mố M1 (tr.31)</t>
        </is>
      </c>
      <c r="D57" s="18" t="inlineStr">
        <is>
          <t>G8B</t>
        </is>
      </c>
      <c r="E57" s="19" t="n">
        <v>12</v>
      </c>
      <c r="F57" s="6" t="inlineStr">
        <is>
          <t>CB400-V</t>
        </is>
      </c>
      <c r="G57" s="7" t="inlineStr">
        <is>
          <t>S06</t>
        </is>
      </c>
      <c r="H57" s="20" t="n">
        <v>0.306</v>
      </c>
      <c r="I57" s="21" t="n">
        <v>14</v>
      </c>
      <c r="J57" s="22" t="n">
        <v>0.888</v>
      </c>
      <c r="K57" s="9">
        <f>ROUND(H57*I57*J57, 2)</f>
        <v/>
      </c>
      <c r="L57" s="23">
        <f>ROUND(K57/1000, 3)</f>
        <v/>
      </c>
      <c r="M57" s="8">
        <f>IF(AO57="","",IF(INDEX(Theo_Doi_Tan_Suat_Be_Tong!$C:$C,AO57)="","",INDEX(Theo_Doi_Tan_Suat_Be_Tong!$C:$C,AO57)-VLOOKUP(AN57,$AQ$2:$AR$7,2,FALSE)))</f>
        <v/>
      </c>
      <c r="N57" s="6" t="n"/>
      <c r="O57" s="24">
        <f>IF(ROUNDUP(Q57/20,0)&gt;ROUNDUP(Q56/20,0),"TN Ø12 (Lần " &amp; ROUNDUP(Q57/20,0) &amp; ")","")</f>
        <v/>
      </c>
      <c r="P57" s="20">
        <f>ROUND(P56+IF(AND(E57&lt;=10,F57&lt;&gt;"ASTM A416"),L57,0),3)</f>
        <v/>
      </c>
      <c r="Q57" s="20">
        <f>ROUND(Q56+IF(AND(E57=12,F57&lt;&gt;"ASTM A416"),L57,0),3)</f>
        <v/>
      </c>
      <c r="R57" s="20">
        <f>ROUND(R56+IF(AND(E57=14,F57&lt;&gt;"ASTM A416"),L57,0),3)</f>
        <v/>
      </c>
      <c r="S57" s="20">
        <f>ROUND(S56+IF(AND(E57=16,F57&lt;&gt;"ASTM A416"),L57,0),3)</f>
        <v/>
      </c>
      <c r="T57" s="20">
        <f>ROUND(T56+IF(AND(E57=18,F57&lt;&gt;"ASTM A416"),L57,0),3)</f>
        <v/>
      </c>
      <c r="U57" s="20">
        <f>ROUND(U56+IF(AND(E57=20,F57&lt;&gt;"ASTM A416"),L57,0),3)</f>
        <v/>
      </c>
      <c r="V57" s="20">
        <f>ROUND(V56+IF(AND(E57=22,F57&lt;&gt;"ASTM A416"),L57,0),3)</f>
        <v/>
      </c>
      <c r="W57" s="20">
        <f>ROUND(W56+IF(AND(E57=25,F57&lt;&gt;"ASTM A416"),L57,0),3)</f>
        <v/>
      </c>
      <c r="X57" s="20">
        <f>ROUND(X56+IF(AND(E57=28,F57&lt;&gt;"ASTM A416"),L57,0),3)</f>
        <v/>
      </c>
      <c r="Y57" s="20">
        <f>ROUND(Y56+IF(AND(E57=32,F57&lt;&gt;"ASTM A416"),L57,0),3)</f>
        <v/>
      </c>
      <c r="Z57" s="20">
        <f>ROUND(Z56+IF(F57="ASTM A416",L57,0),3)</f>
        <v/>
      </c>
      <c r="AA57" s="11">
        <f>IF(ROUNDUP(P57/20,0)&gt;ROUNDUP(P56/20,0),"Lần " &amp; ROUNDUP(P57/20,0),"")</f>
        <v/>
      </c>
      <c r="AB57" s="11">
        <f>IF(ROUNDUP(Q57/20,0)&gt;ROUNDUP(Q56/20,0),"Lần " &amp; ROUNDUP(Q57/20,0),"")</f>
        <v/>
      </c>
      <c r="AC57" s="11">
        <f>IF(ROUNDUP(R57/20,0)&gt;ROUNDUP(R56/20,0),"Lần " &amp; ROUNDUP(R57/20,0),"")</f>
        <v/>
      </c>
      <c r="AD57" s="11">
        <f>IF(ROUNDUP(S57/20,0)&gt;ROUNDUP(S56/20,0),"Lần " &amp; ROUNDUP(S57/20,0),"")</f>
        <v/>
      </c>
      <c r="AE57" s="11">
        <f>IF(ROUNDUP(T57/20,0)&gt;ROUNDUP(T56/20,0),"Lần " &amp; ROUNDUP(T57/20,0),"")</f>
        <v/>
      </c>
      <c r="AF57" s="11">
        <f>IF(ROUNDUP(U57/20,0)&gt;ROUNDUP(U56/20,0),"Lần " &amp; ROUNDUP(U57/20,0),"")</f>
        <v/>
      </c>
      <c r="AG57" s="11">
        <f>IF(ROUNDUP(V57/20,0)&gt;ROUNDUP(V56/20,0),"Lần " &amp; ROUNDUP(V57/20,0),"")</f>
        <v/>
      </c>
      <c r="AH57" s="11">
        <f>IF(ROUNDUP(W57/20,0)&gt;ROUNDUP(W56/20,0),"Lần " &amp; ROUNDUP(W57/20,0),"")</f>
        <v/>
      </c>
      <c r="AI57" s="11">
        <f>IF(ROUNDUP(X57/20,0)&gt;ROUNDUP(X56/20,0),"Lần " &amp; ROUNDUP(X57/20,0),"")</f>
        <v/>
      </c>
      <c r="AJ57" s="11">
        <f>IF(ROUNDUP(Y57/20,0)&gt;ROUNDUP(Y56/20,0),"Lần " &amp; ROUNDUP(Y57/20,0),"")</f>
        <v/>
      </c>
      <c r="AK57" s="11">
        <f>IF(ROUNDUP(Z57/20,0)&gt;ROUNDUP(Z56/20,0),"Lần " &amp; ROUNDUP(Z57/20,0),"")</f>
        <v/>
      </c>
      <c r="AL57" s="6" t="n"/>
      <c r="AN57" t="inlineStr">
        <is>
          <t>Than</t>
        </is>
      </c>
      <c r="AO57" t="n">
        <v>53</v>
      </c>
    </row>
    <row r="58" ht="19" customHeight="1">
      <c r="A58" s="6" t="n">
        <v>55</v>
      </c>
      <c r="B58" s="7" t="inlineStr">
        <is>
          <t>Mố M1</t>
        </is>
      </c>
      <c r="C58" s="7" t="inlineStr">
        <is>
          <t>Mố M1 (tr.31)</t>
        </is>
      </c>
      <c r="D58" s="18" t="inlineStr">
        <is>
          <t>G8C</t>
        </is>
      </c>
      <c r="E58" s="19" t="n">
        <v>12</v>
      </c>
      <c r="F58" s="6" t="inlineStr">
        <is>
          <t>CB400-V</t>
        </is>
      </c>
      <c r="G58" s="7" t="inlineStr">
        <is>
          <t>S06</t>
        </is>
      </c>
      <c r="H58" s="20" t="n">
        <v>0.417</v>
      </c>
      <c r="I58" s="21" t="n">
        <v>14</v>
      </c>
      <c r="J58" s="22" t="n">
        <v>0.888</v>
      </c>
      <c r="K58" s="9">
        <f>ROUND(H58*I58*J58, 2)</f>
        <v/>
      </c>
      <c r="L58" s="23">
        <f>ROUND(K58/1000, 3)</f>
        <v/>
      </c>
      <c r="M58" s="8">
        <f>IF(AO58="","",IF(INDEX(Theo_Doi_Tan_Suat_Be_Tong!$C:$C,AO58)="","",INDEX(Theo_Doi_Tan_Suat_Be_Tong!$C:$C,AO58)-VLOOKUP(AN58,$AQ$2:$AR$7,2,FALSE)))</f>
        <v/>
      </c>
      <c r="N58" s="6" t="n"/>
      <c r="O58" s="24">
        <f>IF(ROUNDUP(Q58/20,0)&gt;ROUNDUP(Q57/20,0),"TN Ø12 (Lần " &amp; ROUNDUP(Q58/20,0) &amp; ")","")</f>
        <v/>
      </c>
      <c r="P58" s="20">
        <f>ROUND(P57+IF(AND(E58&lt;=10,F58&lt;&gt;"ASTM A416"),L58,0),3)</f>
        <v/>
      </c>
      <c r="Q58" s="20">
        <f>ROUND(Q57+IF(AND(E58=12,F58&lt;&gt;"ASTM A416"),L58,0),3)</f>
        <v/>
      </c>
      <c r="R58" s="20">
        <f>ROUND(R57+IF(AND(E58=14,F58&lt;&gt;"ASTM A416"),L58,0),3)</f>
        <v/>
      </c>
      <c r="S58" s="20">
        <f>ROUND(S57+IF(AND(E58=16,F58&lt;&gt;"ASTM A416"),L58,0),3)</f>
        <v/>
      </c>
      <c r="T58" s="20">
        <f>ROUND(T57+IF(AND(E58=18,F58&lt;&gt;"ASTM A416"),L58,0),3)</f>
        <v/>
      </c>
      <c r="U58" s="20">
        <f>ROUND(U57+IF(AND(E58=20,F58&lt;&gt;"ASTM A416"),L58,0),3)</f>
        <v/>
      </c>
      <c r="V58" s="20">
        <f>ROUND(V57+IF(AND(E58=22,F58&lt;&gt;"ASTM A416"),L58,0),3)</f>
        <v/>
      </c>
      <c r="W58" s="20">
        <f>ROUND(W57+IF(AND(E58=25,F58&lt;&gt;"ASTM A416"),L58,0),3)</f>
        <v/>
      </c>
      <c r="X58" s="20">
        <f>ROUND(X57+IF(AND(E58=28,F58&lt;&gt;"ASTM A416"),L58,0),3)</f>
        <v/>
      </c>
      <c r="Y58" s="20">
        <f>ROUND(Y57+IF(AND(E58=32,F58&lt;&gt;"ASTM A416"),L58,0),3)</f>
        <v/>
      </c>
      <c r="Z58" s="20">
        <f>ROUND(Z57+IF(F58="ASTM A416",L58,0),3)</f>
        <v/>
      </c>
      <c r="AA58" s="11">
        <f>IF(ROUNDUP(P58/20,0)&gt;ROUNDUP(P57/20,0),"Lần " &amp; ROUNDUP(P58/20,0),"")</f>
        <v/>
      </c>
      <c r="AB58" s="11">
        <f>IF(ROUNDUP(Q58/20,0)&gt;ROUNDUP(Q57/20,0),"Lần " &amp; ROUNDUP(Q58/20,0),"")</f>
        <v/>
      </c>
      <c r="AC58" s="11">
        <f>IF(ROUNDUP(R58/20,0)&gt;ROUNDUP(R57/20,0),"Lần " &amp; ROUNDUP(R58/20,0),"")</f>
        <v/>
      </c>
      <c r="AD58" s="11">
        <f>IF(ROUNDUP(S58/20,0)&gt;ROUNDUP(S57/20,0),"Lần " &amp; ROUNDUP(S58/20,0),"")</f>
        <v/>
      </c>
      <c r="AE58" s="11">
        <f>IF(ROUNDUP(T58/20,0)&gt;ROUNDUP(T57/20,0),"Lần " &amp; ROUNDUP(T58/20,0),"")</f>
        <v/>
      </c>
      <c r="AF58" s="11">
        <f>IF(ROUNDUP(U58/20,0)&gt;ROUNDUP(U57/20,0),"Lần " &amp; ROUNDUP(U58/20,0),"")</f>
        <v/>
      </c>
      <c r="AG58" s="11">
        <f>IF(ROUNDUP(V58/20,0)&gt;ROUNDUP(V57/20,0),"Lần " &amp; ROUNDUP(V58/20,0),"")</f>
        <v/>
      </c>
      <c r="AH58" s="11">
        <f>IF(ROUNDUP(W58/20,0)&gt;ROUNDUP(W57/20,0),"Lần " &amp; ROUNDUP(W58/20,0),"")</f>
        <v/>
      </c>
      <c r="AI58" s="11">
        <f>IF(ROUNDUP(X58/20,0)&gt;ROUNDUP(X57/20,0),"Lần " &amp; ROUNDUP(X58/20,0),"")</f>
        <v/>
      </c>
      <c r="AJ58" s="11">
        <f>IF(ROUNDUP(Y58/20,0)&gt;ROUNDUP(Y57/20,0),"Lần " &amp; ROUNDUP(Y58/20,0),"")</f>
        <v/>
      </c>
      <c r="AK58" s="11">
        <f>IF(ROUNDUP(Z58/20,0)&gt;ROUNDUP(Z57/20,0),"Lần " &amp; ROUNDUP(Z58/20,0),"")</f>
        <v/>
      </c>
      <c r="AL58" s="6" t="n"/>
      <c r="AN58" t="inlineStr">
        <is>
          <t>Than</t>
        </is>
      </c>
      <c r="AO58" t="n">
        <v>53</v>
      </c>
    </row>
    <row r="59" ht="19" customHeight="1">
      <c r="A59" s="6" t="n">
        <v>56</v>
      </c>
      <c r="B59" s="7" t="inlineStr">
        <is>
          <t>Mố M1</t>
        </is>
      </c>
      <c r="C59" s="7" t="inlineStr">
        <is>
          <t>Mố M1 (tr.31)</t>
        </is>
      </c>
      <c r="D59" s="18" t="inlineStr">
        <is>
          <t>G9</t>
        </is>
      </c>
      <c r="E59" s="19" t="n">
        <v>16</v>
      </c>
      <c r="F59" s="6" t="inlineStr">
        <is>
          <t>CB400-V</t>
        </is>
      </c>
      <c r="G59" s="7" t="inlineStr"/>
      <c r="H59" s="20" t="n">
        <v>0.625</v>
      </c>
      <c r="I59" s="21" t="n">
        <v>70</v>
      </c>
      <c r="J59" s="22" t="n">
        <v>1.578</v>
      </c>
      <c r="K59" s="9">
        <f>ROUND(H59*I59*J59, 2)</f>
        <v/>
      </c>
      <c r="L59" s="23">
        <f>ROUND(K59/1000, 3)</f>
        <v/>
      </c>
      <c r="M59" s="8">
        <f>IF(AO59="","",IF(INDEX(Theo_Doi_Tan_Suat_Be_Tong!$C:$C,AO59)="","",INDEX(Theo_Doi_Tan_Suat_Be_Tong!$C:$C,AO59)-VLOOKUP(AN59,$AQ$2:$AR$7,2,FALSE)))</f>
        <v/>
      </c>
      <c r="N59" s="6" t="n"/>
      <c r="O59" s="24">
        <f>IF(ROUNDUP(S59/20,0)&gt;ROUNDUP(S58/20,0),"TN Ø16 (Lần " &amp; ROUNDUP(S59/20,0) &amp; ")","")</f>
        <v/>
      </c>
      <c r="P59" s="20">
        <f>ROUND(P58+IF(AND(E59&lt;=10,F59&lt;&gt;"ASTM A416"),L59,0),3)</f>
        <v/>
      </c>
      <c r="Q59" s="20">
        <f>ROUND(Q58+IF(AND(E59=12,F59&lt;&gt;"ASTM A416"),L59,0),3)</f>
        <v/>
      </c>
      <c r="R59" s="20">
        <f>ROUND(R58+IF(AND(E59=14,F59&lt;&gt;"ASTM A416"),L59,0),3)</f>
        <v/>
      </c>
      <c r="S59" s="20">
        <f>ROUND(S58+IF(AND(E59=16,F59&lt;&gt;"ASTM A416"),L59,0),3)</f>
        <v/>
      </c>
      <c r="T59" s="20">
        <f>ROUND(T58+IF(AND(E59=18,F59&lt;&gt;"ASTM A416"),L59,0),3)</f>
        <v/>
      </c>
      <c r="U59" s="20">
        <f>ROUND(U58+IF(AND(E59=20,F59&lt;&gt;"ASTM A416"),L59,0),3)</f>
        <v/>
      </c>
      <c r="V59" s="20">
        <f>ROUND(V58+IF(AND(E59=22,F59&lt;&gt;"ASTM A416"),L59,0),3)</f>
        <v/>
      </c>
      <c r="W59" s="20">
        <f>ROUND(W58+IF(AND(E59=25,F59&lt;&gt;"ASTM A416"),L59,0),3)</f>
        <v/>
      </c>
      <c r="X59" s="20">
        <f>ROUND(X58+IF(AND(E59=28,F59&lt;&gt;"ASTM A416"),L59,0),3)</f>
        <v/>
      </c>
      <c r="Y59" s="20">
        <f>ROUND(Y58+IF(AND(E59=32,F59&lt;&gt;"ASTM A416"),L59,0),3)</f>
        <v/>
      </c>
      <c r="Z59" s="20">
        <f>ROUND(Z58+IF(F59="ASTM A416",L59,0),3)</f>
        <v/>
      </c>
      <c r="AA59" s="11">
        <f>IF(ROUNDUP(P59/20,0)&gt;ROUNDUP(P58/20,0),"Lần " &amp; ROUNDUP(P59/20,0),"")</f>
        <v/>
      </c>
      <c r="AB59" s="11">
        <f>IF(ROUNDUP(Q59/20,0)&gt;ROUNDUP(Q58/20,0),"Lần " &amp; ROUNDUP(Q59/20,0),"")</f>
        <v/>
      </c>
      <c r="AC59" s="11">
        <f>IF(ROUNDUP(R59/20,0)&gt;ROUNDUP(R58/20,0),"Lần " &amp; ROUNDUP(R59/20,0),"")</f>
        <v/>
      </c>
      <c r="AD59" s="11">
        <f>IF(ROUNDUP(S59/20,0)&gt;ROUNDUP(S58/20,0),"Lần " &amp; ROUNDUP(S59/20,0),"")</f>
        <v/>
      </c>
      <c r="AE59" s="11">
        <f>IF(ROUNDUP(T59/20,0)&gt;ROUNDUP(T58/20,0),"Lần " &amp; ROUNDUP(T59/20,0),"")</f>
        <v/>
      </c>
      <c r="AF59" s="11">
        <f>IF(ROUNDUP(U59/20,0)&gt;ROUNDUP(U58/20,0),"Lần " &amp; ROUNDUP(U59/20,0),"")</f>
        <v/>
      </c>
      <c r="AG59" s="11">
        <f>IF(ROUNDUP(V59/20,0)&gt;ROUNDUP(V58/20,0),"Lần " &amp; ROUNDUP(V59/20,0),"")</f>
        <v/>
      </c>
      <c r="AH59" s="11">
        <f>IF(ROUNDUP(W59/20,0)&gt;ROUNDUP(W58/20,0),"Lần " &amp; ROUNDUP(W59/20,0),"")</f>
        <v/>
      </c>
      <c r="AI59" s="11">
        <f>IF(ROUNDUP(X59/20,0)&gt;ROUNDUP(X58/20,0),"Lần " &amp; ROUNDUP(X59/20,0),"")</f>
        <v/>
      </c>
      <c r="AJ59" s="11">
        <f>IF(ROUNDUP(Y59/20,0)&gt;ROUNDUP(Y58/20,0),"Lần " &amp; ROUNDUP(Y59/20,0),"")</f>
        <v/>
      </c>
      <c r="AK59" s="11">
        <f>IF(ROUNDUP(Z59/20,0)&gt;ROUNDUP(Z58/20,0),"Lần " &amp; ROUNDUP(Z59/20,0),"")</f>
        <v/>
      </c>
      <c r="AL59" s="6" t="n"/>
      <c r="AN59" t="inlineStr">
        <is>
          <t>Than</t>
        </is>
      </c>
      <c r="AO59" t="n">
        <v>53</v>
      </c>
    </row>
    <row r="60" ht="19" customHeight="1">
      <c r="A60" s="17" t="inlineStr">
        <is>
          <t>--- MỐ M2 ---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 t="n"/>
      <c r="AF60" s="35" t="n"/>
      <c r="AG60" s="35" t="n"/>
      <c r="AH60" s="35" t="n"/>
      <c r="AI60" s="35" t="n"/>
      <c r="AJ60" s="35" t="n"/>
      <c r="AK60" s="35" t="n"/>
      <c r="AL60" s="34" t="n"/>
    </row>
    <row r="61" ht="19" customHeight="1">
      <c r="A61" s="6" t="n">
        <v>57</v>
      </c>
      <c r="B61" s="7" t="inlineStr">
        <is>
          <t>Mố M2</t>
        </is>
      </c>
      <c r="C61" s="7" t="inlineStr">
        <is>
          <t>Mố M2 (tr.40)</t>
        </is>
      </c>
      <c r="D61" s="18" t="inlineStr">
        <is>
          <t>G1</t>
        </is>
      </c>
      <c r="E61" s="19" t="n">
        <v>14</v>
      </c>
      <c r="F61" s="6" t="inlineStr">
        <is>
          <t>CB400-V</t>
        </is>
      </c>
      <c r="G61" s="7" t="inlineStr">
        <is>
          <t>S01</t>
        </is>
      </c>
      <c r="H61" s="20" t="n">
        <v>5.9</v>
      </c>
      <c r="I61" s="21" t="n">
        <v>19</v>
      </c>
      <c r="J61" s="22" t="n">
        <v>1.208</v>
      </c>
      <c r="K61" s="9">
        <f>ROUND(H61*I61*J61, 2)</f>
        <v/>
      </c>
      <c r="L61" s="23">
        <f>ROUND(K61/1000, 3)</f>
        <v/>
      </c>
      <c r="M61" s="8">
        <f>IF(AO61="","",IF(INDEX(Theo_Doi_Tan_Suat_Be_Tong!$C:$C,AO61)="","",INDEX(Theo_Doi_Tan_Suat_Be_Tong!$C:$C,AO61)-VLOOKUP(AN61,$AQ$2:$AR$7,2,FALSE)))</f>
        <v/>
      </c>
      <c r="N61" s="6" t="n"/>
      <c r="O61" s="24">
        <f>IF(ROUNDUP(R61/20,0)&gt;ROUNDUP(R59/20,0),"TN Ø14 (Lần " &amp; ROUNDUP(R61/20,0) &amp; ")","")</f>
        <v/>
      </c>
      <c r="P61" s="20">
        <f>ROUND(P59+IF(AND(E61&lt;=10,F61&lt;&gt;"ASTM A416"),L61,0),3)</f>
        <v/>
      </c>
      <c r="Q61" s="20">
        <f>ROUND(Q59+IF(AND(E61=12,F61&lt;&gt;"ASTM A416"),L61,0),3)</f>
        <v/>
      </c>
      <c r="R61" s="20">
        <f>ROUND(R59+IF(AND(E61=14,F61&lt;&gt;"ASTM A416"),L61,0),3)</f>
        <v/>
      </c>
      <c r="S61" s="20">
        <f>ROUND(S59+IF(AND(E61=16,F61&lt;&gt;"ASTM A416"),L61,0),3)</f>
        <v/>
      </c>
      <c r="T61" s="20">
        <f>ROUND(T59+IF(AND(E61=18,F61&lt;&gt;"ASTM A416"),L61,0),3)</f>
        <v/>
      </c>
      <c r="U61" s="20">
        <f>ROUND(U59+IF(AND(E61=20,F61&lt;&gt;"ASTM A416"),L61,0),3)</f>
        <v/>
      </c>
      <c r="V61" s="20">
        <f>ROUND(V59+IF(AND(E61=22,F61&lt;&gt;"ASTM A416"),L61,0),3)</f>
        <v/>
      </c>
      <c r="W61" s="20">
        <f>ROUND(W59+IF(AND(E61=25,F61&lt;&gt;"ASTM A416"),L61,0),3)</f>
        <v/>
      </c>
      <c r="X61" s="20">
        <f>ROUND(X59+IF(AND(E61=28,F61&lt;&gt;"ASTM A416"),L61,0),3)</f>
        <v/>
      </c>
      <c r="Y61" s="20">
        <f>ROUND(Y59+IF(AND(E61=32,F61&lt;&gt;"ASTM A416"),L61,0),3)</f>
        <v/>
      </c>
      <c r="Z61" s="20">
        <f>ROUND(Z59+IF(F61="ASTM A416",L61,0),3)</f>
        <v/>
      </c>
      <c r="AA61" s="11">
        <f>IF(ROUNDUP(P61/20,0)&gt;ROUNDUP(P59/20,0),"Lần " &amp; ROUNDUP(P61/20,0),"")</f>
        <v/>
      </c>
      <c r="AB61" s="11">
        <f>IF(ROUNDUP(Q61/20,0)&gt;ROUNDUP(Q59/20,0),"Lần " &amp; ROUNDUP(Q61/20,0),"")</f>
        <v/>
      </c>
      <c r="AC61" s="11">
        <f>IF(ROUNDUP(R61/20,0)&gt;ROUNDUP(R59/20,0),"Lần " &amp; ROUNDUP(R61/20,0),"")</f>
        <v/>
      </c>
      <c r="AD61" s="11">
        <f>IF(ROUNDUP(S61/20,0)&gt;ROUNDUP(S59/20,0),"Lần " &amp; ROUNDUP(S61/20,0),"")</f>
        <v/>
      </c>
      <c r="AE61" s="11">
        <f>IF(ROUNDUP(T61/20,0)&gt;ROUNDUP(T59/20,0),"Lần " &amp; ROUNDUP(T61/20,0),"")</f>
        <v/>
      </c>
      <c r="AF61" s="11">
        <f>IF(ROUNDUP(U61/20,0)&gt;ROUNDUP(U59/20,0),"Lần " &amp; ROUNDUP(U61/20,0),"")</f>
        <v/>
      </c>
      <c r="AG61" s="11">
        <f>IF(ROUNDUP(V61/20,0)&gt;ROUNDUP(V59/20,0),"Lần " &amp; ROUNDUP(V61/20,0),"")</f>
        <v/>
      </c>
      <c r="AH61" s="11">
        <f>IF(ROUNDUP(W61/20,0)&gt;ROUNDUP(W59/20,0),"Lần " &amp; ROUNDUP(W61/20,0),"")</f>
        <v/>
      </c>
      <c r="AI61" s="11">
        <f>IF(ROUNDUP(X61/20,0)&gt;ROUNDUP(X59/20,0),"Lần " &amp; ROUNDUP(X61/20,0),"")</f>
        <v/>
      </c>
      <c r="AJ61" s="11">
        <f>IF(ROUNDUP(Y61/20,0)&gt;ROUNDUP(Y59/20,0),"Lần " &amp; ROUNDUP(Y61/20,0),"")</f>
        <v/>
      </c>
      <c r="AK61" s="11">
        <f>IF(ROUNDUP(Z61/20,0)&gt;ROUNDUP(Z59/20,0),"Lần " &amp; ROUNDUP(Z61/20,0),"")</f>
        <v/>
      </c>
      <c r="AL61" s="6" t="n"/>
      <c r="AN61" t="inlineStr">
        <is>
          <t>Than</t>
        </is>
      </c>
      <c r="AO61" t="n">
        <v>57</v>
      </c>
    </row>
    <row r="62" ht="19" customHeight="1">
      <c r="A62" s="6" t="n">
        <v>58</v>
      </c>
      <c r="B62" s="7" t="inlineStr">
        <is>
          <t>Mố M2</t>
        </is>
      </c>
      <c r="C62" s="7" t="inlineStr">
        <is>
          <t>Mố M2 (tr.40)</t>
        </is>
      </c>
      <c r="D62" s="18" t="inlineStr">
        <is>
          <t>G2</t>
        </is>
      </c>
      <c r="E62" s="19" t="n">
        <v>18</v>
      </c>
      <c r="F62" s="6" t="inlineStr">
        <is>
          <t>CB400-V</t>
        </is>
      </c>
      <c r="G62" s="7" t="inlineStr">
        <is>
          <t>S57</t>
        </is>
      </c>
      <c r="H62" s="20" t="n">
        <v>3.265</v>
      </c>
      <c r="I62" s="21" t="n">
        <v>4</v>
      </c>
      <c r="J62" s="22" t="n">
        <v>1.998</v>
      </c>
      <c r="K62" s="9">
        <f>ROUND(H62*I62*J62, 2)</f>
        <v/>
      </c>
      <c r="L62" s="23">
        <f>ROUND(K62/1000, 3)</f>
        <v/>
      </c>
      <c r="M62" s="8">
        <f>IF(AO62="","",IF(INDEX(Theo_Doi_Tan_Suat_Be_Tong!$C:$C,AO62)="","",INDEX(Theo_Doi_Tan_Suat_Be_Tong!$C:$C,AO62)-VLOOKUP(AN62,$AQ$2:$AR$7,2,FALSE)))</f>
        <v/>
      </c>
      <c r="N62" s="6" t="n"/>
      <c r="O62" s="24">
        <f>IF(ROUNDUP(T62/20,0)&gt;ROUNDUP(T61/20,0),"TN Ø18 (Lần " &amp; ROUNDUP(T62/20,0) &amp; ")","")</f>
        <v/>
      </c>
      <c r="P62" s="20">
        <f>ROUND(P61+IF(AND(E62&lt;=10,F62&lt;&gt;"ASTM A416"),L62,0),3)</f>
        <v/>
      </c>
      <c r="Q62" s="20">
        <f>ROUND(Q61+IF(AND(E62=12,F62&lt;&gt;"ASTM A416"),L62,0),3)</f>
        <v/>
      </c>
      <c r="R62" s="20">
        <f>ROUND(R61+IF(AND(E62=14,F62&lt;&gt;"ASTM A416"),L62,0),3)</f>
        <v/>
      </c>
      <c r="S62" s="20">
        <f>ROUND(S61+IF(AND(E62=16,F62&lt;&gt;"ASTM A416"),L62,0),3)</f>
        <v/>
      </c>
      <c r="T62" s="20">
        <f>ROUND(T61+IF(AND(E62=18,F62&lt;&gt;"ASTM A416"),L62,0),3)</f>
        <v/>
      </c>
      <c r="U62" s="20">
        <f>ROUND(U61+IF(AND(E62=20,F62&lt;&gt;"ASTM A416"),L62,0),3)</f>
        <v/>
      </c>
      <c r="V62" s="20">
        <f>ROUND(V61+IF(AND(E62=22,F62&lt;&gt;"ASTM A416"),L62,0),3)</f>
        <v/>
      </c>
      <c r="W62" s="20">
        <f>ROUND(W61+IF(AND(E62=25,F62&lt;&gt;"ASTM A416"),L62,0),3)</f>
        <v/>
      </c>
      <c r="X62" s="20">
        <f>ROUND(X61+IF(AND(E62=28,F62&lt;&gt;"ASTM A416"),L62,0),3)</f>
        <v/>
      </c>
      <c r="Y62" s="20">
        <f>ROUND(Y61+IF(AND(E62=32,F62&lt;&gt;"ASTM A416"),L62,0),3)</f>
        <v/>
      </c>
      <c r="Z62" s="20">
        <f>ROUND(Z61+IF(F62="ASTM A416",L62,0),3)</f>
        <v/>
      </c>
      <c r="AA62" s="11">
        <f>IF(ROUNDUP(P62/20,0)&gt;ROUNDUP(P61/20,0),"Lần " &amp; ROUNDUP(P62/20,0),"")</f>
        <v/>
      </c>
      <c r="AB62" s="11">
        <f>IF(ROUNDUP(Q62/20,0)&gt;ROUNDUP(Q61/20,0),"Lần " &amp; ROUNDUP(Q62/20,0),"")</f>
        <v/>
      </c>
      <c r="AC62" s="11">
        <f>IF(ROUNDUP(R62/20,0)&gt;ROUNDUP(R61/20,0),"Lần " &amp; ROUNDUP(R62/20,0),"")</f>
        <v/>
      </c>
      <c r="AD62" s="11">
        <f>IF(ROUNDUP(S62/20,0)&gt;ROUNDUP(S61/20,0),"Lần " &amp; ROUNDUP(S62/20,0),"")</f>
        <v/>
      </c>
      <c r="AE62" s="11">
        <f>IF(ROUNDUP(T62/20,0)&gt;ROUNDUP(T61/20,0),"Lần " &amp; ROUNDUP(T62/20,0),"")</f>
        <v/>
      </c>
      <c r="AF62" s="11">
        <f>IF(ROUNDUP(U62/20,0)&gt;ROUNDUP(U61/20,0),"Lần " &amp; ROUNDUP(U62/20,0),"")</f>
        <v/>
      </c>
      <c r="AG62" s="11">
        <f>IF(ROUNDUP(V62/20,0)&gt;ROUNDUP(V61/20,0),"Lần " &amp; ROUNDUP(V62/20,0),"")</f>
        <v/>
      </c>
      <c r="AH62" s="11">
        <f>IF(ROUNDUP(W62/20,0)&gt;ROUNDUP(W61/20,0),"Lần " &amp; ROUNDUP(W62/20,0),"")</f>
        <v/>
      </c>
      <c r="AI62" s="11">
        <f>IF(ROUNDUP(X62/20,0)&gt;ROUNDUP(X61/20,0),"Lần " &amp; ROUNDUP(X62/20,0),"")</f>
        <v/>
      </c>
      <c r="AJ62" s="11">
        <f>IF(ROUNDUP(Y62/20,0)&gt;ROUNDUP(Y61/20,0),"Lần " &amp; ROUNDUP(Y62/20,0),"")</f>
        <v/>
      </c>
      <c r="AK62" s="11">
        <f>IF(ROUNDUP(Z62/20,0)&gt;ROUNDUP(Z61/20,0),"Lần " &amp; ROUNDUP(Z62/20,0),"")</f>
        <v/>
      </c>
      <c r="AL62" s="6" t="n"/>
      <c r="AN62" t="inlineStr">
        <is>
          <t>Than</t>
        </is>
      </c>
      <c r="AO62" t="n">
        <v>57</v>
      </c>
    </row>
    <row r="63" ht="19" customHeight="1">
      <c r="A63" s="6" t="n">
        <v>59</v>
      </c>
      <c r="B63" s="7" t="inlineStr">
        <is>
          <t>Mố M2</t>
        </is>
      </c>
      <c r="C63" s="7" t="inlineStr">
        <is>
          <t>Mố M2 (tr.40)</t>
        </is>
      </c>
      <c r="D63" s="18" t="inlineStr">
        <is>
          <t>G3</t>
        </is>
      </c>
      <c r="E63" s="19" t="n">
        <v>14</v>
      </c>
      <c r="F63" s="6" t="inlineStr">
        <is>
          <t>CB400-V</t>
        </is>
      </c>
      <c r="G63" s="7" t="inlineStr">
        <is>
          <t>S29</t>
        </is>
      </c>
      <c r="H63" s="20" t="n">
        <v>2.344</v>
      </c>
      <c r="I63" s="21" t="n">
        <v>4</v>
      </c>
      <c r="J63" s="22" t="n">
        <v>1.208</v>
      </c>
      <c r="K63" s="9">
        <f>ROUND(H63*I63*J63, 2)</f>
        <v/>
      </c>
      <c r="L63" s="23">
        <f>ROUND(K63/1000, 3)</f>
        <v/>
      </c>
      <c r="M63" s="8">
        <f>IF(AO63="","",IF(INDEX(Theo_Doi_Tan_Suat_Be_Tong!$C:$C,AO63)="","",INDEX(Theo_Doi_Tan_Suat_Be_Tong!$C:$C,AO63)-VLOOKUP(AN63,$AQ$2:$AR$7,2,FALSE)))</f>
        <v/>
      </c>
      <c r="N63" s="6" t="n"/>
      <c r="O63" s="24">
        <f>IF(ROUNDUP(R63/20,0)&gt;ROUNDUP(R62/20,0),"TN Ø14 (Lần " &amp; ROUNDUP(R63/20,0) &amp; ")","")</f>
        <v/>
      </c>
      <c r="P63" s="20">
        <f>ROUND(P62+IF(AND(E63&lt;=10,F63&lt;&gt;"ASTM A416"),L63,0),3)</f>
        <v/>
      </c>
      <c r="Q63" s="20">
        <f>ROUND(Q62+IF(AND(E63=12,F63&lt;&gt;"ASTM A416"),L63,0),3)</f>
        <v/>
      </c>
      <c r="R63" s="20">
        <f>ROUND(R62+IF(AND(E63=14,F63&lt;&gt;"ASTM A416"),L63,0),3)</f>
        <v/>
      </c>
      <c r="S63" s="20">
        <f>ROUND(S62+IF(AND(E63=16,F63&lt;&gt;"ASTM A416"),L63,0),3)</f>
        <v/>
      </c>
      <c r="T63" s="20">
        <f>ROUND(T62+IF(AND(E63=18,F63&lt;&gt;"ASTM A416"),L63,0),3)</f>
        <v/>
      </c>
      <c r="U63" s="20">
        <f>ROUND(U62+IF(AND(E63=20,F63&lt;&gt;"ASTM A416"),L63,0),3)</f>
        <v/>
      </c>
      <c r="V63" s="20">
        <f>ROUND(V62+IF(AND(E63=22,F63&lt;&gt;"ASTM A416"),L63,0),3)</f>
        <v/>
      </c>
      <c r="W63" s="20">
        <f>ROUND(W62+IF(AND(E63=25,F63&lt;&gt;"ASTM A416"),L63,0),3)</f>
        <v/>
      </c>
      <c r="X63" s="20">
        <f>ROUND(X62+IF(AND(E63=28,F63&lt;&gt;"ASTM A416"),L63,0),3)</f>
        <v/>
      </c>
      <c r="Y63" s="20">
        <f>ROUND(Y62+IF(AND(E63=32,F63&lt;&gt;"ASTM A416"),L63,0),3)</f>
        <v/>
      </c>
      <c r="Z63" s="20">
        <f>ROUND(Z62+IF(F63="ASTM A416",L63,0),3)</f>
        <v/>
      </c>
      <c r="AA63" s="11">
        <f>IF(ROUNDUP(P63/20,0)&gt;ROUNDUP(P62/20,0),"Lần " &amp; ROUNDUP(P63/20,0),"")</f>
        <v/>
      </c>
      <c r="AB63" s="11">
        <f>IF(ROUNDUP(Q63/20,0)&gt;ROUNDUP(Q62/20,0),"Lần " &amp; ROUNDUP(Q63/20,0),"")</f>
        <v/>
      </c>
      <c r="AC63" s="11">
        <f>IF(ROUNDUP(R63/20,0)&gt;ROUNDUP(R62/20,0),"Lần " &amp; ROUNDUP(R63/20,0),"")</f>
        <v/>
      </c>
      <c r="AD63" s="11">
        <f>IF(ROUNDUP(S63/20,0)&gt;ROUNDUP(S62/20,0),"Lần " &amp; ROUNDUP(S63/20,0),"")</f>
        <v/>
      </c>
      <c r="AE63" s="11">
        <f>IF(ROUNDUP(T63/20,0)&gt;ROUNDUP(T62/20,0),"Lần " &amp; ROUNDUP(T63/20,0),"")</f>
        <v/>
      </c>
      <c r="AF63" s="11">
        <f>IF(ROUNDUP(U63/20,0)&gt;ROUNDUP(U62/20,0),"Lần " &amp; ROUNDUP(U63/20,0),"")</f>
        <v/>
      </c>
      <c r="AG63" s="11">
        <f>IF(ROUNDUP(V63/20,0)&gt;ROUNDUP(V62/20,0),"Lần " &amp; ROUNDUP(V63/20,0),"")</f>
        <v/>
      </c>
      <c r="AH63" s="11">
        <f>IF(ROUNDUP(W63/20,0)&gt;ROUNDUP(W62/20,0),"Lần " &amp; ROUNDUP(W63/20,0),"")</f>
        <v/>
      </c>
      <c r="AI63" s="11">
        <f>IF(ROUNDUP(X63/20,0)&gt;ROUNDUP(X62/20,0),"Lần " &amp; ROUNDUP(X63/20,0),"")</f>
        <v/>
      </c>
      <c r="AJ63" s="11">
        <f>IF(ROUNDUP(Y63/20,0)&gt;ROUNDUP(Y62/20,0),"Lần " &amp; ROUNDUP(Y63/20,0),"")</f>
        <v/>
      </c>
      <c r="AK63" s="11">
        <f>IF(ROUNDUP(Z63/20,0)&gt;ROUNDUP(Z62/20,0),"Lần " &amp; ROUNDUP(Z63/20,0),"")</f>
        <v/>
      </c>
      <c r="AL63" s="6" t="n"/>
      <c r="AN63" t="inlineStr">
        <is>
          <t>Than</t>
        </is>
      </c>
      <c r="AO63" t="n">
        <v>57</v>
      </c>
    </row>
    <row r="64" ht="19" customHeight="1">
      <c r="A64" s="6" t="n">
        <v>60</v>
      </c>
      <c r="B64" s="7" t="inlineStr">
        <is>
          <t>Mố M2</t>
        </is>
      </c>
      <c r="C64" s="7" t="inlineStr">
        <is>
          <t>Mố M2 (tr.40)</t>
        </is>
      </c>
      <c r="D64" s="18" t="inlineStr">
        <is>
          <t>G4A</t>
        </is>
      </c>
      <c r="E64" s="19" t="n">
        <v>12</v>
      </c>
      <c r="F64" s="6" t="inlineStr">
        <is>
          <t>CB400-V</t>
        </is>
      </c>
      <c r="G64" s="7" t="inlineStr">
        <is>
          <t>S06</t>
        </is>
      </c>
      <c r="H64" s="20" t="n">
        <v>0.342</v>
      </c>
      <c r="I64" s="21" t="n">
        <v>2</v>
      </c>
      <c r="J64" s="22" t="n">
        <v>0.888</v>
      </c>
      <c r="K64" s="9">
        <f>ROUND(H64*I64*J64, 2)</f>
        <v/>
      </c>
      <c r="L64" s="23">
        <f>ROUND(K64/1000, 3)</f>
        <v/>
      </c>
      <c r="M64" s="8">
        <f>IF(AO64="","",IF(INDEX(Theo_Doi_Tan_Suat_Be_Tong!$C:$C,AO64)="","",INDEX(Theo_Doi_Tan_Suat_Be_Tong!$C:$C,AO64)-VLOOKUP(AN64,$AQ$2:$AR$7,2,FALSE)))</f>
        <v/>
      </c>
      <c r="N64" s="6" t="n"/>
      <c r="O64" s="24">
        <f>IF(ROUNDUP(Q64/20,0)&gt;ROUNDUP(Q63/20,0),"TN Ø12 (Lần " &amp; ROUNDUP(Q64/20,0) &amp; ")","")</f>
        <v/>
      </c>
      <c r="P64" s="20">
        <f>ROUND(P63+IF(AND(E64&lt;=10,F64&lt;&gt;"ASTM A416"),L64,0),3)</f>
        <v/>
      </c>
      <c r="Q64" s="20">
        <f>ROUND(Q63+IF(AND(E64=12,F64&lt;&gt;"ASTM A416"),L64,0),3)</f>
        <v/>
      </c>
      <c r="R64" s="20">
        <f>ROUND(R63+IF(AND(E64=14,F64&lt;&gt;"ASTM A416"),L64,0),3)</f>
        <v/>
      </c>
      <c r="S64" s="20">
        <f>ROUND(S63+IF(AND(E64=16,F64&lt;&gt;"ASTM A416"),L64,0),3)</f>
        <v/>
      </c>
      <c r="T64" s="20">
        <f>ROUND(T63+IF(AND(E64=18,F64&lt;&gt;"ASTM A416"),L64,0),3)</f>
        <v/>
      </c>
      <c r="U64" s="20">
        <f>ROUND(U63+IF(AND(E64=20,F64&lt;&gt;"ASTM A416"),L64,0),3)</f>
        <v/>
      </c>
      <c r="V64" s="20">
        <f>ROUND(V63+IF(AND(E64=22,F64&lt;&gt;"ASTM A416"),L64,0),3)</f>
        <v/>
      </c>
      <c r="W64" s="20">
        <f>ROUND(W63+IF(AND(E64=25,F64&lt;&gt;"ASTM A416"),L64,0),3)</f>
        <v/>
      </c>
      <c r="X64" s="20">
        <f>ROUND(X63+IF(AND(E64=28,F64&lt;&gt;"ASTM A416"),L64,0),3)</f>
        <v/>
      </c>
      <c r="Y64" s="20">
        <f>ROUND(Y63+IF(AND(E64=32,F64&lt;&gt;"ASTM A416"),L64,0),3)</f>
        <v/>
      </c>
      <c r="Z64" s="20">
        <f>ROUND(Z63+IF(F64="ASTM A416",L64,0),3)</f>
        <v/>
      </c>
      <c r="AA64" s="11">
        <f>IF(ROUNDUP(P64/20,0)&gt;ROUNDUP(P63/20,0),"Lần " &amp; ROUNDUP(P64/20,0),"")</f>
        <v/>
      </c>
      <c r="AB64" s="11">
        <f>IF(ROUNDUP(Q64/20,0)&gt;ROUNDUP(Q63/20,0),"Lần " &amp; ROUNDUP(Q64/20,0),"")</f>
        <v/>
      </c>
      <c r="AC64" s="11">
        <f>IF(ROUNDUP(R64/20,0)&gt;ROUNDUP(R63/20,0),"Lần " &amp; ROUNDUP(R64/20,0),"")</f>
        <v/>
      </c>
      <c r="AD64" s="11">
        <f>IF(ROUNDUP(S64/20,0)&gt;ROUNDUP(S63/20,0),"Lần " &amp; ROUNDUP(S64/20,0),"")</f>
        <v/>
      </c>
      <c r="AE64" s="11">
        <f>IF(ROUNDUP(T64/20,0)&gt;ROUNDUP(T63/20,0),"Lần " &amp; ROUNDUP(T64/20,0),"")</f>
        <v/>
      </c>
      <c r="AF64" s="11">
        <f>IF(ROUNDUP(U64/20,0)&gt;ROUNDUP(U63/20,0),"Lần " &amp; ROUNDUP(U64/20,0),"")</f>
        <v/>
      </c>
      <c r="AG64" s="11">
        <f>IF(ROUNDUP(V64/20,0)&gt;ROUNDUP(V63/20,0),"Lần " &amp; ROUNDUP(V64/20,0),"")</f>
        <v/>
      </c>
      <c r="AH64" s="11">
        <f>IF(ROUNDUP(W64/20,0)&gt;ROUNDUP(W63/20,0),"Lần " &amp; ROUNDUP(W64/20,0),"")</f>
        <v/>
      </c>
      <c r="AI64" s="11">
        <f>IF(ROUNDUP(X64/20,0)&gt;ROUNDUP(X63/20,0),"Lần " &amp; ROUNDUP(X64/20,0),"")</f>
        <v/>
      </c>
      <c r="AJ64" s="11">
        <f>IF(ROUNDUP(Y64/20,0)&gt;ROUNDUP(Y63/20,0),"Lần " &amp; ROUNDUP(Y64/20,0),"")</f>
        <v/>
      </c>
      <c r="AK64" s="11">
        <f>IF(ROUNDUP(Z64/20,0)&gt;ROUNDUP(Z63/20,0),"Lần " &amp; ROUNDUP(Z64/20,0),"")</f>
        <v/>
      </c>
      <c r="AL64" s="6" t="n"/>
      <c r="AN64" t="inlineStr">
        <is>
          <t>Than</t>
        </is>
      </c>
      <c r="AO64" t="n">
        <v>57</v>
      </c>
    </row>
    <row r="65" ht="20" customHeight="1">
      <c r="A65" s="6" t="n">
        <v>61</v>
      </c>
      <c r="B65" s="7" t="inlineStr">
        <is>
          <t>Mố M2</t>
        </is>
      </c>
      <c r="C65" s="7" t="inlineStr">
        <is>
          <t>Mố M2 (tr.40)</t>
        </is>
      </c>
      <c r="D65" s="18" t="inlineStr">
        <is>
          <t>G4B</t>
        </is>
      </c>
      <c r="E65" s="19" t="n">
        <v>12</v>
      </c>
      <c r="F65" s="6" t="inlineStr">
        <is>
          <t>CB400-V</t>
        </is>
      </c>
      <c r="G65" s="7" t="inlineStr">
        <is>
          <t>S06</t>
        </is>
      </c>
      <c r="H65" s="20" t="n">
        <v>0.388</v>
      </c>
      <c r="I65" s="21" t="n">
        <v>2</v>
      </c>
      <c r="J65" s="22" t="n">
        <v>0.888</v>
      </c>
      <c r="K65" s="9">
        <f>ROUND(H65*I65*J65, 2)</f>
        <v/>
      </c>
      <c r="L65" s="23">
        <f>ROUND(K65/1000, 3)</f>
        <v/>
      </c>
      <c r="M65" s="8">
        <f>IF(AO65="","",IF(INDEX(Theo_Doi_Tan_Suat_Be_Tong!$C:$C,AO65)="","",INDEX(Theo_Doi_Tan_Suat_Be_Tong!$C:$C,AO65)-VLOOKUP(AN65,$AQ$2:$AR$7,2,FALSE)))</f>
        <v/>
      </c>
      <c r="N65" s="6" t="n"/>
      <c r="O65" s="24">
        <f>IF(ROUNDUP(Q65/20,0)&gt;ROUNDUP(Q64/20,0),"TN Ø12 (Lần " &amp; ROUNDUP(Q65/20,0) &amp; ")","")</f>
        <v/>
      </c>
      <c r="P65" s="20">
        <f>ROUND(P64+IF(AND(E65&lt;=10,F65&lt;&gt;"ASTM A416"),L65,0),3)</f>
        <v/>
      </c>
      <c r="Q65" s="20">
        <f>ROUND(Q64+IF(AND(E65=12,F65&lt;&gt;"ASTM A416"),L65,0),3)</f>
        <v/>
      </c>
      <c r="R65" s="20">
        <f>ROUND(R64+IF(AND(E65=14,F65&lt;&gt;"ASTM A416"),L65,0),3)</f>
        <v/>
      </c>
      <c r="S65" s="20">
        <f>ROUND(S64+IF(AND(E65=16,F65&lt;&gt;"ASTM A416"),L65,0),3)</f>
        <v/>
      </c>
      <c r="T65" s="20">
        <f>ROUND(T64+IF(AND(E65=18,F65&lt;&gt;"ASTM A416"),L65,0),3)</f>
        <v/>
      </c>
      <c r="U65" s="20">
        <f>ROUND(U64+IF(AND(E65=20,F65&lt;&gt;"ASTM A416"),L65,0),3)</f>
        <v/>
      </c>
      <c r="V65" s="20">
        <f>ROUND(V64+IF(AND(E65=22,F65&lt;&gt;"ASTM A416"),L65,0),3)</f>
        <v/>
      </c>
      <c r="W65" s="20">
        <f>ROUND(W64+IF(AND(E65=25,F65&lt;&gt;"ASTM A416"),L65,0),3)</f>
        <v/>
      </c>
      <c r="X65" s="20">
        <f>ROUND(X64+IF(AND(E65=28,F65&lt;&gt;"ASTM A416"),L65,0),3)</f>
        <v/>
      </c>
      <c r="Y65" s="20">
        <f>ROUND(Y64+IF(AND(E65=32,F65&lt;&gt;"ASTM A416"),L65,0),3)</f>
        <v/>
      </c>
      <c r="Z65" s="20">
        <f>ROUND(Z64+IF(F65="ASTM A416",L65,0),3)</f>
        <v/>
      </c>
      <c r="AA65" s="11">
        <f>IF(ROUNDUP(P65/20,0)&gt;ROUNDUP(P64/20,0),"Lần " &amp; ROUNDUP(P65/20,0),"")</f>
        <v/>
      </c>
      <c r="AB65" s="11">
        <f>IF(ROUNDUP(Q65/20,0)&gt;ROUNDUP(Q64/20,0),"Lần " &amp; ROUNDUP(Q65/20,0),"")</f>
        <v/>
      </c>
      <c r="AC65" s="11">
        <f>IF(ROUNDUP(R65/20,0)&gt;ROUNDUP(R64/20,0),"Lần " &amp; ROUNDUP(R65/20,0),"")</f>
        <v/>
      </c>
      <c r="AD65" s="11">
        <f>IF(ROUNDUP(S65/20,0)&gt;ROUNDUP(S64/20,0),"Lần " &amp; ROUNDUP(S65/20,0),"")</f>
        <v/>
      </c>
      <c r="AE65" s="11">
        <f>IF(ROUNDUP(T65/20,0)&gt;ROUNDUP(T64/20,0),"Lần " &amp; ROUNDUP(T65/20,0),"")</f>
        <v/>
      </c>
      <c r="AF65" s="11">
        <f>IF(ROUNDUP(U65/20,0)&gt;ROUNDUP(U64/20,0),"Lần " &amp; ROUNDUP(U65/20,0),"")</f>
        <v/>
      </c>
      <c r="AG65" s="11">
        <f>IF(ROUNDUP(V65/20,0)&gt;ROUNDUP(V64/20,0),"Lần " &amp; ROUNDUP(V65/20,0),"")</f>
        <v/>
      </c>
      <c r="AH65" s="11">
        <f>IF(ROUNDUP(W65/20,0)&gt;ROUNDUP(W64/20,0),"Lần " &amp; ROUNDUP(W65/20,0),"")</f>
        <v/>
      </c>
      <c r="AI65" s="11">
        <f>IF(ROUNDUP(X65/20,0)&gt;ROUNDUP(X64/20,0),"Lần " &amp; ROUNDUP(X65/20,0),"")</f>
        <v/>
      </c>
      <c r="AJ65" s="11">
        <f>IF(ROUNDUP(Y65/20,0)&gt;ROUNDUP(Y64/20,0),"Lần " &amp; ROUNDUP(Y65/20,0),"")</f>
        <v/>
      </c>
      <c r="AK65" s="11">
        <f>IF(ROUNDUP(Z65/20,0)&gt;ROUNDUP(Z64/20,0),"Lần " &amp; ROUNDUP(Z65/20,0),"")</f>
        <v/>
      </c>
      <c r="AL65" s="6" t="n"/>
      <c r="AN65" t="inlineStr">
        <is>
          <t>Than</t>
        </is>
      </c>
      <c r="AO65" t="n">
        <v>57</v>
      </c>
    </row>
    <row r="66" ht="19" customHeight="1">
      <c r="A66" s="6" t="n">
        <v>62</v>
      </c>
      <c r="B66" s="7" t="inlineStr">
        <is>
          <t>Mố M2</t>
        </is>
      </c>
      <c r="C66" s="7" t="inlineStr">
        <is>
          <t>Mố M2 (tr.40)</t>
        </is>
      </c>
      <c r="D66" s="18" t="inlineStr">
        <is>
          <t>G4C</t>
        </is>
      </c>
      <c r="E66" s="19" t="n">
        <v>12</v>
      </c>
      <c r="F66" s="6" t="inlineStr">
        <is>
          <t>CB400-V</t>
        </is>
      </c>
      <c r="G66" s="7" t="inlineStr">
        <is>
          <t>S06</t>
        </is>
      </c>
      <c r="H66" s="20" t="n">
        <v>0.634</v>
      </c>
      <c r="I66" s="21" t="n">
        <v>2</v>
      </c>
      <c r="J66" s="22" t="n">
        <v>0.888</v>
      </c>
      <c r="K66" s="9">
        <f>ROUND(H66*I66*J66, 2)</f>
        <v/>
      </c>
      <c r="L66" s="23">
        <f>ROUND(K66/1000, 3)</f>
        <v/>
      </c>
      <c r="M66" s="8">
        <f>IF(AO66="","",IF(INDEX(Theo_Doi_Tan_Suat_Be_Tong!$C:$C,AO66)="","",INDEX(Theo_Doi_Tan_Suat_Be_Tong!$C:$C,AO66)-VLOOKUP(AN66,$AQ$2:$AR$7,2,FALSE)))</f>
        <v/>
      </c>
      <c r="N66" s="6" t="n"/>
      <c r="O66" s="24">
        <f>IF(ROUNDUP(Q66/20,0)&gt;ROUNDUP(Q65/20,0),"TN Ø12 (Lần " &amp; ROUNDUP(Q66/20,0) &amp; ")","")</f>
        <v/>
      </c>
      <c r="P66" s="20">
        <f>ROUND(P65+IF(AND(E66&lt;=10,F66&lt;&gt;"ASTM A416"),L66,0),3)</f>
        <v/>
      </c>
      <c r="Q66" s="20">
        <f>ROUND(Q65+IF(AND(E66=12,F66&lt;&gt;"ASTM A416"),L66,0),3)</f>
        <v/>
      </c>
      <c r="R66" s="20">
        <f>ROUND(R65+IF(AND(E66=14,F66&lt;&gt;"ASTM A416"),L66,0),3)</f>
        <v/>
      </c>
      <c r="S66" s="20">
        <f>ROUND(S65+IF(AND(E66=16,F66&lt;&gt;"ASTM A416"),L66,0),3)</f>
        <v/>
      </c>
      <c r="T66" s="20">
        <f>ROUND(T65+IF(AND(E66=18,F66&lt;&gt;"ASTM A416"),L66,0),3)</f>
        <v/>
      </c>
      <c r="U66" s="20">
        <f>ROUND(U65+IF(AND(E66=20,F66&lt;&gt;"ASTM A416"),L66,0),3)</f>
        <v/>
      </c>
      <c r="V66" s="20">
        <f>ROUND(V65+IF(AND(E66=22,F66&lt;&gt;"ASTM A416"),L66,0),3)</f>
        <v/>
      </c>
      <c r="W66" s="20">
        <f>ROUND(W65+IF(AND(E66=25,F66&lt;&gt;"ASTM A416"),L66,0),3)</f>
        <v/>
      </c>
      <c r="X66" s="20">
        <f>ROUND(X65+IF(AND(E66=28,F66&lt;&gt;"ASTM A416"),L66,0),3)</f>
        <v/>
      </c>
      <c r="Y66" s="20">
        <f>ROUND(Y65+IF(AND(E66=32,F66&lt;&gt;"ASTM A416"),L66,0),3)</f>
        <v/>
      </c>
      <c r="Z66" s="20">
        <f>ROUND(Z65+IF(F66="ASTM A416",L66,0),3)</f>
        <v/>
      </c>
      <c r="AA66" s="11">
        <f>IF(ROUNDUP(P66/20,0)&gt;ROUNDUP(P65/20,0),"Lần " &amp; ROUNDUP(P66/20,0),"")</f>
        <v/>
      </c>
      <c r="AB66" s="11">
        <f>IF(ROUNDUP(Q66/20,0)&gt;ROUNDUP(Q65/20,0),"Lần " &amp; ROUNDUP(Q66/20,0),"")</f>
        <v/>
      </c>
      <c r="AC66" s="11">
        <f>IF(ROUNDUP(R66/20,0)&gt;ROUNDUP(R65/20,0),"Lần " &amp; ROUNDUP(R66/20,0),"")</f>
        <v/>
      </c>
      <c r="AD66" s="11">
        <f>IF(ROUNDUP(S66/20,0)&gt;ROUNDUP(S65/20,0),"Lần " &amp; ROUNDUP(S66/20,0),"")</f>
        <v/>
      </c>
      <c r="AE66" s="11">
        <f>IF(ROUNDUP(T66/20,0)&gt;ROUNDUP(T65/20,0),"Lần " &amp; ROUNDUP(T66/20,0),"")</f>
        <v/>
      </c>
      <c r="AF66" s="11">
        <f>IF(ROUNDUP(U66/20,0)&gt;ROUNDUP(U65/20,0),"Lần " &amp; ROUNDUP(U66/20,0),"")</f>
        <v/>
      </c>
      <c r="AG66" s="11">
        <f>IF(ROUNDUP(V66/20,0)&gt;ROUNDUP(V65/20,0),"Lần " &amp; ROUNDUP(V66/20,0),"")</f>
        <v/>
      </c>
      <c r="AH66" s="11">
        <f>IF(ROUNDUP(W66/20,0)&gt;ROUNDUP(W65/20,0),"Lần " &amp; ROUNDUP(W66/20,0),"")</f>
        <v/>
      </c>
      <c r="AI66" s="11">
        <f>IF(ROUNDUP(X66/20,0)&gt;ROUNDUP(X65/20,0),"Lần " &amp; ROUNDUP(X66/20,0),"")</f>
        <v/>
      </c>
      <c r="AJ66" s="11">
        <f>IF(ROUNDUP(Y66/20,0)&gt;ROUNDUP(Y65/20,0),"Lần " &amp; ROUNDUP(Y66/20,0),"")</f>
        <v/>
      </c>
      <c r="AK66" s="11">
        <f>IF(ROUNDUP(Z66/20,0)&gt;ROUNDUP(Z65/20,0),"Lần " &amp; ROUNDUP(Z66/20,0),"")</f>
        <v/>
      </c>
      <c r="AL66" s="6" t="n"/>
      <c r="AN66" t="inlineStr">
        <is>
          <t>Than</t>
        </is>
      </c>
      <c r="AO66" t="n">
        <v>57</v>
      </c>
    </row>
    <row r="67" ht="19" customHeight="1">
      <c r="A67" s="6" t="n">
        <v>63</v>
      </c>
      <c r="B67" s="7" t="inlineStr">
        <is>
          <t>Mố M2</t>
        </is>
      </c>
      <c r="C67" s="7" t="inlineStr">
        <is>
          <t>Mố M2 (tr.40)</t>
        </is>
      </c>
      <c r="D67" s="18" t="inlineStr">
        <is>
          <t>G5</t>
        </is>
      </c>
      <c r="E67" s="19" t="n">
        <v>14</v>
      </c>
      <c r="F67" s="6" t="inlineStr">
        <is>
          <t>CB400-V</t>
        </is>
      </c>
      <c r="G67" s="7" t="inlineStr">
        <is>
          <t>S01</t>
        </is>
      </c>
      <c r="H67" s="20" t="n">
        <v>0.4</v>
      </c>
      <c r="I67" s="21" t="n">
        <v>18</v>
      </c>
      <c r="J67" s="22" t="n">
        <v>1.208</v>
      </c>
      <c r="K67" s="9">
        <f>ROUND(H67*I67*J67, 2)</f>
        <v/>
      </c>
      <c r="L67" s="23">
        <f>ROUND(K67/1000, 3)</f>
        <v/>
      </c>
      <c r="M67" s="8">
        <f>IF(AO67="","",IF(INDEX(Theo_Doi_Tan_Suat_Be_Tong!$C:$C,AO67)="","",INDEX(Theo_Doi_Tan_Suat_Be_Tong!$C:$C,AO67)-VLOOKUP(AN67,$AQ$2:$AR$7,2,FALSE)))</f>
        <v/>
      </c>
      <c r="N67" s="6" t="n"/>
      <c r="O67" s="24">
        <f>IF(ROUNDUP(R67/20,0)&gt;ROUNDUP(R66/20,0),"TN Ø14 (Lần " &amp; ROUNDUP(R67/20,0) &amp; ")","")</f>
        <v/>
      </c>
      <c r="P67" s="20">
        <f>ROUND(P66+IF(AND(E67&lt;=10,F67&lt;&gt;"ASTM A416"),L67,0),3)</f>
        <v/>
      </c>
      <c r="Q67" s="20">
        <f>ROUND(Q66+IF(AND(E67=12,F67&lt;&gt;"ASTM A416"),L67,0),3)</f>
        <v/>
      </c>
      <c r="R67" s="20">
        <f>ROUND(R66+IF(AND(E67=14,F67&lt;&gt;"ASTM A416"),L67,0),3)</f>
        <v/>
      </c>
      <c r="S67" s="20">
        <f>ROUND(S66+IF(AND(E67=16,F67&lt;&gt;"ASTM A416"),L67,0),3)</f>
        <v/>
      </c>
      <c r="T67" s="20">
        <f>ROUND(T66+IF(AND(E67=18,F67&lt;&gt;"ASTM A416"),L67,0),3)</f>
        <v/>
      </c>
      <c r="U67" s="20">
        <f>ROUND(U66+IF(AND(E67=20,F67&lt;&gt;"ASTM A416"),L67,0),3)</f>
        <v/>
      </c>
      <c r="V67" s="20">
        <f>ROUND(V66+IF(AND(E67=22,F67&lt;&gt;"ASTM A416"),L67,0),3)</f>
        <v/>
      </c>
      <c r="W67" s="20">
        <f>ROUND(W66+IF(AND(E67=25,F67&lt;&gt;"ASTM A416"),L67,0),3)</f>
        <v/>
      </c>
      <c r="X67" s="20">
        <f>ROUND(X66+IF(AND(E67=28,F67&lt;&gt;"ASTM A416"),L67,0),3)</f>
        <v/>
      </c>
      <c r="Y67" s="20">
        <f>ROUND(Y66+IF(AND(E67=32,F67&lt;&gt;"ASTM A416"),L67,0),3)</f>
        <v/>
      </c>
      <c r="Z67" s="20">
        <f>ROUND(Z66+IF(F67="ASTM A416",L67,0),3)</f>
        <v/>
      </c>
      <c r="AA67" s="11">
        <f>IF(ROUNDUP(P67/20,0)&gt;ROUNDUP(P66/20,0),"Lần " &amp; ROUNDUP(P67/20,0),"")</f>
        <v/>
      </c>
      <c r="AB67" s="11">
        <f>IF(ROUNDUP(Q67/20,0)&gt;ROUNDUP(Q66/20,0),"Lần " &amp; ROUNDUP(Q67/20,0),"")</f>
        <v/>
      </c>
      <c r="AC67" s="11">
        <f>IF(ROUNDUP(R67/20,0)&gt;ROUNDUP(R66/20,0),"Lần " &amp; ROUNDUP(R67/20,0),"")</f>
        <v/>
      </c>
      <c r="AD67" s="11">
        <f>IF(ROUNDUP(S67/20,0)&gt;ROUNDUP(S66/20,0),"Lần " &amp; ROUNDUP(S67/20,0),"")</f>
        <v/>
      </c>
      <c r="AE67" s="11">
        <f>IF(ROUNDUP(T67/20,0)&gt;ROUNDUP(T66/20,0),"Lần " &amp; ROUNDUP(T67/20,0),"")</f>
        <v/>
      </c>
      <c r="AF67" s="11">
        <f>IF(ROUNDUP(U67/20,0)&gt;ROUNDUP(U66/20,0),"Lần " &amp; ROUNDUP(U67/20,0),"")</f>
        <v/>
      </c>
      <c r="AG67" s="11">
        <f>IF(ROUNDUP(V67/20,0)&gt;ROUNDUP(V66/20,0),"Lần " &amp; ROUNDUP(V67/20,0),"")</f>
        <v/>
      </c>
      <c r="AH67" s="11">
        <f>IF(ROUNDUP(W67/20,0)&gt;ROUNDUP(W66/20,0),"Lần " &amp; ROUNDUP(W67/20,0),"")</f>
        <v/>
      </c>
      <c r="AI67" s="11">
        <f>IF(ROUNDUP(X67/20,0)&gt;ROUNDUP(X66/20,0),"Lần " &amp; ROUNDUP(X67/20,0),"")</f>
        <v/>
      </c>
      <c r="AJ67" s="11">
        <f>IF(ROUNDUP(Y67/20,0)&gt;ROUNDUP(Y66/20,0),"Lần " &amp; ROUNDUP(Y67/20,0),"")</f>
        <v/>
      </c>
      <c r="AK67" s="11">
        <f>IF(ROUNDUP(Z67/20,0)&gt;ROUNDUP(Z66/20,0),"Lần " &amp; ROUNDUP(Z67/20,0),"")</f>
        <v/>
      </c>
      <c r="AL67" s="6" t="n"/>
      <c r="AN67" t="inlineStr">
        <is>
          <t>Than</t>
        </is>
      </c>
      <c r="AO67" t="n">
        <v>57</v>
      </c>
    </row>
    <row r="68" ht="19" customHeight="1">
      <c r="A68" s="6" t="n">
        <v>64</v>
      </c>
      <c r="B68" s="7" t="inlineStr">
        <is>
          <t>Mố M2</t>
        </is>
      </c>
      <c r="C68" s="7" t="inlineStr">
        <is>
          <t>Mố M2 (tr.40)</t>
        </is>
      </c>
      <c r="D68" s="18" t="inlineStr">
        <is>
          <t>G5A</t>
        </is>
      </c>
      <c r="E68" s="19" t="n">
        <v>14</v>
      </c>
      <c r="F68" s="6" t="inlineStr">
        <is>
          <t>CB400-V</t>
        </is>
      </c>
      <c r="G68" s="7" t="inlineStr">
        <is>
          <t>S01</t>
        </is>
      </c>
      <c r="H68" s="20" t="n">
        <v>5.38</v>
      </c>
      <c r="I68" s="21" t="n">
        <v>22</v>
      </c>
      <c r="J68" s="22" t="n">
        <v>1.208</v>
      </c>
      <c r="K68" s="9">
        <f>ROUND(H68*I68*J68, 2)</f>
        <v/>
      </c>
      <c r="L68" s="23">
        <f>ROUND(K68/1000, 3)</f>
        <v/>
      </c>
      <c r="M68" s="8">
        <f>IF(AO68="","",IF(INDEX(Theo_Doi_Tan_Suat_Be_Tong!$C:$C,AO68)="","",INDEX(Theo_Doi_Tan_Suat_Be_Tong!$C:$C,AO68)-VLOOKUP(AN68,$AQ$2:$AR$7,2,FALSE)))</f>
        <v/>
      </c>
      <c r="N68" s="6" t="n"/>
      <c r="O68" s="24">
        <f>IF(ROUNDUP(R68/20,0)&gt;ROUNDUP(R67/20,0),"TN Ø14 (Lần " &amp; ROUNDUP(R68/20,0) &amp; ")","")</f>
        <v/>
      </c>
      <c r="P68" s="20">
        <f>ROUND(P67+IF(AND(E68&lt;=10,F68&lt;&gt;"ASTM A416"),L68,0),3)</f>
        <v/>
      </c>
      <c r="Q68" s="20">
        <f>ROUND(Q67+IF(AND(E68=12,F68&lt;&gt;"ASTM A416"),L68,0),3)</f>
        <v/>
      </c>
      <c r="R68" s="20">
        <f>ROUND(R67+IF(AND(E68=14,F68&lt;&gt;"ASTM A416"),L68,0),3)</f>
        <v/>
      </c>
      <c r="S68" s="20">
        <f>ROUND(S67+IF(AND(E68=16,F68&lt;&gt;"ASTM A416"),L68,0),3)</f>
        <v/>
      </c>
      <c r="T68" s="20">
        <f>ROUND(T67+IF(AND(E68=18,F68&lt;&gt;"ASTM A416"),L68,0),3)</f>
        <v/>
      </c>
      <c r="U68" s="20">
        <f>ROUND(U67+IF(AND(E68=20,F68&lt;&gt;"ASTM A416"),L68,0),3)</f>
        <v/>
      </c>
      <c r="V68" s="20">
        <f>ROUND(V67+IF(AND(E68=22,F68&lt;&gt;"ASTM A416"),L68,0),3)</f>
        <v/>
      </c>
      <c r="W68" s="20">
        <f>ROUND(W67+IF(AND(E68=25,F68&lt;&gt;"ASTM A416"),L68,0),3)</f>
        <v/>
      </c>
      <c r="X68" s="20">
        <f>ROUND(X67+IF(AND(E68=28,F68&lt;&gt;"ASTM A416"),L68,0),3)</f>
        <v/>
      </c>
      <c r="Y68" s="20">
        <f>ROUND(Y67+IF(AND(E68=32,F68&lt;&gt;"ASTM A416"),L68,0),3)</f>
        <v/>
      </c>
      <c r="Z68" s="20">
        <f>ROUND(Z67+IF(F68="ASTM A416",L68,0),3)</f>
        <v/>
      </c>
      <c r="AA68" s="11">
        <f>IF(ROUNDUP(P68/20,0)&gt;ROUNDUP(P67/20,0),"Lần " &amp; ROUNDUP(P68/20,0),"")</f>
        <v/>
      </c>
      <c r="AB68" s="11">
        <f>IF(ROUNDUP(Q68/20,0)&gt;ROUNDUP(Q67/20,0),"Lần " &amp; ROUNDUP(Q68/20,0),"")</f>
        <v/>
      </c>
      <c r="AC68" s="11">
        <f>IF(ROUNDUP(R68/20,0)&gt;ROUNDUP(R67/20,0),"Lần " &amp; ROUNDUP(R68/20,0),"")</f>
        <v/>
      </c>
      <c r="AD68" s="11">
        <f>IF(ROUNDUP(S68/20,0)&gt;ROUNDUP(S67/20,0),"Lần " &amp; ROUNDUP(S68/20,0),"")</f>
        <v/>
      </c>
      <c r="AE68" s="11">
        <f>IF(ROUNDUP(T68/20,0)&gt;ROUNDUP(T67/20,0),"Lần " &amp; ROUNDUP(T68/20,0),"")</f>
        <v/>
      </c>
      <c r="AF68" s="11">
        <f>IF(ROUNDUP(U68/20,0)&gt;ROUNDUP(U67/20,0),"Lần " &amp; ROUNDUP(U68/20,0),"")</f>
        <v/>
      </c>
      <c r="AG68" s="11">
        <f>IF(ROUNDUP(V68/20,0)&gt;ROUNDUP(V67/20,0),"Lần " &amp; ROUNDUP(V68/20,0),"")</f>
        <v/>
      </c>
      <c r="AH68" s="11">
        <f>IF(ROUNDUP(W68/20,0)&gt;ROUNDUP(W67/20,0),"Lần " &amp; ROUNDUP(W68/20,0),"")</f>
        <v/>
      </c>
      <c r="AI68" s="11">
        <f>IF(ROUNDUP(X68/20,0)&gt;ROUNDUP(X67/20,0),"Lần " &amp; ROUNDUP(X68/20,0),"")</f>
        <v/>
      </c>
      <c r="AJ68" s="11">
        <f>IF(ROUNDUP(Y68/20,0)&gt;ROUNDUP(Y67/20,0),"Lần " &amp; ROUNDUP(Y68/20,0),"")</f>
        <v/>
      </c>
      <c r="AK68" s="11">
        <f>IF(ROUNDUP(Z68/20,0)&gt;ROUNDUP(Z67/20,0),"Lần " &amp; ROUNDUP(Z68/20,0),"")</f>
        <v/>
      </c>
      <c r="AL68" s="6" t="n"/>
      <c r="AN68" t="inlineStr">
        <is>
          <t>Than</t>
        </is>
      </c>
      <c r="AO68" t="n">
        <v>57</v>
      </c>
    </row>
    <row r="69" ht="19" customHeight="1">
      <c r="A69" s="6" t="n">
        <v>65</v>
      </c>
      <c r="B69" s="7" t="inlineStr">
        <is>
          <t>Mố M2</t>
        </is>
      </c>
      <c r="C69" s="7" t="inlineStr">
        <is>
          <t>Mố M2 (tr.40)</t>
        </is>
      </c>
      <c r="D69" s="18" t="inlineStr">
        <is>
          <t>G6</t>
        </is>
      </c>
      <c r="E69" s="19" t="n">
        <v>20</v>
      </c>
      <c r="F69" s="6" t="inlineStr">
        <is>
          <t>CB400-V</t>
        </is>
      </c>
      <c r="G69" s="7" t="inlineStr">
        <is>
          <t>S57</t>
        </is>
      </c>
      <c r="H69" s="20" t="n">
        <v>3.095</v>
      </c>
      <c r="I69" s="21" t="n">
        <v>39</v>
      </c>
      <c r="J69" s="22" t="n">
        <v>2.466</v>
      </c>
      <c r="K69" s="9">
        <f>ROUND(H69*I69*J69, 2)</f>
        <v/>
      </c>
      <c r="L69" s="23">
        <f>ROUND(K69/1000, 3)</f>
        <v/>
      </c>
      <c r="M69" s="8">
        <f>IF(AO69="","",IF(INDEX(Theo_Doi_Tan_Suat_Be_Tong!$C:$C,AO69)="","",INDEX(Theo_Doi_Tan_Suat_Be_Tong!$C:$C,AO69)-VLOOKUP(AN69,$AQ$2:$AR$7,2,FALSE)))</f>
        <v/>
      </c>
      <c r="N69" s="6" t="n"/>
      <c r="O69" s="24">
        <f>IF(ROUNDUP(U69/20,0)&gt;ROUNDUP(U68/20,0),"TN Ø20 (Lần " &amp; ROUNDUP(U69/20,0) &amp; ")","")</f>
        <v/>
      </c>
      <c r="P69" s="20">
        <f>ROUND(P68+IF(AND(E69&lt;=10,F69&lt;&gt;"ASTM A416"),L69,0),3)</f>
        <v/>
      </c>
      <c r="Q69" s="20">
        <f>ROUND(Q68+IF(AND(E69=12,F69&lt;&gt;"ASTM A416"),L69,0),3)</f>
        <v/>
      </c>
      <c r="R69" s="20">
        <f>ROUND(R68+IF(AND(E69=14,F69&lt;&gt;"ASTM A416"),L69,0),3)</f>
        <v/>
      </c>
      <c r="S69" s="20">
        <f>ROUND(S68+IF(AND(E69=16,F69&lt;&gt;"ASTM A416"),L69,0),3)</f>
        <v/>
      </c>
      <c r="T69" s="20">
        <f>ROUND(T68+IF(AND(E69=18,F69&lt;&gt;"ASTM A416"),L69,0),3)</f>
        <v/>
      </c>
      <c r="U69" s="20">
        <f>ROUND(U68+IF(AND(E69=20,F69&lt;&gt;"ASTM A416"),L69,0),3)</f>
        <v/>
      </c>
      <c r="V69" s="20">
        <f>ROUND(V68+IF(AND(E69=22,F69&lt;&gt;"ASTM A416"),L69,0),3)</f>
        <v/>
      </c>
      <c r="W69" s="20">
        <f>ROUND(W68+IF(AND(E69=25,F69&lt;&gt;"ASTM A416"),L69,0),3)</f>
        <v/>
      </c>
      <c r="X69" s="20">
        <f>ROUND(X68+IF(AND(E69=28,F69&lt;&gt;"ASTM A416"),L69,0),3)</f>
        <v/>
      </c>
      <c r="Y69" s="20">
        <f>ROUND(Y68+IF(AND(E69=32,F69&lt;&gt;"ASTM A416"),L69,0),3)</f>
        <v/>
      </c>
      <c r="Z69" s="20">
        <f>ROUND(Z68+IF(F69="ASTM A416",L69,0),3)</f>
        <v/>
      </c>
      <c r="AA69" s="11">
        <f>IF(ROUNDUP(P69/20,0)&gt;ROUNDUP(P68/20,0),"Lần " &amp; ROUNDUP(P69/20,0),"")</f>
        <v/>
      </c>
      <c r="AB69" s="11">
        <f>IF(ROUNDUP(Q69/20,0)&gt;ROUNDUP(Q68/20,0),"Lần " &amp; ROUNDUP(Q69/20,0),"")</f>
        <v/>
      </c>
      <c r="AC69" s="11">
        <f>IF(ROUNDUP(R69/20,0)&gt;ROUNDUP(R68/20,0),"Lần " &amp; ROUNDUP(R69/20,0),"")</f>
        <v/>
      </c>
      <c r="AD69" s="11">
        <f>IF(ROUNDUP(S69/20,0)&gt;ROUNDUP(S68/20,0),"Lần " &amp; ROUNDUP(S69/20,0),"")</f>
        <v/>
      </c>
      <c r="AE69" s="11">
        <f>IF(ROUNDUP(T69/20,0)&gt;ROUNDUP(T68/20,0),"Lần " &amp; ROUNDUP(T69/20,0),"")</f>
        <v/>
      </c>
      <c r="AF69" s="11">
        <f>IF(ROUNDUP(U69/20,0)&gt;ROUNDUP(U68/20,0),"Lần " &amp; ROUNDUP(U69/20,0),"")</f>
        <v/>
      </c>
      <c r="AG69" s="11">
        <f>IF(ROUNDUP(V69/20,0)&gt;ROUNDUP(V68/20,0),"Lần " &amp; ROUNDUP(V69/20,0),"")</f>
        <v/>
      </c>
      <c r="AH69" s="11">
        <f>IF(ROUNDUP(W69/20,0)&gt;ROUNDUP(W68/20,0),"Lần " &amp; ROUNDUP(W69/20,0),"")</f>
        <v/>
      </c>
      <c r="AI69" s="11">
        <f>IF(ROUNDUP(X69/20,0)&gt;ROUNDUP(X68/20,0),"Lần " &amp; ROUNDUP(X69/20,0),"")</f>
        <v/>
      </c>
      <c r="AJ69" s="11">
        <f>IF(ROUNDUP(Y69/20,0)&gt;ROUNDUP(Y68/20,0),"Lần " &amp; ROUNDUP(Y69/20,0),"")</f>
        <v/>
      </c>
      <c r="AK69" s="11">
        <f>IF(ROUNDUP(Z69/20,0)&gt;ROUNDUP(Z68/20,0),"Lần " &amp; ROUNDUP(Z69/20,0),"")</f>
        <v/>
      </c>
      <c r="AL69" s="6" t="n"/>
      <c r="AN69" t="inlineStr">
        <is>
          <t>Than</t>
        </is>
      </c>
      <c r="AO69" t="n">
        <v>57</v>
      </c>
    </row>
    <row r="70" ht="19" customHeight="1">
      <c r="A70" s="6" t="n">
        <v>66</v>
      </c>
      <c r="B70" s="7" t="inlineStr">
        <is>
          <t>Mố M2</t>
        </is>
      </c>
      <c r="C70" s="7" t="inlineStr">
        <is>
          <t>Mố M2 (tr.40)</t>
        </is>
      </c>
      <c r="D70" s="18" t="inlineStr">
        <is>
          <t>G7</t>
        </is>
      </c>
      <c r="E70" s="19" t="n">
        <v>14</v>
      </c>
      <c r="F70" s="6" t="inlineStr">
        <is>
          <t>CB400-V</t>
        </is>
      </c>
      <c r="G70" s="7" t="inlineStr">
        <is>
          <t>S29</t>
        </is>
      </c>
      <c r="H70" s="20" t="n">
        <v>1.536</v>
      </c>
      <c r="I70" s="21" t="n">
        <v>39</v>
      </c>
      <c r="J70" s="22" t="n">
        <v>1.208</v>
      </c>
      <c r="K70" s="9">
        <f>ROUND(H70*I70*J70, 2)</f>
        <v/>
      </c>
      <c r="L70" s="23">
        <f>ROUND(K70/1000, 3)</f>
        <v/>
      </c>
      <c r="M70" s="8">
        <f>IF(AO70="","",IF(INDEX(Theo_Doi_Tan_Suat_Be_Tong!$C:$C,AO70)="","",INDEX(Theo_Doi_Tan_Suat_Be_Tong!$C:$C,AO70)-VLOOKUP(AN70,$AQ$2:$AR$7,2,FALSE)))</f>
        <v/>
      </c>
      <c r="N70" s="6" t="n"/>
      <c r="O70" s="24">
        <f>IF(ROUNDUP(R70/20,0)&gt;ROUNDUP(R69/20,0),"TN Ø14 (Lần " &amp; ROUNDUP(R70/20,0) &amp; ")","")</f>
        <v/>
      </c>
      <c r="P70" s="20">
        <f>ROUND(P69+IF(AND(E70&lt;=10,F70&lt;&gt;"ASTM A416"),L70,0),3)</f>
        <v/>
      </c>
      <c r="Q70" s="20">
        <f>ROUND(Q69+IF(AND(E70=12,F70&lt;&gt;"ASTM A416"),L70,0),3)</f>
        <v/>
      </c>
      <c r="R70" s="20">
        <f>ROUND(R69+IF(AND(E70=14,F70&lt;&gt;"ASTM A416"),L70,0),3)</f>
        <v/>
      </c>
      <c r="S70" s="20">
        <f>ROUND(S69+IF(AND(E70=16,F70&lt;&gt;"ASTM A416"),L70,0),3)</f>
        <v/>
      </c>
      <c r="T70" s="20">
        <f>ROUND(T69+IF(AND(E70=18,F70&lt;&gt;"ASTM A416"),L70,0),3)</f>
        <v/>
      </c>
      <c r="U70" s="20">
        <f>ROUND(U69+IF(AND(E70=20,F70&lt;&gt;"ASTM A416"),L70,0),3)</f>
        <v/>
      </c>
      <c r="V70" s="20">
        <f>ROUND(V69+IF(AND(E70=22,F70&lt;&gt;"ASTM A416"),L70,0),3)</f>
        <v/>
      </c>
      <c r="W70" s="20">
        <f>ROUND(W69+IF(AND(E70=25,F70&lt;&gt;"ASTM A416"),L70,0),3)</f>
        <v/>
      </c>
      <c r="X70" s="20">
        <f>ROUND(X69+IF(AND(E70=28,F70&lt;&gt;"ASTM A416"),L70,0),3)</f>
        <v/>
      </c>
      <c r="Y70" s="20">
        <f>ROUND(Y69+IF(AND(E70=32,F70&lt;&gt;"ASTM A416"),L70,0),3)</f>
        <v/>
      </c>
      <c r="Z70" s="20">
        <f>ROUND(Z69+IF(F70="ASTM A416",L70,0),3)</f>
        <v/>
      </c>
      <c r="AA70" s="11">
        <f>IF(ROUNDUP(P70/20,0)&gt;ROUNDUP(P69/20,0),"Lần " &amp; ROUNDUP(P70/20,0),"")</f>
        <v/>
      </c>
      <c r="AB70" s="11">
        <f>IF(ROUNDUP(Q70/20,0)&gt;ROUNDUP(Q69/20,0),"Lần " &amp; ROUNDUP(Q70/20,0),"")</f>
        <v/>
      </c>
      <c r="AC70" s="11">
        <f>IF(ROUNDUP(R70/20,0)&gt;ROUNDUP(R69/20,0),"Lần " &amp; ROUNDUP(R70/20,0),"")</f>
        <v/>
      </c>
      <c r="AD70" s="11">
        <f>IF(ROUNDUP(S70/20,0)&gt;ROUNDUP(S69/20,0),"Lần " &amp; ROUNDUP(S70/20,0),"")</f>
        <v/>
      </c>
      <c r="AE70" s="11">
        <f>IF(ROUNDUP(T70/20,0)&gt;ROUNDUP(T69/20,0),"Lần " &amp; ROUNDUP(T70/20,0),"")</f>
        <v/>
      </c>
      <c r="AF70" s="11">
        <f>IF(ROUNDUP(U70/20,0)&gt;ROUNDUP(U69/20,0),"Lần " &amp; ROUNDUP(U70/20,0),"")</f>
        <v/>
      </c>
      <c r="AG70" s="11">
        <f>IF(ROUNDUP(V70/20,0)&gt;ROUNDUP(V69/20,0),"Lần " &amp; ROUNDUP(V70/20,0),"")</f>
        <v/>
      </c>
      <c r="AH70" s="11">
        <f>IF(ROUNDUP(W70/20,0)&gt;ROUNDUP(W69/20,0),"Lần " &amp; ROUNDUP(W70/20,0),"")</f>
        <v/>
      </c>
      <c r="AI70" s="11">
        <f>IF(ROUNDUP(X70/20,0)&gt;ROUNDUP(X69/20,0),"Lần " &amp; ROUNDUP(X70/20,0),"")</f>
        <v/>
      </c>
      <c r="AJ70" s="11">
        <f>IF(ROUNDUP(Y70/20,0)&gt;ROUNDUP(Y69/20,0),"Lần " &amp; ROUNDUP(Y70/20,0),"")</f>
        <v/>
      </c>
      <c r="AK70" s="11">
        <f>IF(ROUNDUP(Z70/20,0)&gt;ROUNDUP(Z69/20,0),"Lần " &amp; ROUNDUP(Z70/20,0),"")</f>
        <v/>
      </c>
      <c r="AL70" s="6" t="n"/>
      <c r="AN70" t="inlineStr">
        <is>
          <t>Than</t>
        </is>
      </c>
      <c r="AO70" t="n">
        <v>57</v>
      </c>
    </row>
    <row r="71" ht="19" customHeight="1">
      <c r="A71" s="6" t="n">
        <v>67</v>
      </c>
      <c r="B71" s="7" t="inlineStr">
        <is>
          <t>Mố M2</t>
        </is>
      </c>
      <c r="C71" s="7" t="inlineStr">
        <is>
          <t>Mố M2 (tr.40)</t>
        </is>
      </c>
      <c r="D71" s="18" t="inlineStr">
        <is>
          <t>G7A</t>
        </is>
      </c>
      <c r="E71" s="19" t="n">
        <v>20</v>
      </c>
      <c r="F71" s="6" t="inlineStr">
        <is>
          <t>CB400-V</t>
        </is>
      </c>
      <c r="G71" s="7" t="inlineStr">
        <is>
          <t>S05</t>
        </is>
      </c>
      <c r="H71" s="20" t="n">
        <v>1.182</v>
      </c>
      <c r="I71" s="21" t="n">
        <v>39</v>
      </c>
      <c r="J71" s="22" t="n">
        <v>2.466</v>
      </c>
      <c r="K71" s="9">
        <f>ROUND(H71*I71*J71, 2)</f>
        <v/>
      </c>
      <c r="L71" s="23">
        <f>ROUND(K71/1000, 3)</f>
        <v/>
      </c>
      <c r="M71" s="8">
        <f>IF(AO71="","",IF(INDEX(Theo_Doi_Tan_Suat_Be_Tong!$C:$C,AO71)="","",INDEX(Theo_Doi_Tan_Suat_Be_Tong!$C:$C,AO71)-VLOOKUP(AN71,$AQ$2:$AR$7,2,FALSE)))</f>
        <v/>
      </c>
      <c r="N71" s="6" t="n"/>
      <c r="O71" s="24">
        <f>IF(ROUNDUP(U71/20,0)&gt;ROUNDUP(U70/20,0),"TN Ø20 (Lần " &amp; ROUNDUP(U71/20,0) &amp; ")","")</f>
        <v/>
      </c>
      <c r="P71" s="20">
        <f>ROUND(P70+IF(AND(E71&lt;=10,F71&lt;&gt;"ASTM A416"),L71,0),3)</f>
        <v/>
      </c>
      <c r="Q71" s="20">
        <f>ROUND(Q70+IF(AND(E71=12,F71&lt;&gt;"ASTM A416"),L71,0),3)</f>
        <v/>
      </c>
      <c r="R71" s="20">
        <f>ROUND(R70+IF(AND(E71=14,F71&lt;&gt;"ASTM A416"),L71,0),3)</f>
        <v/>
      </c>
      <c r="S71" s="20">
        <f>ROUND(S70+IF(AND(E71=16,F71&lt;&gt;"ASTM A416"),L71,0),3)</f>
        <v/>
      </c>
      <c r="T71" s="20">
        <f>ROUND(T70+IF(AND(E71=18,F71&lt;&gt;"ASTM A416"),L71,0),3)</f>
        <v/>
      </c>
      <c r="U71" s="20">
        <f>ROUND(U70+IF(AND(E71=20,F71&lt;&gt;"ASTM A416"),L71,0),3)</f>
        <v/>
      </c>
      <c r="V71" s="20">
        <f>ROUND(V70+IF(AND(E71=22,F71&lt;&gt;"ASTM A416"),L71,0),3)</f>
        <v/>
      </c>
      <c r="W71" s="20">
        <f>ROUND(W70+IF(AND(E71=25,F71&lt;&gt;"ASTM A416"),L71,0),3)</f>
        <v/>
      </c>
      <c r="X71" s="20">
        <f>ROUND(X70+IF(AND(E71=28,F71&lt;&gt;"ASTM A416"),L71,0),3)</f>
        <v/>
      </c>
      <c r="Y71" s="20">
        <f>ROUND(Y70+IF(AND(E71=32,F71&lt;&gt;"ASTM A416"),L71,0),3)</f>
        <v/>
      </c>
      <c r="Z71" s="20">
        <f>ROUND(Z70+IF(F71="ASTM A416",L71,0),3)</f>
        <v/>
      </c>
      <c r="AA71" s="11">
        <f>IF(ROUNDUP(P71/20,0)&gt;ROUNDUP(P70/20,0),"Lần " &amp; ROUNDUP(P71/20,0),"")</f>
        <v/>
      </c>
      <c r="AB71" s="11">
        <f>IF(ROUNDUP(Q71/20,0)&gt;ROUNDUP(Q70/20,0),"Lần " &amp; ROUNDUP(Q71/20,0),"")</f>
        <v/>
      </c>
      <c r="AC71" s="11">
        <f>IF(ROUNDUP(R71/20,0)&gt;ROUNDUP(R70/20,0),"Lần " &amp; ROUNDUP(R71/20,0),"")</f>
        <v/>
      </c>
      <c r="AD71" s="11">
        <f>IF(ROUNDUP(S71/20,0)&gt;ROUNDUP(S70/20,0),"Lần " &amp; ROUNDUP(S71/20,0),"")</f>
        <v/>
      </c>
      <c r="AE71" s="11">
        <f>IF(ROUNDUP(T71/20,0)&gt;ROUNDUP(T70/20,0),"Lần " &amp; ROUNDUP(T71/20,0),"")</f>
        <v/>
      </c>
      <c r="AF71" s="11">
        <f>IF(ROUNDUP(U71/20,0)&gt;ROUNDUP(U70/20,0),"Lần " &amp; ROUNDUP(U71/20,0),"")</f>
        <v/>
      </c>
      <c r="AG71" s="11">
        <f>IF(ROUNDUP(V71/20,0)&gt;ROUNDUP(V70/20,0),"Lần " &amp; ROUNDUP(V71/20,0),"")</f>
        <v/>
      </c>
      <c r="AH71" s="11">
        <f>IF(ROUNDUP(W71/20,0)&gt;ROUNDUP(W70/20,0),"Lần " &amp; ROUNDUP(W71/20,0),"")</f>
        <v/>
      </c>
      <c r="AI71" s="11">
        <f>IF(ROUNDUP(X71/20,0)&gt;ROUNDUP(X70/20,0),"Lần " &amp; ROUNDUP(X71/20,0),"")</f>
        <v/>
      </c>
      <c r="AJ71" s="11">
        <f>IF(ROUNDUP(Y71/20,0)&gt;ROUNDUP(Y70/20,0),"Lần " &amp; ROUNDUP(Y71/20,0),"")</f>
        <v/>
      </c>
      <c r="AK71" s="11">
        <f>IF(ROUNDUP(Z71/20,0)&gt;ROUNDUP(Z70/20,0),"Lần " &amp; ROUNDUP(Z71/20,0),"")</f>
        <v/>
      </c>
      <c r="AL71" s="6" t="n"/>
      <c r="AN71" t="inlineStr">
        <is>
          <t>Than</t>
        </is>
      </c>
      <c r="AO71" t="n">
        <v>57</v>
      </c>
    </row>
    <row r="72" ht="19" customHeight="1">
      <c r="A72" s="6" t="n">
        <v>68</v>
      </c>
      <c r="B72" s="7" t="inlineStr">
        <is>
          <t>Mố M2</t>
        </is>
      </c>
      <c r="C72" s="7" t="inlineStr">
        <is>
          <t>Mố M2 (tr.40)</t>
        </is>
      </c>
      <c r="D72" s="18" t="inlineStr">
        <is>
          <t>G8A</t>
        </is>
      </c>
      <c r="E72" s="19" t="n">
        <v>12</v>
      </c>
      <c r="F72" s="6" t="inlineStr">
        <is>
          <t>CB400-V</t>
        </is>
      </c>
      <c r="G72" s="7" t="inlineStr">
        <is>
          <t>S06</t>
        </is>
      </c>
      <c r="H72" s="20" t="n">
        <v>0.26</v>
      </c>
      <c r="I72" s="21" t="n">
        <v>14</v>
      </c>
      <c r="J72" s="22" t="n">
        <v>0.888</v>
      </c>
      <c r="K72" s="9">
        <f>ROUND(H72*I72*J72, 2)</f>
        <v/>
      </c>
      <c r="L72" s="23">
        <f>ROUND(K72/1000, 3)</f>
        <v/>
      </c>
      <c r="M72" s="8">
        <f>IF(AO72="","",IF(INDEX(Theo_Doi_Tan_Suat_Be_Tong!$C:$C,AO72)="","",INDEX(Theo_Doi_Tan_Suat_Be_Tong!$C:$C,AO72)-VLOOKUP(AN72,$AQ$2:$AR$7,2,FALSE)))</f>
        <v/>
      </c>
      <c r="N72" s="6" t="n"/>
      <c r="O72" s="24">
        <f>IF(ROUNDUP(Q72/20,0)&gt;ROUNDUP(Q71/20,0),"TN Ø12 (Lần " &amp; ROUNDUP(Q72/20,0) &amp; ")","")</f>
        <v/>
      </c>
      <c r="P72" s="20">
        <f>ROUND(P71+IF(AND(E72&lt;=10,F72&lt;&gt;"ASTM A416"),L72,0),3)</f>
        <v/>
      </c>
      <c r="Q72" s="20">
        <f>ROUND(Q71+IF(AND(E72=12,F72&lt;&gt;"ASTM A416"),L72,0),3)</f>
        <v/>
      </c>
      <c r="R72" s="20">
        <f>ROUND(R71+IF(AND(E72=14,F72&lt;&gt;"ASTM A416"),L72,0),3)</f>
        <v/>
      </c>
      <c r="S72" s="20">
        <f>ROUND(S71+IF(AND(E72=16,F72&lt;&gt;"ASTM A416"),L72,0),3)</f>
        <v/>
      </c>
      <c r="T72" s="20">
        <f>ROUND(T71+IF(AND(E72=18,F72&lt;&gt;"ASTM A416"),L72,0),3)</f>
        <v/>
      </c>
      <c r="U72" s="20">
        <f>ROUND(U71+IF(AND(E72=20,F72&lt;&gt;"ASTM A416"),L72,0),3)</f>
        <v/>
      </c>
      <c r="V72" s="20">
        <f>ROUND(V71+IF(AND(E72=22,F72&lt;&gt;"ASTM A416"),L72,0),3)</f>
        <v/>
      </c>
      <c r="W72" s="20">
        <f>ROUND(W71+IF(AND(E72=25,F72&lt;&gt;"ASTM A416"),L72,0),3)</f>
        <v/>
      </c>
      <c r="X72" s="20">
        <f>ROUND(X71+IF(AND(E72=28,F72&lt;&gt;"ASTM A416"),L72,0),3)</f>
        <v/>
      </c>
      <c r="Y72" s="20">
        <f>ROUND(Y71+IF(AND(E72=32,F72&lt;&gt;"ASTM A416"),L72,0),3)</f>
        <v/>
      </c>
      <c r="Z72" s="20">
        <f>ROUND(Z71+IF(F72="ASTM A416",L72,0),3)</f>
        <v/>
      </c>
      <c r="AA72" s="11">
        <f>IF(ROUNDUP(P72/20,0)&gt;ROUNDUP(P71/20,0),"Lần " &amp; ROUNDUP(P72/20,0),"")</f>
        <v/>
      </c>
      <c r="AB72" s="11">
        <f>IF(ROUNDUP(Q72/20,0)&gt;ROUNDUP(Q71/20,0),"Lần " &amp; ROUNDUP(Q72/20,0),"")</f>
        <v/>
      </c>
      <c r="AC72" s="11">
        <f>IF(ROUNDUP(R72/20,0)&gt;ROUNDUP(R71/20,0),"Lần " &amp; ROUNDUP(R72/20,0),"")</f>
        <v/>
      </c>
      <c r="AD72" s="11">
        <f>IF(ROUNDUP(S72/20,0)&gt;ROUNDUP(S71/20,0),"Lần " &amp; ROUNDUP(S72/20,0),"")</f>
        <v/>
      </c>
      <c r="AE72" s="11">
        <f>IF(ROUNDUP(T72/20,0)&gt;ROUNDUP(T71/20,0),"Lần " &amp; ROUNDUP(T72/20,0),"")</f>
        <v/>
      </c>
      <c r="AF72" s="11">
        <f>IF(ROUNDUP(U72/20,0)&gt;ROUNDUP(U71/20,0),"Lần " &amp; ROUNDUP(U72/20,0),"")</f>
        <v/>
      </c>
      <c r="AG72" s="11">
        <f>IF(ROUNDUP(V72/20,0)&gt;ROUNDUP(V71/20,0),"Lần " &amp; ROUNDUP(V72/20,0),"")</f>
        <v/>
      </c>
      <c r="AH72" s="11">
        <f>IF(ROUNDUP(W72/20,0)&gt;ROUNDUP(W71/20,0),"Lần " &amp; ROUNDUP(W72/20,0),"")</f>
        <v/>
      </c>
      <c r="AI72" s="11">
        <f>IF(ROUNDUP(X72/20,0)&gt;ROUNDUP(X71/20,0),"Lần " &amp; ROUNDUP(X72/20,0),"")</f>
        <v/>
      </c>
      <c r="AJ72" s="11">
        <f>IF(ROUNDUP(Y72/20,0)&gt;ROUNDUP(Y71/20,0),"Lần " &amp; ROUNDUP(Y72/20,0),"")</f>
        <v/>
      </c>
      <c r="AK72" s="11">
        <f>IF(ROUNDUP(Z72/20,0)&gt;ROUNDUP(Z71/20,0),"Lần " &amp; ROUNDUP(Z72/20,0),"")</f>
        <v/>
      </c>
      <c r="AL72" s="6" t="n"/>
      <c r="AN72" t="inlineStr">
        <is>
          <t>Than</t>
        </is>
      </c>
      <c r="AO72" t="n">
        <v>57</v>
      </c>
    </row>
    <row r="73" ht="19" customHeight="1">
      <c r="A73" s="6" t="n">
        <v>69</v>
      </c>
      <c r="B73" s="7" t="inlineStr">
        <is>
          <t>Mố M2</t>
        </is>
      </c>
      <c r="C73" s="7" t="inlineStr">
        <is>
          <t>Mố M2 (tr.40)</t>
        </is>
      </c>
      <c r="D73" s="18" t="inlineStr">
        <is>
          <t>G8B</t>
        </is>
      </c>
      <c r="E73" s="19" t="n">
        <v>12</v>
      </c>
      <c r="F73" s="6" t="inlineStr">
        <is>
          <t>CB400-V</t>
        </is>
      </c>
      <c r="G73" s="7" t="inlineStr">
        <is>
          <t>S06</t>
        </is>
      </c>
      <c r="H73" s="20" t="n">
        <v>0.306</v>
      </c>
      <c r="I73" s="21" t="n">
        <v>14</v>
      </c>
      <c r="J73" s="22" t="n">
        <v>0.888</v>
      </c>
      <c r="K73" s="9">
        <f>ROUND(H73*I73*J73, 2)</f>
        <v/>
      </c>
      <c r="L73" s="23">
        <f>ROUND(K73/1000, 3)</f>
        <v/>
      </c>
      <c r="M73" s="8">
        <f>IF(AO73="","",IF(INDEX(Theo_Doi_Tan_Suat_Be_Tong!$C:$C,AO73)="","",INDEX(Theo_Doi_Tan_Suat_Be_Tong!$C:$C,AO73)-VLOOKUP(AN73,$AQ$2:$AR$7,2,FALSE)))</f>
        <v/>
      </c>
      <c r="N73" s="6" t="n"/>
      <c r="O73" s="24">
        <f>IF(ROUNDUP(Q73/20,0)&gt;ROUNDUP(Q72/20,0),"TN Ø12 (Lần " &amp; ROUNDUP(Q73/20,0) &amp; ")","")</f>
        <v/>
      </c>
      <c r="P73" s="20">
        <f>ROUND(P72+IF(AND(E73&lt;=10,F73&lt;&gt;"ASTM A416"),L73,0),3)</f>
        <v/>
      </c>
      <c r="Q73" s="20">
        <f>ROUND(Q72+IF(AND(E73=12,F73&lt;&gt;"ASTM A416"),L73,0),3)</f>
        <v/>
      </c>
      <c r="R73" s="20">
        <f>ROUND(R72+IF(AND(E73=14,F73&lt;&gt;"ASTM A416"),L73,0),3)</f>
        <v/>
      </c>
      <c r="S73" s="20">
        <f>ROUND(S72+IF(AND(E73=16,F73&lt;&gt;"ASTM A416"),L73,0),3)</f>
        <v/>
      </c>
      <c r="T73" s="20">
        <f>ROUND(T72+IF(AND(E73=18,F73&lt;&gt;"ASTM A416"),L73,0),3)</f>
        <v/>
      </c>
      <c r="U73" s="20">
        <f>ROUND(U72+IF(AND(E73=20,F73&lt;&gt;"ASTM A416"),L73,0),3)</f>
        <v/>
      </c>
      <c r="V73" s="20">
        <f>ROUND(V72+IF(AND(E73=22,F73&lt;&gt;"ASTM A416"),L73,0),3)</f>
        <v/>
      </c>
      <c r="W73" s="20">
        <f>ROUND(W72+IF(AND(E73=25,F73&lt;&gt;"ASTM A416"),L73,0),3)</f>
        <v/>
      </c>
      <c r="X73" s="20">
        <f>ROUND(X72+IF(AND(E73=28,F73&lt;&gt;"ASTM A416"),L73,0),3)</f>
        <v/>
      </c>
      <c r="Y73" s="20">
        <f>ROUND(Y72+IF(AND(E73=32,F73&lt;&gt;"ASTM A416"),L73,0),3)</f>
        <v/>
      </c>
      <c r="Z73" s="20">
        <f>ROUND(Z72+IF(F73="ASTM A416",L73,0),3)</f>
        <v/>
      </c>
      <c r="AA73" s="11">
        <f>IF(ROUNDUP(P73/20,0)&gt;ROUNDUP(P72/20,0),"Lần " &amp; ROUNDUP(P73/20,0),"")</f>
        <v/>
      </c>
      <c r="AB73" s="11">
        <f>IF(ROUNDUP(Q73/20,0)&gt;ROUNDUP(Q72/20,0),"Lần " &amp; ROUNDUP(Q73/20,0),"")</f>
        <v/>
      </c>
      <c r="AC73" s="11">
        <f>IF(ROUNDUP(R73/20,0)&gt;ROUNDUP(R72/20,0),"Lần " &amp; ROUNDUP(R73/20,0),"")</f>
        <v/>
      </c>
      <c r="AD73" s="11">
        <f>IF(ROUNDUP(S73/20,0)&gt;ROUNDUP(S72/20,0),"Lần " &amp; ROUNDUP(S73/20,0),"")</f>
        <v/>
      </c>
      <c r="AE73" s="11">
        <f>IF(ROUNDUP(T73/20,0)&gt;ROUNDUP(T72/20,0),"Lần " &amp; ROUNDUP(T73/20,0),"")</f>
        <v/>
      </c>
      <c r="AF73" s="11">
        <f>IF(ROUNDUP(U73/20,0)&gt;ROUNDUP(U72/20,0),"Lần " &amp; ROUNDUP(U73/20,0),"")</f>
        <v/>
      </c>
      <c r="AG73" s="11">
        <f>IF(ROUNDUP(V73/20,0)&gt;ROUNDUP(V72/20,0),"Lần " &amp; ROUNDUP(V73/20,0),"")</f>
        <v/>
      </c>
      <c r="AH73" s="11">
        <f>IF(ROUNDUP(W73/20,0)&gt;ROUNDUP(W72/20,0),"Lần " &amp; ROUNDUP(W73/20,0),"")</f>
        <v/>
      </c>
      <c r="AI73" s="11">
        <f>IF(ROUNDUP(X73/20,0)&gt;ROUNDUP(X72/20,0),"Lần " &amp; ROUNDUP(X73/20,0),"")</f>
        <v/>
      </c>
      <c r="AJ73" s="11">
        <f>IF(ROUNDUP(Y73/20,0)&gt;ROUNDUP(Y72/20,0),"Lần " &amp; ROUNDUP(Y73/20,0),"")</f>
        <v/>
      </c>
      <c r="AK73" s="11">
        <f>IF(ROUNDUP(Z73/20,0)&gt;ROUNDUP(Z72/20,0),"Lần " &amp; ROUNDUP(Z73/20,0),"")</f>
        <v/>
      </c>
      <c r="AL73" s="6" t="n"/>
      <c r="AN73" t="inlineStr">
        <is>
          <t>Than</t>
        </is>
      </c>
      <c r="AO73" t="n">
        <v>57</v>
      </c>
    </row>
    <row r="74" ht="19" customHeight="1">
      <c r="A74" s="6" t="n">
        <v>70</v>
      </c>
      <c r="B74" s="7" t="inlineStr">
        <is>
          <t>Mố M2</t>
        </is>
      </c>
      <c r="C74" s="7" t="inlineStr">
        <is>
          <t>Mố M2 (tr.40)</t>
        </is>
      </c>
      <c r="D74" s="18" t="inlineStr">
        <is>
          <t>G8C</t>
        </is>
      </c>
      <c r="E74" s="19" t="n">
        <v>12</v>
      </c>
      <c r="F74" s="6" t="inlineStr">
        <is>
          <t>CB400-V</t>
        </is>
      </c>
      <c r="G74" s="7" t="inlineStr">
        <is>
          <t>S06</t>
        </is>
      </c>
      <c r="H74" s="20" t="n">
        <v>0.417</v>
      </c>
      <c r="I74" s="21" t="n">
        <v>14</v>
      </c>
      <c r="J74" s="22" t="n">
        <v>0.888</v>
      </c>
      <c r="K74" s="9">
        <f>ROUND(H74*I74*J74, 2)</f>
        <v/>
      </c>
      <c r="L74" s="23">
        <f>ROUND(K74/1000, 3)</f>
        <v/>
      </c>
      <c r="M74" s="8">
        <f>IF(AO74="","",IF(INDEX(Theo_Doi_Tan_Suat_Be_Tong!$C:$C,AO74)="","",INDEX(Theo_Doi_Tan_Suat_Be_Tong!$C:$C,AO74)-VLOOKUP(AN74,$AQ$2:$AR$7,2,FALSE)))</f>
        <v/>
      </c>
      <c r="N74" s="6" t="n"/>
      <c r="O74" s="24">
        <f>IF(ROUNDUP(Q74/20,0)&gt;ROUNDUP(Q73/20,0),"TN Ø12 (Lần " &amp; ROUNDUP(Q74/20,0) &amp; ")","")</f>
        <v/>
      </c>
      <c r="P74" s="20">
        <f>ROUND(P73+IF(AND(E74&lt;=10,F74&lt;&gt;"ASTM A416"),L74,0),3)</f>
        <v/>
      </c>
      <c r="Q74" s="20">
        <f>ROUND(Q73+IF(AND(E74=12,F74&lt;&gt;"ASTM A416"),L74,0),3)</f>
        <v/>
      </c>
      <c r="R74" s="20">
        <f>ROUND(R73+IF(AND(E74=14,F74&lt;&gt;"ASTM A416"),L74,0),3)</f>
        <v/>
      </c>
      <c r="S74" s="20">
        <f>ROUND(S73+IF(AND(E74=16,F74&lt;&gt;"ASTM A416"),L74,0),3)</f>
        <v/>
      </c>
      <c r="T74" s="20">
        <f>ROUND(T73+IF(AND(E74=18,F74&lt;&gt;"ASTM A416"),L74,0),3)</f>
        <v/>
      </c>
      <c r="U74" s="20">
        <f>ROUND(U73+IF(AND(E74=20,F74&lt;&gt;"ASTM A416"),L74,0),3)</f>
        <v/>
      </c>
      <c r="V74" s="20">
        <f>ROUND(V73+IF(AND(E74=22,F74&lt;&gt;"ASTM A416"),L74,0),3)</f>
        <v/>
      </c>
      <c r="W74" s="20">
        <f>ROUND(W73+IF(AND(E74=25,F74&lt;&gt;"ASTM A416"),L74,0),3)</f>
        <v/>
      </c>
      <c r="X74" s="20">
        <f>ROUND(X73+IF(AND(E74=28,F74&lt;&gt;"ASTM A416"),L74,0),3)</f>
        <v/>
      </c>
      <c r="Y74" s="20">
        <f>ROUND(Y73+IF(AND(E74=32,F74&lt;&gt;"ASTM A416"),L74,0),3)</f>
        <v/>
      </c>
      <c r="Z74" s="20">
        <f>ROUND(Z73+IF(F74="ASTM A416",L74,0),3)</f>
        <v/>
      </c>
      <c r="AA74" s="11">
        <f>IF(ROUNDUP(P74/20,0)&gt;ROUNDUP(P73/20,0),"Lần " &amp; ROUNDUP(P74/20,0),"")</f>
        <v/>
      </c>
      <c r="AB74" s="11">
        <f>IF(ROUNDUP(Q74/20,0)&gt;ROUNDUP(Q73/20,0),"Lần " &amp; ROUNDUP(Q74/20,0),"")</f>
        <v/>
      </c>
      <c r="AC74" s="11">
        <f>IF(ROUNDUP(R74/20,0)&gt;ROUNDUP(R73/20,0),"Lần " &amp; ROUNDUP(R74/20,0),"")</f>
        <v/>
      </c>
      <c r="AD74" s="11">
        <f>IF(ROUNDUP(S74/20,0)&gt;ROUNDUP(S73/20,0),"Lần " &amp; ROUNDUP(S74/20,0),"")</f>
        <v/>
      </c>
      <c r="AE74" s="11">
        <f>IF(ROUNDUP(T74/20,0)&gt;ROUNDUP(T73/20,0),"Lần " &amp; ROUNDUP(T74/20,0),"")</f>
        <v/>
      </c>
      <c r="AF74" s="11">
        <f>IF(ROUNDUP(U74/20,0)&gt;ROUNDUP(U73/20,0),"Lần " &amp; ROUNDUP(U74/20,0),"")</f>
        <v/>
      </c>
      <c r="AG74" s="11">
        <f>IF(ROUNDUP(V74/20,0)&gt;ROUNDUP(V73/20,0),"Lần " &amp; ROUNDUP(V74/20,0),"")</f>
        <v/>
      </c>
      <c r="AH74" s="11">
        <f>IF(ROUNDUP(W74/20,0)&gt;ROUNDUP(W73/20,0),"Lần " &amp; ROUNDUP(W74/20,0),"")</f>
        <v/>
      </c>
      <c r="AI74" s="11">
        <f>IF(ROUNDUP(X74/20,0)&gt;ROUNDUP(X73/20,0),"Lần " &amp; ROUNDUP(X74/20,0),"")</f>
        <v/>
      </c>
      <c r="AJ74" s="11">
        <f>IF(ROUNDUP(Y74/20,0)&gt;ROUNDUP(Y73/20,0),"Lần " &amp; ROUNDUP(Y74/20,0),"")</f>
        <v/>
      </c>
      <c r="AK74" s="11">
        <f>IF(ROUNDUP(Z74/20,0)&gt;ROUNDUP(Z73/20,0),"Lần " &amp; ROUNDUP(Z74/20,0),"")</f>
        <v/>
      </c>
      <c r="AL74" s="6" t="n"/>
      <c r="AN74" t="inlineStr">
        <is>
          <t>Than</t>
        </is>
      </c>
      <c r="AO74" t="n">
        <v>57</v>
      </c>
    </row>
    <row r="75" ht="19" customHeight="1">
      <c r="A75" s="6" t="n">
        <v>71</v>
      </c>
      <c r="B75" s="7" t="inlineStr">
        <is>
          <t>Mố M2</t>
        </is>
      </c>
      <c r="C75" s="7" t="inlineStr">
        <is>
          <t>Mố M2 (tr.40)</t>
        </is>
      </c>
      <c r="D75" s="18" t="inlineStr">
        <is>
          <t>G9</t>
        </is>
      </c>
      <c r="E75" s="19" t="n">
        <v>16</v>
      </c>
      <c r="F75" s="6" t="inlineStr">
        <is>
          <t>CB400-V</t>
        </is>
      </c>
      <c r="G75" s="7" t="inlineStr">
        <is>
          <t>S02</t>
        </is>
      </c>
      <c r="H75" s="20" t="n">
        <v>0.625</v>
      </c>
      <c r="I75" s="21" t="n">
        <v>70</v>
      </c>
      <c r="J75" s="22" t="n">
        <v>1.578</v>
      </c>
      <c r="K75" s="9">
        <f>ROUND(H75*I75*J75, 2)</f>
        <v/>
      </c>
      <c r="L75" s="23">
        <f>ROUND(K75/1000, 3)</f>
        <v/>
      </c>
      <c r="M75" s="8">
        <f>IF(AO75="","",IF(INDEX(Theo_Doi_Tan_Suat_Be_Tong!$C:$C,AO75)="","",INDEX(Theo_Doi_Tan_Suat_Be_Tong!$C:$C,AO75)-VLOOKUP(AN75,$AQ$2:$AR$7,2,FALSE)))</f>
        <v/>
      </c>
      <c r="N75" s="6" t="n"/>
      <c r="O75" s="24">
        <f>IF(ROUNDUP(S75/20,0)&gt;ROUNDUP(S74/20,0),"TN Ø16 (Lần " &amp; ROUNDUP(S75/20,0) &amp; ")","")</f>
        <v/>
      </c>
      <c r="P75" s="20">
        <f>ROUND(P74+IF(AND(E75&lt;=10,F75&lt;&gt;"ASTM A416"),L75,0),3)</f>
        <v/>
      </c>
      <c r="Q75" s="20">
        <f>ROUND(Q74+IF(AND(E75=12,F75&lt;&gt;"ASTM A416"),L75,0),3)</f>
        <v/>
      </c>
      <c r="R75" s="20">
        <f>ROUND(R74+IF(AND(E75=14,F75&lt;&gt;"ASTM A416"),L75,0),3)</f>
        <v/>
      </c>
      <c r="S75" s="20">
        <f>ROUND(S74+IF(AND(E75=16,F75&lt;&gt;"ASTM A416"),L75,0),3)</f>
        <v/>
      </c>
      <c r="T75" s="20">
        <f>ROUND(T74+IF(AND(E75=18,F75&lt;&gt;"ASTM A416"),L75,0),3)</f>
        <v/>
      </c>
      <c r="U75" s="20">
        <f>ROUND(U74+IF(AND(E75=20,F75&lt;&gt;"ASTM A416"),L75,0),3)</f>
        <v/>
      </c>
      <c r="V75" s="20">
        <f>ROUND(V74+IF(AND(E75=22,F75&lt;&gt;"ASTM A416"),L75,0),3)</f>
        <v/>
      </c>
      <c r="W75" s="20">
        <f>ROUND(W74+IF(AND(E75=25,F75&lt;&gt;"ASTM A416"),L75,0),3)</f>
        <v/>
      </c>
      <c r="X75" s="20">
        <f>ROUND(X74+IF(AND(E75=28,F75&lt;&gt;"ASTM A416"),L75,0),3)</f>
        <v/>
      </c>
      <c r="Y75" s="20">
        <f>ROUND(Y74+IF(AND(E75=32,F75&lt;&gt;"ASTM A416"),L75,0),3)</f>
        <v/>
      </c>
      <c r="Z75" s="20">
        <f>ROUND(Z74+IF(F75="ASTM A416",L75,0),3)</f>
        <v/>
      </c>
      <c r="AA75" s="11">
        <f>IF(ROUNDUP(P75/20,0)&gt;ROUNDUP(P74/20,0),"Lần " &amp; ROUNDUP(P75/20,0),"")</f>
        <v/>
      </c>
      <c r="AB75" s="11">
        <f>IF(ROUNDUP(Q75/20,0)&gt;ROUNDUP(Q74/20,0),"Lần " &amp; ROUNDUP(Q75/20,0),"")</f>
        <v/>
      </c>
      <c r="AC75" s="11">
        <f>IF(ROUNDUP(R75/20,0)&gt;ROUNDUP(R74/20,0),"Lần " &amp; ROUNDUP(R75/20,0),"")</f>
        <v/>
      </c>
      <c r="AD75" s="11">
        <f>IF(ROUNDUP(S75/20,0)&gt;ROUNDUP(S74/20,0),"Lần " &amp; ROUNDUP(S75/20,0),"")</f>
        <v/>
      </c>
      <c r="AE75" s="11">
        <f>IF(ROUNDUP(T75/20,0)&gt;ROUNDUP(T74/20,0),"Lần " &amp; ROUNDUP(T75/20,0),"")</f>
        <v/>
      </c>
      <c r="AF75" s="11">
        <f>IF(ROUNDUP(U75/20,0)&gt;ROUNDUP(U74/20,0),"Lần " &amp; ROUNDUP(U75/20,0),"")</f>
        <v/>
      </c>
      <c r="AG75" s="11">
        <f>IF(ROUNDUP(V75/20,0)&gt;ROUNDUP(V74/20,0),"Lần " &amp; ROUNDUP(V75/20,0),"")</f>
        <v/>
      </c>
      <c r="AH75" s="11">
        <f>IF(ROUNDUP(W75/20,0)&gt;ROUNDUP(W74/20,0),"Lần " &amp; ROUNDUP(W75/20,0),"")</f>
        <v/>
      </c>
      <c r="AI75" s="11">
        <f>IF(ROUNDUP(X75/20,0)&gt;ROUNDUP(X74/20,0),"Lần " &amp; ROUNDUP(X75/20,0),"")</f>
        <v/>
      </c>
      <c r="AJ75" s="11">
        <f>IF(ROUNDUP(Y75/20,0)&gt;ROUNDUP(Y74/20,0),"Lần " &amp; ROUNDUP(Y75/20,0),"")</f>
        <v/>
      </c>
      <c r="AK75" s="11">
        <f>IF(ROUNDUP(Z75/20,0)&gt;ROUNDUP(Z74/20,0),"Lần " &amp; ROUNDUP(Z75/20,0),"")</f>
        <v/>
      </c>
      <c r="AL75" s="6" t="n"/>
      <c r="AN75" t="inlineStr">
        <is>
          <t>Than</t>
        </is>
      </c>
      <c r="AO75" t="n">
        <v>57</v>
      </c>
    </row>
    <row r="76" ht="19" customHeight="1">
      <c r="A76" s="6" t="n">
        <v>72</v>
      </c>
      <c r="B76" s="7" t="inlineStr">
        <is>
          <t>Mố M2</t>
        </is>
      </c>
      <c r="C76" s="7" t="inlineStr">
        <is>
          <t>Mố M2 (tr.40)</t>
        </is>
      </c>
      <c r="D76" s="18" t="inlineStr">
        <is>
          <t>F1</t>
        </is>
      </c>
      <c r="E76" s="19" t="n">
        <v>28</v>
      </c>
      <c r="F76" s="6" t="inlineStr">
        <is>
          <t>CB400-V</t>
        </is>
      </c>
      <c r="G76" s="7" t="inlineStr">
        <is>
          <t>S06</t>
        </is>
      </c>
      <c r="H76" s="20" t="n">
        <v>6.578</v>
      </c>
      <c r="I76" s="21" t="n">
        <v>83</v>
      </c>
      <c r="J76" s="22" t="n">
        <v>4.834</v>
      </c>
      <c r="K76" s="9">
        <f>ROUND(H76*I76*J76, 2)</f>
        <v/>
      </c>
      <c r="L76" s="23">
        <f>ROUND(K76/1000, 3)</f>
        <v/>
      </c>
      <c r="M76" s="8">
        <f>IF(AO76="","",IF(INDEX(Theo_Doi_Tan_Suat_Be_Tong!$C:$C,AO76)="","",INDEX(Theo_Doi_Tan_Suat_Be_Tong!$C:$C,AO76)-VLOOKUP(AN76,$AQ$2:$AR$7,2,FALSE)))</f>
        <v/>
      </c>
      <c r="N76" s="6" t="n"/>
      <c r="O76" s="24">
        <f>IF(ROUNDUP(X76/20,0)&gt;ROUNDUP(X75/20,0),"TN Ø28 (Lần " &amp; ROUNDUP(X76/20,0) &amp; ")","")</f>
        <v/>
      </c>
      <c r="P76" s="20">
        <f>ROUND(P75+IF(AND(E76&lt;=10,F76&lt;&gt;"ASTM A416"),L76,0),3)</f>
        <v/>
      </c>
      <c r="Q76" s="20">
        <f>ROUND(Q75+IF(AND(E76=12,F76&lt;&gt;"ASTM A416"),L76,0),3)</f>
        <v/>
      </c>
      <c r="R76" s="20">
        <f>ROUND(R75+IF(AND(E76=14,F76&lt;&gt;"ASTM A416"),L76,0),3)</f>
        <v/>
      </c>
      <c r="S76" s="20">
        <f>ROUND(S75+IF(AND(E76=16,F76&lt;&gt;"ASTM A416"),L76,0),3)</f>
        <v/>
      </c>
      <c r="T76" s="20">
        <f>ROUND(T75+IF(AND(E76=18,F76&lt;&gt;"ASTM A416"),L76,0),3)</f>
        <v/>
      </c>
      <c r="U76" s="20">
        <f>ROUND(U75+IF(AND(E76=20,F76&lt;&gt;"ASTM A416"),L76,0),3)</f>
        <v/>
      </c>
      <c r="V76" s="20">
        <f>ROUND(V75+IF(AND(E76=22,F76&lt;&gt;"ASTM A416"),L76,0),3)</f>
        <v/>
      </c>
      <c r="W76" s="20">
        <f>ROUND(W75+IF(AND(E76=25,F76&lt;&gt;"ASTM A416"),L76,0),3)</f>
        <v/>
      </c>
      <c r="X76" s="20">
        <f>ROUND(X75+IF(AND(E76=28,F76&lt;&gt;"ASTM A416"),L76,0),3)</f>
        <v/>
      </c>
      <c r="Y76" s="20">
        <f>ROUND(Y75+IF(AND(E76=32,F76&lt;&gt;"ASTM A416"),L76,0),3)</f>
        <v/>
      </c>
      <c r="Z76" s="20">
        <f>ROUND(Z75+IF(F76="ASTM A416",L76,0),3)</f>
        <v/>
      </c>
      <c r="AA76" s="11">
        <f>IF(ROUNDUP(P76/20,0)&gt;ROUNDUP(P75/20,0),"Lần " &amp; ROUNDUP(P76/20,0),"")</f>
        <v/>
      </c>
      <c r="AB76" s="11">
        <f>IF(ROUNDUP(Q76/20,0)&gt;ROUNDUP(Q75/20,0),"Lần " &amp; ROUNDUP(Q76/20,0),"")</f>
        <v/>
      </c>
      <c r="AC76" s="11">
        <f>IF(ROUNDUP(R76/20,0)&gt;ROUNDUP(R75/20,0),"Lần " &amp; ROUNDUP(R76/20,0),"")</f>
        <v/>
      </c>
      <c r="AD76" s="11">
        <f>IF(ROUNDUP(S76/20,0)&gt;ROUNDUP(S75/20,0),"Lần " &amp; ROUNDUP(S76/20,0),"")</f>
        <v/>
      </c>
      <c r="AE76" s="11">
        <f>IF(ROUNDUP(T76/20,0)&gt;ROUNDUP(T75/20,0),"Lần " &amp; ROUNDUP(T76/20,0),"")</f>
        <v/>
      </c>
      <c r="AF76" s="11">
        <f>IF(ROUNDUP(U76/20,0)&gt;ROUNDUP(U75/20,0),"Lần " &amp; ROUNDUP(U76/20,0),"")</f>
        <v/>
      </c>
      <c r="AG76" s="11">
        <f>IF(ROUNDUP(V76/20,0)&gt;ROUNDUP(V75/20,0),"Lần " &amp; ROUNDUP(V76/20,0),"")</f>
        <v/>
      </c>
      <c r="AH76" s="11">
        <f>IF(ROUNDUP(W76/20,0)&gt;ROUNDUP(W75/20,0),"Lần " &amp; ROUNDUP(W76/20,0),"")</f>
        <v/>
      </c>
      <c r="AI76" s="11">
        <f>IF(ROUNDUP(X76/20,0)&gt;ROUNDUP(X75/20,0),"Lần " &amp; ROUNDUP(X76/20,0),"")</f>
        <v/>
      </c>
      <c r="AJ76" s="11">
        <f>IF(ROUNDUP(Y76/20,0)&gt;ROUNDUP(Y75/20,0),"Lần " &amp; ROUNDUP(Y76/20,0),"")</f>
        <v/>
      </c>
      <c r="AK76" s="11">
        <f>IF(ROUNDUP(Z76/20,0)&gt;ROUNDUP(Z75/20,0),"Lần " &amp; ROUNDUP(Z76/20,0),"")</f>
        <v/>
      </c>
      <c r="AL76" s="6" t="n"/>
      <c r="AN76" t="inlineStr">
        <is>
          <t>Than</t>
        </is>
      </c>
      <c r="AO76" t="n">
        <v>39</v>
      </c>
    </row>
    <row r="77" ht="19" customHeight="1">
      <c r="A77" s="6" t="n">
        <v>73</v>
      </c>
      <c r="B77" s="7" t="inlineStr">
        <is>
          <t>Mố M2</t>
        </is>
      </c>
      <c r="C77" s="7" t="inlineStr">
        <is>
          <t>Mố M2 (tr.40)</t>
        </is>
      </c>
      <c r="D77" s="18" t="inlineStr">
        <is>
          <t>F2</t>
        </is>
      </c>
      <c r="E77" s="19" t="n">
        <v>18</v>
      </c>
      <c r="F77" s="6" t="inlineStr">
        <is>
          <t>CB400-V</t>
        </is>
      </c>
      <c r="G77" s="7" t="inlineStr">
        <is>
          <t>S06</t>
        </is>
      </c>
      <c r="H77" s="20" t="n">
        <v>13.571</v>
      </c>
      <c r="I77" s="21" t="n">
        <v>40</v>
      </c>
      <c r="J77" s="22" t="n">
        <v>1.998</v>
      </c>
      <c r="K77" s="9">
        <f>ROUND(H77*I77*J77, 2)</f>
        <v/>
      </c>
      <c r="L77" s="23">
        <f>ROUND(K77/1000, 3)</f>
        <v/>
      </c>
      <c r="M77" s="8">
        <f>IF(AO77="","",IF(INDEX(Theo_Doi_Tan_Suat_Be_Tong!$C:$C,AO77)="","",INDEX(Theo_Doi_Tan_Suat_Be_Tong!$C:$C,AO77)-VLOOKUP(AN77,$AQ$2:$AR$7,2,FALSE)))</f>
        <v/>
      </c>
      <c r="N77" s="6" t="n"/>
      <c r="O77" s="24">
        <f>IF(ROUNDUP(T77/20,0)&gt;ROUNDUP(T76/20,0),"TN Ø18 (Lần " &amp; ROUNDUP(T77/20,0) &amp; ")","")</f>
        <v/>
      </c>
      <c r="P77" s="20">
        <f>ROUND(P76+IF(AND(E77&lt;=10,F77&lt;&gt;"ASTM A416"),L77,0),3)</f>
        <v/>
      </c>
      <c r="Q77" s="20">
        <f>ROUND(Q76+IF(AND(E77=12,F77&lt;&gt;"ASTM A416"),L77,0),3)</f>
        <v/>
      </c>
      <c r="R77" s="20">
        <f>ROUND(R76+IF(AND(E77=14,F77&lt;&gt;"ASTM A416"),L77,0),3)</f>
        <v/>
      </c>
      <c r="S77" s="20">
        <f>ROUND(S76+IF(AND(E77=16,F77&lt;&gt;"ASTM A416"),L77,0),3)</f>
        <v/>
      </c>
      <c r="T77" s="20">
        <f>ROUND(T76+IF(AND(E77=18,F77&lt;&gt;"ASTM A416"),L77,0),3)</f>
        <v/>
      </c>
      <c r="U77" s="20">
        <f>ROUND(U76+IF(AND(E77=20,F77&lt;&gt;"ASTM A416"),L77,0),3)</f>
        <v/>
      </c>
      <c r="V77" s="20">
        <f>ROUND(V76+IF(AND(E77=22,F77&lt;&gt;"ASTM A416"),L77,0),3)</f>
        <v/>
      </c>
      <c r="W77" s="20">
        <f>ROUND(W76+IF(AND(E77=25,F77&lt;&gt;"ASTM A416"),L77,0),3)</f>
        <v/>
      </c>
      <c r="X77" s="20">
        <f>ROUND(X76+IF(AND(E77=28,F77&lt;&gt;"ASTM A416"),L77,0),3)</f>
        <v/>
      </c>
      <c r="Y77" s="20">
        <f>ROUND(Y76+IF(AND(E77=32,F77&lt;&gt;"ASTM A416"),L77,0),3)</f>
        <v/>
      </c>
      <c r="Z77" s="20">
        <f>ROUND(Z76+IF(F77="ASTM A416",L77,0),3)</f>
        <v/>
      </c>
      <c r="AA77" s="11">
        <f>IF(ROUNDUP(P77/20,0)&gt;ROUNDUP(P76/20,0),"Lần " &amp; ROUNDUP(P77/20,0),"")</f>
        <v/>
      </c>
      <c r="AB77" s="11">
        <f>IF(ROUNDUP(Q77/20,0)&gt;ROUNDUP(Q76/20,0),"Lần " &amp; ROUNDUP(Q77/20,0),"")</f>
        <v/>
      </c>
      <c r="AC77" s="11">
        <f>IF(ROUNDUP(R77/20,0)&gt;ROUNDUP(R76/20,0),"Lần " &amp; ROUNDUP(R77/20,0),"")</f>
        <v/>
      </c>
      <c r="AD77" s="11">
        <f>IF(ROUNDUP(S77/20,0)&gt;ROUNDUP(S76/20,0),"Lần " &amp; ROUNDUP(S77/20,0),"")</f>
        <v/>
      </c>
      <c r="AE77" s="11">
        <f>IF(ROUNDUP(T77/20,0)&gt;ROUNDUP(T76/20,0),"Lần " &amp; ROUNDUP(T77/20,0),"")</f>
        <v/>
      </c>
      <c r="AF77" s="11">
        <f>IF(ROUNDUP(U77/20,0)&gt;ROUNDUP(U76/20,0),"Lần " &amp; ROUNDUP(U77/20,0),"")</f>
        <v/>
      </c>
      <c r="AG77" s="11">
        <f>IF(ROUNDUP(V77/20,0)&gt;ROUNDUP(V76/20,0),"Lần " &amp; ROUNDUP(V77/20,0),"")</f>
        <v/>
      </c>
      <c r="AH77" s="11">
        <f>IF(ROUNDUP(W77/20,0)&gt;ROUNDUP(W76/20,0),"Lần " &amp; ROUNDUP(W77/20,0),"")</f>
        <v/>
      </c>
      <c r="AI77" s="11">
        <f>IF(ROUNDUP(X77/20,0)&gt;ROUNDUP(X76/20,0),"Lần " &amp; ROUNDUP(X77/20,0),"")</f>
        <v/>
      </c>
      <c r="AJ77" s="11">
        <f>IF(ROUNDUP(Y77/20,0)&gt;ROUNDUP(Y76/20,0),"Lần " &amp; ROUNDUP(Y77/20,0),"")</f>
        <v/>
      </c>
      <c r="AK77" s="11">
        <f>IF(ROUNDUP(Z77/20,0)&gt;ROUNDUP(Z76/20,0),"Lần " &amp; ROUNDUP(Z77/20,0),"")</f>
        <v/>
      </c>
      <c r="AL77" s="6" t="n"/>
      <c r="AN77" t="inlineStr">
        <is>
          <t>Than</t>
        </is>
      </c>
      <c r="AO77" t="n">
        <v>39</v>
      </c>
    </row>
    <row r="78" ht="19" customHeight="1">
      <c r="A78" s="6" t="n">
        <v>74</v>
      </c>
      <c r="B78" s="7" t="inlineStr">
        <is>
          <t>Mố M2</t>
        </is>
      </c>
      <c r="C78" s="7" t="inlineStr">
        <is>
          <t>Mố M2 (tr.40)</t>
        </is>
      </c>
      <c r="D78" s="18" t="inlineStr">
        <is>
          <t>F3</t>
        </is>
      </c>
      <c r="E78" s="19" t="n">
        <v>18</v>
      </c>
      <c r="F78" s="6" t="inlineStr">
        <is>
          <t>CB400-V</t>
        </is>
      </c>
      <c r="G78" s="7" t="inlineStr">
        <is>
          <t>S06</t>
        </is>
      </c>
      <c r="H78" s="20" t="n">
        <v>6.336</v>
      </c>
      <c r="I78" s="21" t="n">
        <v>83</v>
      </c>
      <c r="J78" s="22" t="n">
        <v>1.998</v>
      </c>
      <c r="K78" s="9">
        <f>ROUND(H78*I78*J78, 2)</f>
        <v/>
      </c>
      <c r="L78" s="23">
        <f>ROUND(K78/1000, 3)</f>
        <v/>
      </c>
      <c r="M78" s="8">
        <f>IF(AO78="","",IF(INDEX(Theo_Doi_Tan_Suat_Be_Tong!$C:$C,AO78)="","",INDEX(Theo_Doi_Tan_Suat_Be_Tong!$C:$C,AO78)-VLOOKUP(AN78,$AQ$2:$AR$7,2,FALSE)))</f>
        <v/>
      </c>
      <c r="N78" s="6" t="n"/>
      <c r="O78" s="24">
        <f>IF(ROUNDUP(T78/20,0)&gt;ROUNDUP(T77/20,0),"TN Ø18 (Lần " &amp; ROUNDUP(T78/20,0) &amp; ")","")</f>
        <v/>
      </c>
      <c r="P78" s="20">
        <f>ROUND(P77+IF(AND(E78&lt;=10,F78&lt;&gt;"ASTM A416"),L78,0),3)</f>
        <v/>
      </c>
      <c r="Q78" s="20">
        <f>ROUND(Q77+IF(AND(E78=12,F78&lt;&gt;"ASTM A416"),L78,0),3)</f>
        <v/>
      </c>
      <c r="R78" s="20">
        <f>ROUND(R77+IF(AND(E78=14,F78&lt;&gt;"ASTM A416"),L78,0),3)</f>
        <v/>
      </c>
      <c r="S78" s="20">
        <f>ROUND(S77+IF(AND(E78=16,F78&lt;&gt;"ASTM A416"),L78,0),3)</f>
        <v/>
      </c>
      <c r="T78" s="20">
        <f>ROUND(T77+IF(AND(E78=18,F78&lt;&gt;"ASTM A416"),L78,0),3)</f>
        <v/>
      </c>
      <c r="U78" s="20">
        <f>ROUND(U77+IF(AND(E78=20,F78&lt;&gt;"ASTM A416"),L78,0),3)</f>
        <v/>
      </c>
      <c r="V78" s="20">
        <f>ROUND(V77+IF(AND(E78=22,F78&lt;&gt;"ASTM A416"),L78,0),3)</f>
        <v/>
      </c>
      <c r="W78" s="20">
        <f>ROUND(W77+IF(AND(E78=25,F78&lt;&gt;"ASTM A416"),L78,0),3)</f>
        <v/>
      </c>
      <c r="X78" s="20">
        <f>ROUND(X77+IF(AND(E78=28,F78&lt;&gt;"ASTM A416"),L78,0),3)</f>
        <v/>
      </c>
      <c r="Y78" s="20">
        <f>ROUND(Y77+IF(AND(E78=32,F78&lt;&gt;"ASTM A416"),L78,0),3)</f>
        <v/>
      </c>
      <c r="Z78" s="20">
        <f>ROUND(Z77+IF(F78="ASTM A416",L78,0),3)</f>
        <v/>
      </c>
      <c r="AA78" s="11">
        <f>IF(ROUNDUP(P78/20,0)&gt;ROUNDUP(P77/20,0),"Lần " &amp; ROUNDUP(P78/20,0),"")</f>
        <v/>
      </c>
      <c r="AB78" s="11">
        <f>IF(ROUNDUP(Q78/20,0)&gt;ROUNDUP(Q77/20,0),"Lần " &amp; ROUNDUP(Q78/20,0),"")</f>
        <v/>
      </c>
      <c r="AC78" s="11">
        <f>IF(ROUNDUP(R78/20,0)&gt;ROUNDUP(R77/20,0),"Lần " &amp; ROUNDUP(R78/20,0),"")</f>
        <v/>
      </c>
      <c r="AD78" s="11">
        <f>IF(ROUNDUP(S78/20,0)&gt;ROUNDUP(S77/20,0),"Lần " &amp; ROUNDUP(S78/20,0),"")</f>
        <v/>
      </c>
      <c r="AE78" s="11">
        <f>IF(ROUNDUP(T78/20,0)&gt;ROUNDUP(T77/20,0),"Lần " &amp; ROUNDUP(T78/20,0),"")</f>
        <v/>
      </c>
      <c r="AF78" s="11">
        <f>IF(ROUNDUP(U78/20,0)&gt;ROUNDUP(U77/20,0),"Lần " &amp; ROUNDUP(U78/20,0),"")</f>
        <v/>
      </c>
      <c r="AG78" s="11">
        <f>IF(ROUNDUP(V78/20,0)&gt;ROUNDUP(V77/20,0),"Lần " &amp; ROUNDUP(V78/20,0),"")</f>
        <v/>
      </c>
      <c r="AH78" s="11">
        <f>IF(ROUNDUP(W78/20,0)&gt;ROUNDUP(W77/20,0),"Lần " &amp; ROUNDUP(W78/20,0),"")</f>
        <v/>
      </c>
      <c r="AI78" s="11">
        <f>IF(ROUNDUP(X78/20,0)&gt;ROUNDUP(X77/20,0),"Lần " &amp; ROUNDUP(X78/20,0),"")</f>
        <v/>
      </c>
      <c r="AJ78" s="11">
        <f>IF(ROUNDUP(Y78/20,0)&gt;ROUNDUP(Y77/20,0),"Lần " &amp; ROUNDUP(Y78/20,0),"")</f>
        <v/>
      </c>
      <c r="AK78" s="11">
        <f>IF(ROUNDUP(Z78/20,0)&gt;ROUNDUP(Z77/20,0),"Lần " &amp; ROUNDUP(Z78/20,0),"")</f>
        <v/>
      </c>
      <c r="AL78" s="6" t="n"/>
      <c r="AN78" t="inlineStr">
        <is>
          <t>Than</t>
        </is>
      </c>
      <c r="AO78" t="n">
        <v>39</v>
      </c>
    </row>
    <row r="79" ht="19" customHeight="1">
      <c r="A79" s="6" t="n">
        <v>75</v>
      </c>
      <c r="B79" s="7" t="inlineStr">
        <is>
          <t>Mố M2</t>
        </is>
      </c>
      <c r="C79" s="7" t="inlineStr">
        <is>
          <t>Mố M2 (tr.40)</t>
        </is>
      </c>
      <c r="D79" s="18" t="inlineStr">
        <is>
          <t>F4</t>
        </is>
      </c>
      <c r="E79" s="19" t="n">
        <v>18</v>
      </c>
      <c r="F79" s="6" t="inlineStr">
        <is>
          <t>CB400-V</t>
        </is>
      </c>
      <c r="G79" s="7" t="inlineStr">
        <is>
          <t>S06</t>
        </is>
      </c>
      <c r="H79" s="20" t="n">
        <v>13.571</v>
      </c>
      <c r="I79" s="21" t="n">
        <v>30</v>
      </c>
      <c r="J79" s="22" t="n">
        <v>1.998</v>
      </c>
      <c r="K79" s="9">
        <f>ROUND(H79*I79*J79, 2)</f>
        <v/>
      </c>
      <c r="L79" s="23">
        <f>ROUND(K79/1000, 3)</f>
        <v/>
      </c>
      <c r="M79" s="8">
        <f>IF(AO79="","",IF(INDEX(Theo_Doi_Tan_Suat_Be_Tong!$C:$C,AO79)="","",INDEX(Theo_Doi_Tan_Suat_Be_Tong!$C:$C,AO79)-VLOOKUP(AN79,$AQ$2:$AR$7,2,FALSE)))</f>
        <v/>
      </c>
      <c r="N79" s="6" t="n"/>
      <c r="O79" s="24">
        <f>IF(ROUNDUP(T79/20,0)&gt;ROUNDUP(T78/20,0),"TN Ø18 (Lần " &amp; ROUNDUP(T79/20,0) &amp; ")","")</f>
        <v/>
      </c>
      <c r="P79" s="20">
        <f>ROUND(P78+IF(AND(E79&lt;=10,F79&lt;&gt;"ASTM A416"),L79,0),3)</f>
        <v/>
      </c>
      <c r="Q79" s="20">
        <f>ROUND(Q78+IF(AND(E79=12,F79&lt;&gt;"ASTM A416"),L79,0),3)</f>
        <v/>
      </c>
      <c r="R79" s="20">
        <f>ROUND(R78+IF(AND(E79=14,F79&lt;&gt;"ASTM A416"),L79,0),3)</f>
        <v/>
      </c>
      <c r="S79" s="20">
        <f>ROUND(S78+IF(AND(E79=16,F79&lt;&gt;"ASTM A416"),L79,0),3)</f>
        <v/>
      </c>
      <c r="T79" s="20">
        <f>ROUND(T78+IF(AND(E79=18,F79&lt;&gt;"ASTM A416"),L79,0),3)</f>
        <v/>
      </c>
      <c r="U79" s="20">
        <f>ROUND(U78+IF(AND(E79=20,F79&lt;&gt;"ASTM A416"),L79,0),3)</f>
        <v/>
      </c>
      <c r="V79" s="20">
        <f>ROUND(V78+IF(AND(E79=22,F79&lt;&gt;"ASTM A416"),L79,0),3)</f>
        <v/>
      </c>
      <c r="W79" s="20">
        <f>ROUND(W78+IF(AND(E79=25,F79&lt;&gt;"ASTM A416"),L79,0),3)</f>
        <v/>
      </c>
      <c r="X79" s="20">
        <f>ROUND(X78+IF(AND(E79=28,F79&lt;&gt;"ASTM A416"),L79,0),3)</f>
        <v/>
      </c>
      <c r="Y79" s="20">
        <f>ROUND(Y78+IF(AND(E79=32,F79&lt;&gt;"ASTM A416"),L79,0),3)</f>
        <v/>
      </c>
      <c r="Z79" s="20">
        <f>ROUND(Z78+IF(F79="ASTM A416",L79,0),3)</f>
        <v/>
      </c>
      <c r="AA79" s="11">
        <f>IF(ROUNDUP(P79/20,0)&gt;ROUNDUP(P78/20,0),"Lần " &amp; ROUNDUP(P79/20,0),"")</f>
        <v/>
      </c>
      <c r="AB79" s="11">
        <f>IF(ROUNDUP(Q79/20,0)&gt;ROUNDUP(Q78/20,0),"Lần " &amp; ROUNDUP(Q79/20,0),"")</f>
        <v/>
      </c>
      <c r="AC79" s="11">
        <f>IF(ROUNDUP(R79/20,0)&gt;ROUNDUP(R78/20,0),"Lần " &amp; ROUNDUP(R79/20,0),"")</f>
        <v/>
      </c>
      <c r="AD79" s="11">
        <f>IF(ROUNDUP(S79/20,0)&gt;ROUNDUP(S78/20,0),"Lần " &amp; ROUNDUP(S79/20,0),"")</f>
        <v/>
      </c>
      <c r="AE79" s="11">
        <f>IF(ROUNDUP(T79/20,0)&gt;ROUNDUP(T78/20,0),"Lần " &amp; ROUNDUP(T79/20,0),"")</f>
        <v/>
      </c>
      <c r="AF79" s="11">
        <f>IF(ROUNDUP(U79/20,0)&gt;ROUNDUP(U78/20,0),"Lần " &amp; ROUNDUP(U79/20,0),"")</f>
        <v/>
      </c>
      <c r="AG79" s="11">
        <f>IF(ROUNDUP(V79/20,0)&gt;ROUNDUP(V78/20,0),"Lần " &amp; ROUNDUP(V79/20,0),"")</f>
        <v/>
      </c>
      <c r="AH79" s="11">
        <f>IF(ROUNDUP(W79/20,0)&gt;ROUNDUP(W78/20,0),"Lần " &amp; ROUNDUP(W79/20,0),"")</f>
        <v/>
      </c>
      <c r="AI79" s="11">
        <f>IF(ROUNDUP(X79/20,0)&gt;ROUNDUP(X78/20,0),"Lần " &amp; ROUNDUP(X79/20,0),"")</f>
        <v/>
      </c>
      <c r="AJ79" s="11">
        <f>IF(ROUNDUP(Y79/20,0)&gt;ROUNDUP(Y78/20,0),"Lần " &amp; ROUNDUP(Y79/20,0),"")</f>
        <v/>
      </c>
      <c r="AK79" s="11">
        <f>IF(ROUNDUP(Z79/20,0)&gt;ROUNDUP(Z78/20,0),"Lần " &amp; ROUNDUP(Z79/20,0),"")</f>
        <v/>
      </c>
      <c r="AL79" s="6" t="n"/>
      <c r="AN79" t="inlineStr">
        <is>
          <t>Than</t>
        </is>
      </c>
      <c r="AO79" t="n">
        <v>39</v>
      </c>
    </row>
    <row r="80" ht="19" customHeight="1">
      <c r="A80" s="6" t="n">
        <v>76</v>
      </c>
      <c r="B80" s="7" t="inlineStr">
        <is>
          <t>Mố M2</t>
        </is>
      </c>
      <c r="C80" s="7" t="inlineStr">
        <is>
          <t>Mố M2 (tr.40)</t>
        </is>
      </c>
      <c r="D80" s="18" t="inlineStr">
        <is>
          <t>F5</t>
        </is>
      </c>
      <c r="E80" s="19" t="n">
        <v>16</v>
      </c>
      <c r="F80" s="6" t="inlineStr">
        <is>
          <t>CB400-V</t>
        </is>
      </c>
      <c r="G80" s="7" t="inlineStr">
        <is>
          <t>S01</t>
        </is>
      </c>
      <c r="H80" s="20" t="n">
        <v>5.85</v>
      </c>
      <c r="I80" s="21" t="n">
        <v>16</v>
      </c>
      <c r="J80" s="22" t="n">
        <v>1.578</v>
      </c>
      <c r="K80" s="9">
        <f>ROUND(H80*I80*J80, 2)</f>
        <v/>
      </c>
      <c r="L80" s="23">
        <f>ROUND(K80/1000, 3)</f>
        <v/>
      </c>
      <c r="M80" s="8">
        <f>IF(AO80="","",IF(INDEX(Theo_Doi_Tan_Suat_Be_Tong!$C:$C,AO80)="","",INDEX(Theo_Doi_Tan_Suat_Be_Tong!$C:$C,AO80)-VLOOKUP(AN80,$AQ$2:$AR$7,2,FALSE)))</f>
        <v/>
      </c>
      <c r="N80" s="6" t="n"/>
      <c r="O80" s="24">
        <f>IF(ROUNDUP(S80/20,0)&gt;ROUNDUP(S79/20,0),"TN Ø16 (Lần " &amp; ROUNDUP(S80/20,0) &amp; ")","")</f>
        <v/>
      </c>
      <c r="P80" s="20">
        <f>ROUND(P79+IF(AND(E80&lt;=10,F80&lt;&gt;"ASTM A416"),L80,0),3)</f>
        <v/>
      </c>
      <c r="Q80" s="20">
        <f>ROUND(Q79+IF(AND(E80=12,F80&lt;&gt;"ASTM A416"),L80,0),3)</f>
        <v/>
      </c>
      <c r="R80" s="20">
        <f>ROUND(R79+IF(AND(E80=14,F80&lt;&gt;"ASTM A416"),L80,0),3)</f>
        <v/>
      </c>
      <c r="S80" s="20">
        <f>ROUND(S79+IF(AND(E80=16,F80&lt;&gt;"ASTM A416"),L80,0),3)</f>
        <v/>
      </c>
      <c r="T80" s="20">
        <f>ROUND(T79+IF(AND(E80=18,F80&lt;&gt;"ASTM A416"),L80,0),3)</f>
        <v/>
      </c>
      <c r="U80" s="20">
        <f>ROUND(U79+IF(AND(E80=20,F80&lt;&gt;"ASTM A416"),L80,0),3)</f>
        <v/>
      </c>
      <c r="V80" s="20">
        <f>ROUND(V79+IF(AND(E80=22,F80&lt;&gt;"ASTM A416"),L80,0),3)</f>
        <v/>
      </c>
      <c r="W80" s="20">
        <f>ROUND(W79+IF(AND(E80=25,F80&lt;&gt;"ASTM A416"),L80,0),3)</f>
        <v/>
      </c>
      <c r="X80" s="20">
        <f>ROUND(X79+IF(AND(E80=28,F80&lt;&gt;"ASTM A416"),L80,0),3)</f>
        <v/>
      </c>
      <c r="Y80" s="20">
        <f>ROUND(Y79+IF(AND(E80=32,F80&lt;&gt;"ASTM A416"),L80,0),3)</f>
        <v/>
      </c>
      <c r="Z80" s="20">
        <f>ROUND(Z79+IF(F80="ASTM A416",L80,0),3)</f>
        <v/>
      </c>
      <c r="AA80" s="11">
        <f>IF(ROUNDUP(P80/20,0)&gt;ROUNDUP(P79/20,0),"Lần " &amp; ROUNDUP(P80/20,0),"")</f>
        <v/>
      </c>
      <c r="AB80" s="11">
        <f>IF(ROUNDUP(Q80/20,0)&gt;ROUNDUP(Q79/20,0),"Lần " &amp; ROUNDUP(Q80/20,0),"")</f>
        <v/>
      </c>
      <c r="AC80" s="11">
        <f>IF(ROUNDUP(R80/20,0)&gt;ROUNDUP(R79/20,0),"Lần " &amp; ROUNDUP(R80/20,0),"")</f>
        <v/>
      </c>
      <c r="AD80" s="11">
        <f>IF(ROUNDUP(S80/20,0)&gt;ROUNDUP(S79/20,0),"Lần " &amp; ROUNDUP(S80/20,0),"")</f>
        <v/>
      </c>
      <c r="AE80" s="11">
        <f>IF(ROUNDUP(T80/20,0)&gt;ROUNDUP(T79/20,0),"Lần " &amp; ROUNDUP(T80/20,0),"")</f>
        <v/>
      </c>
      <c r="AF80" s="11">
        <f>IF(ROUNDUP(U80/20,0)&gt;ROUNDUP(U79/20,0),"Lần " &amp; ROUNDUP(U80/20,0),"")</f>
        <v/>
      </c>
      <c r="AG80" s="11">
        <f>IF(ROUNDUP(V80/20,0)&gt;ROUNDUP(V79/20,0),"Lần " &amp; ROUNDUP(V80/20,0),"")</f>
        <v/>
      </c>
      <c r="AH80" s="11">
        <f>IF(ROUNDUP(W80/20,0)&gt;ROUNDUP(W79/20,0),"Lần " &amp; ROUNDUP(W80/20,0),"")</f>
        <v/>
      </c>
      <c r="AI80" s="11">
        <f>IF(ROUNDUP(X80/20,0)&gt;ROUNDUP(X79/20,0),"Lần " &amp; ROUNDUP(X80/20,0),"")</f>
        <v/>
      </c>
      <c r="AJ80" s="11">
        <f>IF(ROUNDUP(Y80/20,0)&gt;ROUNDUP(Y79/20,0),"Lần " &amp; ROUNDUP(Y80/20,0),"")</f>
        <v/>
      </c>
      <c r="AK80" s="11">
        <f>IF(ROUNDUP(Z80/20,0)&gt;ROUNDUP(Z79/20,0),"Lần " &amp; ROUNDUP(Z80/20,0),"")</f>
        <v/>
      </c>
      <c r="AL80" s="6" t="n"/>
      <c r="AN80" t="inlineStr">
        <is>
          <t>Than</t>
        </is>
      </c>
      <c r="AO80" t="n">
        <v>39</v>
      </c>
    </row>
    <row r="81" ht="20" customHeight="1">
      <c r="A81" s="6" t="n">
        <v>77</v>
      </c>
      <c r="B81" s="7" t="inlineStr">
        <is>
          <t>Mố M2</t>
        </is>
      </c>
      <c r="C81" s="7" t="inlineStr">
        <is>
          <t>Mố M2 (tr.40)</t>
        </is>
      </c>
      <c r="D81" s="18" t="inlineStr">
        <is>
          <t>F6</t>
        </is>
      </c>
      <c r="E81" s="19" t="n">
        <v>16</v>
      </c>
      <c r="F81" s="6" t="inlineStr">
        <is>
          <t>CB400-V</t>
        </is>
      </c>
      <c r="G81" s="7" t="inlineStr">
        <is>
          <t>S06</t>
        </is>
      </c>
      <c r="H81" s="20" t="n">
        <v>1.99</v>
      </c>
      <c r="I81" s="21" t="n">
        <v>188</v>
      </c>
      <c r="J81" s="22" t="n">
        <v>1.578</v>
      </c>
      <c r="K81" s="9">
        <f>ROUND(H81*I81*J81, 2)</f>
        <v/>
      </c>
      <c r="L81" s="23">
        <f>ROUND(K81/1000, 3)</f>
        <v/>
      </c>
      <c r="M81" s="8">
        <f>IF(AO81="","",IF(INDEX(Theo_Doi_Tan_Suat_Be_Tong!$C:$C,AO81)="","",INDEX(Theo_Doi_Tan_Suat_Be_Tong!$C:$C,AO81)-VLOOKUP(AN81,$AQ$2:$AR$7,2,FALSE)))</f>
        <v/>
      </c>
      <c r="N81" s="6" t="n"/>
      <c r="O81" s="24">
        <f>IF(ROUNDUP(S81/20,0)&gt;ROUNDUP(S80/20,0),"TN Ø16 (Lần " &amp; ROUNDUP(S81/20,0) &amp; ")","")</f>
        <v/>
      </c>
      <c r="P81" s="20">
        <f>ROUND(P80+IF(AND(E81&lt;=10,F81&lt;&gt;"ASTM A416"),L81,0),3)</f>
        <v/>
      </c>
      <c r="Q81" s="20">
        <f>ROUND(Q80+IF(AND(E81=12,F81&lt;&gt;"ASTM A416"),L81,0),3)</f>
        <v/>
      </c>
      <c r="R81" s="20">
        <f>ROUND(R80+IF(AND(E81=14,F81&lt;&gt;"ASTM A416"),L81,0),3)</f>
        <v/>
      </c>
      <c r="S81" s="20">
        <f>ROUND(S80+IF(AND(E81=16,F81&lt;&gt;"ASTM A416"),L81,0),3)</f>
        <v/>
      </c>
      <c r="T81" s="20">
        <f>ROUND(T80+IF(AND(E81=18,F81&lt;&gt;"ASTM A416"),L81,0),3)</f>
        <v/>
      </c>
      <c r="U81" s="20">
        <f>ROUND(U80+IF(AND(E81=20,F81&lt;&gt;"ASTM A416"),L81,0),3)</f>
        <v/>
      </c>
      <c r="V81" s="20">
        <f>ROUND(V80+IF(AND(E81=22,F81&lt;&gt;"ASTM A416"),L81,0),3)</f>
        <v/>
      </c>
      <c r="W81" s="20">
        <f>ROUND(W80+IF(AND(E81=25,F81&lt;&gt;"ASTM A416"),L81,0),3)</f>
        <v/>
      </c>
      <c r="X81" s="20">
        <f>ROUND(X80+IF(AND(E81=28,F81&lt;&gt;"ASTM A416"),L81,0),3)</f>
        <v/>
      </c>
      <c r="Y81" s="20">
        <f>ROUND(Y80+IF(AND(E81=32,F81&lt;&gt;"ASTM A416"),L81,0),3)</f>
        <v/>
      </c>
      <c r="Z81" s="20">
        <f>ROUND(Z80+IF(F81="ASTM A416",L81,0),3)</f>
        <v/>
      </c>
      <c r="AA81" s="11">
        <f>IF(ROUNDUP(P81/20,0)&gt;ROUNDUP(P80/20,0),"Lần " &amp; ROUNDUP(P81/20,0),"")</f>
        <v/>
      </c>
      <c r="AB81" s="11">
        <f>IF(ROUNDUP(Q81/20,0)&gt;ROUNDUP(Q80/20,0),"Lần " &amp; ROUNDUP(Q81/20,0),"")</f>
        <v/>
      </c>
      <c r="AC81" s="11">
        <f>IF(ROUNDUP(R81/20,0)&gt;ROUNDUP(R80/20,0),"Lần " &amp; ROUNDUP(R81/20,0),"")</f>
        <v/>
      </c>
      <c r="AD81" s="11">
        <f>IF(ROUNDUP(S81/20,0)&gt;ROUNDUP(S80/20,0),"Lần " &amp; ROUNDUP(S81/20,0),"")</f>
        <v/>
      </c>
      <c r="AE81" s="11">
        <f>IF(ROUNDUP(T81/20,0)&gt;ROUNDUP(T80/20,0),"Lần " &amp; ROUNDUP(T81/20,0),"")</f>
        <v/>
      </c>
      <c r="AF81" s="11">
        <f>IF(ROUNDUP(U81/20,0)&gt;ROUNDUP(U80/20,0),"Lần " &amp; ROUNDUP(U81/20,0),"")</f>
        <v/>
      </c>
      <c r="AG81" s="11">
        <f>IF(ROUNDUP(V81/20,0)&gt;ROUNDUP(V80/20,0),"Lần " &amp; ROUNDUP(V81/20,0),"")</f>
        <v/>
      </c>
      <c r="AH81" s="11">
        <f>IF(ROUNDUP(W81/20,0)&gt;ROUNDUP(W80/20,0),"Lần " &amp; ROUNDUP(W81/20,0),"")</f>
        <v/>
      </c>
      <c r="AI81" s="11">
        <f>IF(ROUNDUP(X81/20,0)&gt;ROUNDUP(X80/20,0),"Lần " &amp; ROUNDUP(X81/20,0),"")</f>
        <v/>
      </c>
      <c r="AJ81" s="11">
        <f>IF(ROUNDUP(Y81/20,0)&gt;ROUNDUP(Y80/20,0),"Lần " &amp; ROUNDUP(Y81/20,0),"")</f>
        <v/>
      </c>
      <c r="AK81" s="11">
        <f>IF(ROUNDUP(Z81/20,0)&gt;ROUNDUP(Z80/20,0),"Lần " &amp; ROUNDUP(Z81/20,0),"")</f>
        <v/>
      </c>
      <c r="AL81" s="6" t="n"/>
      <c r="AN81" t="inlineStr">
        <is>
          <t>Than</t>
        </is>
      </c>
      <c r="AO81" t="n">
        <v>39</v>
      </c>
    </row>
    <row r="82" ht="19" customHeight="1">
      <c r="A82" s="6" t="n">
        <v>78</v>
      </c>
      <c r="B82" s="7" t="inlineStr">
        <is>
          <t>Mố M2</t>
        </is>
      </c>
      <c r="C82" s="7" t="inlineStr">
        <is>
          <t>Mố M2 (tr.40)</t>
        </is>
      </c>
      <c r="D82" s="18" t="inlineStr">
        <is>
          <t>F7</t>
        </is>
      </c>
      <c r="E82" s="19" t="n">
        <v>16</v>
      </c>
      <c r="F82" s="6" t="inlineStr">
        <is>
          <t>CB400-V</t>
        </is>
      </c>
      <c r="G82" s="7" t="inlineStr">
        <is>
          <t>S01</t>
        </is>
      </c>
      <c r="H82" s="20" t="n">
        <v>13.005</v>
      </c>
      <c r="I82" s="21" t="n">
        <v>16</v>
      </c>
      <c r="J82" s="22" t="n">
        <v>1.578</v>
      </c>
      <c r="K82" s="9">
        <f>ROUND(H82*I82*J82, 2)</f>
        <v/>
      </c>
      <c r="L82" s="23">
        <f>ROUND(K82/1000, 3)</f>
        <v/>
      </c>
      <c r="M82" s="8">
        <f>IF(AO82="","",IF(INDEX(Theo_Doi_Tan_Suat_Be_Tong!$C:$C,AO82)="","",INDEX(Theo_Doi_Tan_Suat_Be_Tong!$C:$C,AO82)-VLOOKUP(AN82,$AQ$2:$AR$7,2,FALSE)))</f>
        <v/>
      </c>
      <c r="N82" s="6" t="n"/>
      <c r="O82" s="24">
        <f>IF(ROUNDUP(S82/20,0)&gt;ROUNDUP(S81/20,0),"TN Ø16 (Lần " &amp; ROUNDUP(S82/20,0) &amp; ")","")</f>
        <v/>
      </c>
      <c r="P82" s="20">
        <f>ROUND(P81+IF(AND(E82&lt;=10,F82&lt;&gt;"ASTM A416"),L82,0),3)</f>
        <v/>
      </c>
      <c r="Q82" s="20">
        <f>ROUND(Q81+IF(AND(E82=12,F82&lt;&gt;"ASTM A416"),L82,0),3)</f>
        <v/>
      </c>
      <c r="R82" s="20">
        <f>ROUND(R81+IF(AND(E82=14,F82&lt;&gt;"ASTM A416"),L82,0),3)</f>
        <v/>
      </c>
      <c r="S82" s="20">
        <f>ROUND(S81+IF(AND(E82=16,F82&lt;&gt;"ASTM A416"),L82,0),3)</f>
        <v/>
      </c>
      <c r="T82" s="20">
        <f>ROUND(T81+IF(AND(E82=18,F82&lt;&gt;"ASTM A416"),L82,0),3)</f>
        <v/>
      </c>
      <c r="U82" s="20">
        <f>ROUND(U81+IF(AND(E82=20,F82&lt;&gt;"ASTM A416"),L82,0),3)</f>
        <v/>
      </c>
      <c r="V82" s="20">
        <f>ROUND(V81+IF(AND(E82=22,F82&lt;&gt;"ASTM A416"),L82,0),3)</f>
        <v/>
      </c>
      <c r="W82" s="20">
        <f>ROUND(W81+IF(AND(E82=25,F82&lt;&gt;"ASTM A416"),L82,0),3)</f>
        <v/>
      </c>
      <c r="X82" s="20">
        <f>ROUND(X81+IF(AND(E82=28,F82&lt;&gt;"ASTM A416"),L82,0),3)</f>
        <v/>
      </c>
      <c r="Y82" s="20">
        <f>ROUND(Y81+IF(AND(E82=32,F82&lt;&gt;"ASTM A416"),L82,0),3)</f>
        <v/>
      </c>
      <c r="Z82" s="20">
        <f>ROUND(Z81+IF(F82="ASTM A416",L82,0),3)</f>
        <v/>
      </c>
      <c r="AA82" s="11">
        <f>IF(ROUNDUP(P82/20,0)&gt;ROUNDUP(P81/20,0),"Lần " &amp; ROUNDUP(P82/20,0),"")</f>
        <v/>
      </c>
      <c r="AB82" s="11">
        <f>IF(ROUNDUP(Q82/20,0)&gt;ROUNDUP(Q81/20,0),"Lần " &amp; ROUNDUP(Q82/20,0),"")</f>
        <v/>
      </c>
      <c r="AC82" s="11">
        <f>IF(ROUNDUP(R82/20,0)&gt;ROUNDUP(R81/20,0),"Lần " &amp; ROUNDUP(R82/20,0),"")</f>
        <v/>
      </c>
      <c r="AD82" s="11">
        <f>IF(ROUNDUP(S82/20,0)&gt;ROUNDUP(S81/20,0),"Lần " &amp; ROUNDUP(S82/20,0),"")</f>
        <v/>
      </c>
      <c r="AE82" s="11">
        <f>IF(ROUNDUP(T82/20,0)&gt;ROUNDUP(T81/20,0),"Lần " &amp; ROUNDUP(T82/20,0),"")</f>
        <v/>
      </c>
      <c r="AF82" s="11">
        <f>IF(ROUNDUP(U82/20,0)&gt;ROUNDUP(U81/20,0),"Lần " &amp; ROUNDUP(U82/20,0),"")</f>
        <v/>
      </c>
      <c r="AG82" s="11">
        <f>IF(ROUNDUP(V82/20,0)&gt;ROUNDUP(V81/20,0),"Lần " &amp; ROUNDUP(V82/20,0),"")</f>
        <v/>
      </c>
      <c r="AH82" s="11">
        <f>IF(ROUNDUP(W82/20,0)&gt;ROUNDUP(W81/20,0),"Lần " &amp; ROUNDUP(W82/20,0),"")</f>
        <v/>
      </c>
      <c r="AI82" s="11">
        <f>IF(ROUNDUP(X82/20,0)&gt;ROUNDUP(X81/20,0),"Lần " &amp; ROUNDUP(X82/20,0),"")</f>
        <v/>
      </c>
      <c r="AJ82" s="11">
        <f>IF(ROUNDUP(Y82/20,0)&gt;ROUNDUP(Y81/20,0),"Lần " &amp; ROUNDUP(Y82/20,0),"")</f>
        <v/>
      </c>
      <c r="AK82" s="11">
        <f>IF(ROUNDUP(Z82/20,0)&gt;ROUNDUP(Z81/20,0),"Lần " &amp; ROUNDUP(Z82/20,0),"")</f>
        <v/>
      </c>
      <c r="AL82" s="6" t="n"/>
      <c r="AN82" t="inlineStr">
        <is>
          <t>Than</t>
        </is>
      </c>
      <c r="AO82" t="n">
        <v>39</v>
      </c>
    </row>
    <row r="83" ht="19" customHeight="1">
      <c r="A83" s="6" t="n">
        <v>79</v>
      </c>
      <c r="B83" s="7" t="inlineStr">
        <is>
          <t>Mố M2</t>
        </is>
      </c>
      <c r="C83" s="7" t="inlineStr">
        <is>
          <t>Mố M2 (tr.40)</t>
        </is>
      </c>
      <c r="D83" s="18" t="inlineStr">
        <is>
          <t>F8</t>
        </is>
      </c>
      <c r="E83" s="19" t="n">
        <v>16</v>
      </c>
      <c r="F83" s="6" t="inlineStr">
        <is>
          <t>CB400-V</t>
        </is>
      </c>
      <c r="G83" s="7" t="inlineStr">
        <is>
          <t>S06</t>
        </is>
      </c>
      <c r="H83" s="20" t="n">
        <v>1.99</v>
      </c>
      <c r="I83" s="21" t="n">
        <v>140</v>
      </c>
      <c r="J83" s="22" t="n">
        <v>1.578</v>
      </c>
      <c r="K83" s="9">
        <f>ROUND(H83*I83*J83, 2)</f>
        <v/>
      </c>
      <c r="L83" s="23">
        <f>ROUND(K83/1000, 3)</f>
        <v/>
      </c>
      <c r="M83" s="8">
        <f>IF(AO83="","",IF(INDEX(Theo_Doi_Tan_Suat_Be_Tong!$C:$C,AO83)="","",INDEX(Theo_Doi_Tan_Suat_Be_Tong!$C:$C,AO83)-VLOOKUP(AN83,$AQ$2:$AR$7,2,FALSE)))</f>
        <v/>
      </c>
      <c r="N83" s="6" t="n"/>
      <c r="O83" s="24">
        <f>IF(ROUNDUP(S83/20,0)&gt;ROUNDUP(S82/20,0),"TN Ø16 (Lần " &amp; ROUNDUP(S83/20,0) &amp; ")","")</f>
        <v/>
      </c>
      <c r="P83" s="20">
        <f>ROUND(P82+IF(AND(E83&lt;=10,F83&lt;&gt;"ASTM A416"),L83,0),3)</f>
        <v/>
      </c>
      <c r="Q83" s="20">
        <f>ROUND(Q82+IF(AND(E83=12,F83&lt;&gt;"ASTM A416"),L83,0),3)</f>
        <v/>
      </c>
      <c r="R83" s="20">
        <f>ROUND(R82+IF(AND(E83=14,F83&lt;&gt;"ASTM A416"),L83,0),3)</f>
        <v/>
      </c>
      <c r="S83" s="20">
        <f>ROUND(S82+IF(AND(E83=16,F83&lt;&gt;"ASTM A416"),L83,0),3)</f>
        <v/>
      </c>
      <c r="T83" s="20">
        <f>ROUND(T82+IF(AND(E83=18,F83&lt;&gt;"ASTM A416"),L83,0),3)</f>
        <v/>
      </c>
      <c r="U83" s="20">
        <f>ROUND(U82+IF(AND(E83=20,F83&lt;&gt;"ASTM A416"),L83,0),3)</f>
        <v/>
      </c>
      <c r="V83" s="20">
        <f>ROUND(V82+IF(AND(E83=22,F83&lt;&gt;"ASTM A416"),L83,0),3)</f>
        <v/>
      </c>
      <c r="W83" s="20">
        <f>ROUND(W82+IF(AND(E83=25,F83&lt;&gt;"ASTM A416"),L83,0),3)</f>
        <v/>
      </c>
      <c r="X83" s="20">
        <f>ROUND(X82+IF(AND(E83=28,F83&lt;&gt;"ASTM A416"),L83,0),3)</f>
        <v/>
      </c>
      <c r="Y83" s="20">
        <f>ROUND(Y82+IF(AND(E83=32,F83&lt;&gt;"ASTM A416"),L83,0),3)</f>
        <v/>
      </c>
      <c r="Z83" s="20">
        <f>ROUND(Z82+IF(F83="ASTM A416",L83,0),3)</f>
        <v/>
      </c>
      <c r="AA83" s="11">
        <f>IF(ROUNDUP(P83/20,0)&gt;ROUNDUP(P82/20,0),"Lần " &amp; ROUNDUP(P83/20,0),"")</f>
        <v/>
      </c>
      <c r="AB83" s="11">
        <f>IF(ROUNDUP(Q83/20,0)&gt;ROUNDUP(Q82/20,0),"Lần " &amp; ROUNDUP(Q83/20,0),"")</f>
        <v/>
      </c>
      <c r="AC83" s="11">
        <f>IF(ROUNDUP(R83/20,0)&gt;ROUNDUP(R82/20,0),"Lần " &amp; ROUNDUP(R83/20,0),"")</f>
        <v/>
      </c>
      <c r="AD83" s="11">
        <f>IF(ROUNDUP(S83/20,0)&gt;ROUNDUP(S82/20,0),"Lần " &amp; ROUNDUP(S83/20,0),"")</f>
        <v/>
      </c>
      <c r="AE83" s="11">
        <f>IF(ROUNDUP(T83/20,0)&gt;ROUNDUP(T82/20,0),"Lần " &amp; ROUNDUP(T83/20,0),"")</f>
        <v/>
      </c>
      <c r="AF83" s="11">
        <f>IF(ROUNDUP(U83/20,0)&gt;ROUNDUP(U82/20,0),"Lần " &amp; ROUNDUP(U83/20,0),"")</f>
        <v/>
      </c>
      <c r="AG83" s="11">
        <f>IF(ROUNDUP(V83/20,0)&gt;ROUNDUP(V82/20,0),"Lần " &amp; ROUNDUP(V83/20,0),"")</f>
        <v/>
      </c>
      <c r="AH83" s="11">
        <f>IF(ROUNDUP(W83/20,0)&gt;ROUNDUP(W82/20,0),"Lần " &amp; ROUNDUP(W83/20,0),"")</f>
        <v/>
      </c>
      <c r="AI83" s="11">
        <f>IF(ROUNDUP(X83/20,0)&gt;ROUNDUP(X82/20,0),"Lần " &amp; ROUNDUP(X83/20,0),"")</f>
        <v/>
      </c>
      <c r="AJ83" s="11">
        <f>IF(ROUNDUP(Y83/20,0)&gt;ROUNDUP(Y82/20,0),"Lần " &amp; ROUNDUP(Y83/20,0),"")</f>
        <v/>
      </c>
      <c r="AK83" s="11">
        <f>IF(ROUNDUP(Z83/20,0)&gt;ROUNDUP(Z82/20,0),"Lần " &amp; ROUNDUP(Z83/20,0),"")</f>
        <v/>
      </c>
      <c r="AL83" s="6" t="n"/>
      <c r="AN83" t="inlineStr">
        <is>
          <t>Than</t>
        </is>
      </c>
      <c r="AO83" t="n">
        <v>39</v>
      </c>
    </row>
    <row r="84" ht="19" customHeight="1">
      <c r="A84" s="6" t="n">
        <v>80</v>
      </c>
      <c r="B84" s="7" t="inlineStr">
        <is>
          <t>Mố M2</t>
        </is>
      </c>
      <c r="C84" s="7" t="inlineStr">
        <is>
          <t>Mố M2 (tr.40)</t>
        </is>
      </c>
      <c r="D84" s="18" t="inlineStr">
        <is>
          <t>A1</t>
        </is>
      </c>
      <c r="E84" s="19" t="n">
        <v>28</v>
      </c>
      <c r="F84" s="6" t="inlineStr">
        <is>
          <t>CB400-V</t>
        </is>
      </c>
      <c r="G84" s="7" t="inlineStr">
        <is>
          <t>S02</t>
        </is>
      </c>
      <c r="H84" s="20" t="n">
        <v>8.319000000000001</v>
      </c>
      <c r="I84" s="21" t="n">
        <v>78</v>
      </c>
      <c r="J84" s="22" t="n">
        <v>4.834</v>
      </c>
      <c r="K84" s="9">
        <f>ROUND(H84*I84*J84, 2)</f>
        <v/>
      </c>
      <c r="L84" s="23">
        <f>ROUND(K84/1000, 3)</f>
        <v/>
      </c>
      <c r="M84" s="8">
        <f>IF(AO84="","",IF(INDEX(Theo_Doi_Tan_Suat_Be_Tong!$C:$C,AO84)="","",INDEX(Theo_Doi_Tan_Suat_Be_Tong!$C:$C,AO84)-VLOOKUP(AN84,$AQ$2:$AR$7,2,FALSE)))</f>
        <v/>
      </c>
      <c r="N84" s="6" t="n"/>
      <c r="O84" s="24">
        <f>IF(ROUNDUP(X84/20,0)&gt;ROUNDUP(X83/20,0),"TN Ø28 (Lần " &amp; ROUNDUP(X84/20,0) &amp; ")","")</f>
        <v/>
      </c>
      <c r="P84" s="20">
        <f>ROUND(P83+IF(AND(E84&lt;=10,F84&lt;&gt;"ASTM A416"),L84,0),3)</f>
        <v/>
      </c>
      <c r="Q84" s="20">
        <f>ROUND(Q83+IF(AND(E84=12,F84&lt;&gt;"ASTM A416"),L84,0),3)</f>
        <v/>
      </c>
      <c r="R84" s="20">
        <f>ROUND(R83+IF(AND(E84=14,F84&lt;&gt;"ASTM A416"),L84,0),3)</f>
        <v/>
      </c>
      <c r="S84" s="20">
        <f>ROUND(S83+IF(AND(E84=16,F84&lt;&gt;"ASTM A416"),L84,0),3)</f>
        <v/>
      </c>
      <c r="T84" s="20">
        <f>ROUND(T83+IF(AND(E84=18,F84&lt;&gt;"ASTM A416"),L84,0),3)</f>
        <v/>
      </c>
      <c r="U84" s="20">
        <f>ROUND(U83+IF(AND(E84=20,F84&lt;&gt;"ASTM A416"),L84,0),3)</f>
        <v/>
      </c>
      <c r="V84" s="20">
        <f>ROUND(V83+IF(AND(E84=22,F84&lt;&gt;"ASTM A416"),L84,0),3)</f>
        <v/>
      </c>
      <c r="W84" s="20">
        <f>ROUND(W83+IF(AND(E84=25,F84&lt;&gt;"ASTM A416"),L84,0),3)</f>
        <v/>
      </c>
      <c r="X84" s="20">
        <f>ROUND(X83+IF(AND(E84=28,F84&lt;&gt;"ASTM A416"),L84,0),3)</f>
        <v/>
      </c>
      <c r="Y84" s="20">
        <f>ROUND(Y83+IF(AND(E84=32,F84&lt;&gt;"ASTM A416"),L84,0),3)</f>
        <v/>
      </c>
      <c r="Z84" s="20">
        <f>ROUND(Z83+IF(F84="ASTM A416",L84,0),3)</f>
        <v/>
      </c>
      <c r="AA84" s="11">
        <f>IF(ROUNDUP(P84/20,0)&gt;ROUNDUP(P83/20,0),"Lần " &amp; ROUNDUP(P84/20,0),"")</f>
        <v/>
      </c>
      <c r="AB84" s="11">
        <f>IF(ROUNDUP(Q84/20,0)&gt;ROUNDUP(Q83/20,0),"Lần " &amp; ROUNDUP(Q84/20,0),"")</f>
        <v/>
      </c>
      <c r="AC84" s="11">
        <f>IF(ROUNDUP(R84/20,0)&gt;ROUNDUP(R83/20,0),"Lần " &amp; ROUNDUP(R84/20,0),"")</f>
        <v/>
      </c>
      <c r="AD84" s="11">
        <f>IF(ROUNDUP(S84/20,0)&gt;ROUNDUP(S83/20,0),"Lần " &amp; ROUNDUP(S84/20,0),"")</f>
        <v/>
      </c>
      <c r="AE84" s="11">
        <f>IF(ROUNDUP(T84/20,0)&gt;ROUNDUP(T83/20,0),"Lần " &amp; ROUNDUP(T84/20,0),"")</f>
        <v/>
      </c>
      <c r="AF84" s="11">
        <f>IF(ROUNDUP(U84/20,0)&gt;ROUNDUP(U83/20,0),"Lần " &amp; ROUNDUP(U84/20,0),"")</f>
        <v/>
      </c>
      <c r="AG84" s="11">
        <f>IF(ROUNDUP(V84/20,0)&gt;ROUNDUP(V83/20,0),"Lần " &amp; ROUNDUP(V84/20,0),"")</f>
        <v/>
      </c>
      <c r="AH84" s="11">
        <f>IF(ROUNDUP(W84/20,0)&gt;ROUNDUP(W83/20,0),"Lần " &amp; ROUNDUP(W84/20,0),"")</f>
        <v/>
      </c>
      <c r="AI84" s="11">
        <f>IF(ROUNDUP(X84/20,0)&gt;ROUNDUP(X83/20,0),"Lần " &amp; ROUNDUP(X84/20,0),"")</f>
        <v/>
      </c>
      <c r="AJ84" s="11">
        <f>IF(ROUNDUP(Y84/20,0)&gt;ROUNDUP(Y83/20,0),"Lần " &amp; ROUNDUP(Y84/20,0),"")</f>
        <v/>
      </c>
      <c r="AK84" s="11">
        <f>IF(ROUNDUP(Z84/20,0)&gt;ROUNDUP(Z83/20,0),"Lần " &amp; ROUNDUP(Z84/20,0),"")</f>
        <v/>
      </c>
      <c r="AL84" s="6" t="n"/>
      <c r="AN84" t="inlineStr">
        <is>
          <t>Than</t>
        </is>
      </c>
      <c r="AO84" t="n">
        <v>54</v>
      </c>
    </row>
    <row r="85" ht="19" customHeight="1">
      <c r="A85" s="6" t="n">
        <v>81</v>
      </c>
      <c r="B85" s="7" t="inlineStr">
        <is>
          <t>Mố M2</t>
        </is>
      </c>
      <c r="C85" s="7" t="inlineStr">
        <is>
          <t>Mố M2 (tr.40)</t>
        </is>
      </c>
      <c r="D85" s="18" t="inlineStr">
        <is>
          <t>A2</t>
        </is>
      </c>
      <c r="E85" s="19" t="n">
        <v>16</v>
      </c>
      <c r="F85" s="6" t="inlineStr">
        <is>
          <t>CB400-V</t>
        </is>
      </c>
      <c r="G85" s="7" t="inlineStr">
        <is>
          <t>S06</t>
        </is>
      </c>
      <c r="H85" s="20" t="n">
        <v>13.487</v>
      </c>
      <c r="I85" s="21" t="n">
        <v>41</v>
      </c>
      <c r="J85" s="22" t="n">
        <v>1.578</v>
      </c>
      <c r="K85" s="9">
        <f>ROUND(H85*I85*J85, 2)</f>
        <v/>
      </c>
      <c r="L85" s="23">
        <f>ROUND(K85/1000, 3)</f>
        <v/>
      </c>
      <c r="M85" s="8">
        <f>IF(AO85="","",IF(INDEX(Theo_Doi_Tan_Suat_Be_Tong!$C:$C,AO85)="","",INDEX(Theo_Doi_Tan_Suat_Be_Tong!$C:$C,AO85)-VLOOKUP(AN85,$AQ$2:$AR$7,2,FALSE)))</f>
        <v/>
      </c>
      <c r="N85" s="6" t="n"/>
      <c r="O85" s="24">
        <f>IF(ROUNDUP(S85/20,0)&gt;ROUNDUP(S84/20,0),"TN Ø16 (Lần " &amp; ROUNDUP(S85/20,0) &amp; ")","")</f>
        <v/>
      </c>
      <c r="P85" s="20">
        <f>ROUND(P84+IF(AND(E85&lt;=10,F85&lt;&gt;"ASTM A416"),L85,0),3)</f>
        <v/>
      </c>
      <c r="Q85" s="20">
        <f>ROUND(Q84+IF(AND(E85=12,F85&lt;&gt;"ASTM A416"),L85,0),3)</f>
        <v/>
      </c>
      <c r="R85" s="20">
        <f>ROUND(R84+IF(AND(E85=14,F85&lt;&gt;"ASTM A416"),L85,0),3)</f>
        <v/>
      </c>
      <c r="S85" s="20">
        <f>ROUND(S84+IF(AND(E85=16,F85&lt;&gt;"ASTM A416"),L85,0),3)</f>
        <v/>
      </c>
      <c r="T85" s="20">
        <f>ROUND(T84+IF(AND(E85=18,F85&lt;&gt;"ASTM A416"),L85,0),3)</f>
        <v/>
      </c>
      <c r="U85" s="20">
        <f>ROUND(U84+IF(AND(E85=20,F85&lt;&gt;"ASTM A416"),L85,0),3)</f>
        <v/>
      </c>
      <c r="V85" s="20">
        <f>ROUND(V84+IF(AND(E85=22,F85&lt;&gt;"ASTM A416"),L85,0),3)</f>
        <v/>
      </c>
      <c r="W85" s="20">
        <f>ROUND(W84+IF(AND(E85=25,F85&lt;&gt;"ASTM A416"),L85,0),3)</f>
        <v/>
      </c>
      <c r="X85" s="20">
        <f>ROUND(X84+IF(AND(E85=28,F85&lt;&gt;"ASTM A416"),L85,0),3)</f>
        <v/>
      </c>
      <c r="Y85" s="20">
        <f>ROUND(Y84+IF(AND(E85=32,F85&lt;&gt;"ASTM A416"),L85,0),3)</f>
        <v/>
      </c>
      <c r="Z85" s="20">
        <f>ROUND(Z84+IF(F85="ASTM A416",L85,0),3)</f>
        <v/>
      </c>
      <c r="AA85" s="11">
        <f>IF(ROUNDUP(P85/20,0)&gt;ROUNDUP(P84/20,0),"Lần " &amp; ROUNDUP(P85/20,0),"")</f>
        <v/>
      </c>
      <c r="AB85" s="11">
        <f>IF(ROUNDUP(Q85/20,0)&gt;ROUNDUP(Q84/20,0),"Lần " &amp; ROUNDUP(Q85/20,0),"")</f>
        <v/>
      </c>
      <c r="AC85" s="11">
        <f>IF(ROUNDUP(R85/20,0)&gt;ROUNDUP(R84/20,0),"Lần " &amp; ROUNDUP(R85/20,0),"")</f>
        <v/>
      </c>
      <c r="AD85" s="11">
        <f>IF(ROUNDUP(S85/20,0)&gt;ROUNDUP(S84/20,0),"Lần " &amp; ROUNDUP(S85/20,0),"")</f>
        <v/>
      </c>
      <c r="AE85" s="11">
        <f>IF(ROUNDUP(T85/20,0)&gt;ROUNDUP(T84/20,0),"Lần " &amp; ROUNDUP(T85/20,0),"")</f>
        <v/>
      </c>
      <c r="AF85" s="11">
        <f>IF(ROUNDUP(U85/20,0)&gt;ROUNDUP(U84/20,0),"Lần " &amp; ROUNDUP(U85/20,0),"")</f>
        <v/>
      </c>
      <c r="AG85" s="11">
        <f>IF(ROUNDUP(V85/20,0)&gt;ROUNDUP(V84/20,0),"Lần " &amp; ROUNDUP(V85/20,0),"")</f>
        <v/>
      </c>
      <c r="AH85" s="11">
        <f>IF(ROUNDUP(W85/20,0)&gt;ROUNDUP(W84/20,0),"Lần " &amp; ROUNDUP(W85/20,0),"")</f>
        <v/>
      </c>
      <c r="AI85" s="11">
        <f>IF(ROUNDUP(X85/20,0)&gt;ROUNDUP(X84/20,0),"Lần " &amp; ROUNDUP(X85/20,0),"")</f>
        <v/>
      </c>
      <c r="AJ85" s="11">
        <f>IF(ROUNDUP(Y85/20,0)&gt;ROUNDUP(Y84/20,0),"Lần " &amp; ROUNDUP(Y85/20,0),"")</f>
        <v/>
      </c>
      <c r="AK85" s="11">
        <f>IF(ROUNDUP(Z85/20,0)&gt;ROUNDUP(Z84/20,0),"Lần " &amp; ROUNDUP(Z85/20,0),"")</f>
        <v/>
      </c>
      <c r="AL85" s="6" t="n"/>
      <c r="AN85" t="inlineStr">
        <is>
          <t>Than</t>
        </is>
      </c>
      <c r="AO85" t="n">
        <v>54</v>
      </c>
    </row>
    <row r="86" ht="19" customHeight="1">
      <c r="A86" s="6" t="n">
        <v>82</v>
      </c>
      <c r="B86" s="7" t="inlineStr">
        <is>
          <t>Mố M2</t>
        </is>
      </c>
      <c r="C86" s="7" t="inlineStr">
        <is>
          <t>Mố M2 (tr.40)</t>
        </is>
      </c>
      <c r="D86" s="18" t="inlineStr">
        <is>
          <t>A3</t>
        </is>
      </c>
      <c r="E86" s="19" t="n">
        <v>16</v>
      </c>
      <c r="F86" s="6" t="inlineStr">
        <is>
          <t>CB400-V</t>
        </is>
      </c>
      <c r="G86" s="7" t="inlineStr">
        <is>
          <t>S02</t>
        </is>
      </c>
      <c r="H86" s="20" t="n">
        <v>8.164</v>
      </c>
      <c r="I86" s="21" t="n">
        <v>83</v>
      </c>
      <c r="J86" s="22" t="n">
        <v>1.578</v>
      </c>
      <c r="K86" s="9">
        <f>ROUND(H86*I86*J86, 2)</f>
        <v/>
      </c>
      <c r="L86" s="23">
        <f>ROUND(K86/1000, 3)</f>
        <v/>
      </c>
      <c r="M86" s="8">
        <f>IF(AO86="","",IF(INDEX(Theo_Doi_Tan_Suat_Be_Tong!$C:$C,AO86)="","",INDEX(Theo_Doi_Tan_Suat_Be_Tong!$C:$C,AO86)-VLOOKUP(AN86,$AQ$2:$AR$7,2,FALSE)))</f>
        <v/>
      </c>
      <c r="N86" s="6" t="n"/>
      <c r="O86" s="24">
        <f>IF(ROUNDUP(S86/20,0)&gt;ROUNDUP(S85/20,0),"TN Ø16 (Lần " &amp; ROUNDUP(S86/20,0) &amp; ")","")</f>
        <v/>
      </c>
      <c r="P86" s="20">
        <f>ROUND(P85+IF(AND(E86&lt;=10,F86&lt;&gt;"ASTM A416"),L86,0),3)</f>
        <v/>
      </c>
      <c r="Q86" s="20">
        <f>ROUND(Q85+IF(AND(E86=12,F86&lt;&gt;"ASTM A416"),L86,0),3)</f>
        <v/>
      </c>
      <c r="R86" s="20">
        <f>ROUND(R85+IF(AND(E86=14,F86&lt;&gt;"ASTM A416"),L86,0),3)</f>
        <v/>
      </c>
      <c r="S86" s="20">
        <f>ROUND(S85+IF(AND(E86=16,F86&lt;&gt;"ASTM A416"),L86,0),3)</f>
        <v/>
      </c>
      <c r="T86" s="20">
        <f>ROUND(T85+IF(AND(E86=18,F86&lt;&gt;"ASTM A416"),L86,0),3)</f>
        <v/>
      </c>
      <c r="U86" s="20">
        <f>ROUND(U85+IF(AND(E86=20,F86&lt;&gt;"ASTM A416"),L86,0),3)</f>
        <v/>
      </c>
      <c r="V86" s="20">
        <f>ROUND(V85+IF(AND(E86=22,F86&lt;&gt;"ASTM A416"),L86,0),3)</f>
        <v/>
      </c>
      <c r="W86" s="20">
        <f>ROUND(W85+IF(AND(E86=25,F86&lt;&gt;"ASTM A416"),L86,0),3)</f>
        <v/>
      </c>
      <c r="X86" s="20">
        <f>ROUND(X85+IF(AND(E86=28,F86&lt;&gt;"ASTM A416"),L86,0),3)</f>
        <v/>
      </c>
      <c r="Y86" s="20">
        <f>ROUND(Y85+IF(AND(E86=32,F86&lt;&gt;"ASTM A416"),L86,0),3)</f>
        <v/>
      </c>
      <c r="Z86" s="20">
        <f>ROUND(Z85+IF(F86="ASTM A416",L86,0),3)</f>
        <v/>
      </c>
      <c r="AA86" s="11">
        <f>IF(ROUNDUP(P86/20,0)&gt;ROUNDUP(P85/20,0),"Lần " &amp; ROUNDUP(P86/20,0),"")</f>
        <v/>
      </c>
      <c r="AB86" s="11">
        <f>IF(ROUNDUP(Q86/20,0)&gt;ROUNDUP(Q85/20,0),"Lần " &amp; ROUNDUP(Q86/20,0),"")</f>
        <v/>
      </c>
      <c r="AC86" s="11">
        <f>IF(ROUNDUP(R86/20,0)&gt;ROUNDUP(R85/20,0),"Lần " &amp; ROUNDUP(R86/20,0),"")</f>
        <v/>
      </c>
      <c r="AD86" s="11">
        <f>IF(ROUNDUP(S86/20,0)&gt;ROUNDUP(S85/20,0),"Lần " &amp; ROUNDUP(S86/20,0),"")</f>
        <v/>
      </c>
      <c r="AE86" s="11">
        <f>IF(ROUNDUP(T86/20,0)&gt;ROUNDUP(T85/20,0),"Lần " &amp; ROUNDUP(T86/20,0),"")</f>
        <v/>
      </c>
      <c r="AF86" s="11">
        <f>IF(ROUNDUP(U86/20,0)&gt;ROUNDUP(U85/20,0),"Lần " &amp; ROUNDUP(U86/20,0),"")</f>
        <v/>
      </c>
      <c r="AG86" s="11">
        <f>IF(ROUNDUP(V86/20,0)&gt;ROUNDUP(V85/20,0),"Lần " &amp; ROUNDUP(V86/20,0),"")</f>
        <v/>
      </c>
      <c r="AH86" s="11">
        <f>IF(ROUNDUP(W86/20,0)&gt;ROUNDUP(W85/20,0),"Lần " &amp; ROUNDUP(W86/20,0),"")</f>
        <v/>
      </c>
      <c r="AI86" s="11">
        <f>IF(ROUNDUP(X86/20,0)&gt;ROUNDUP(X85/20,0),"Lần " &amp; ROUNDUP(X86/20,0),"")</f>
        <v/>
      </c>
      <c r="AJ86" s="11">
        <f>IF(ROUNDUP(Y86/20,0)&gt;ROUNDUP(Y85/20,0),"Lần " &amp; ROUNDUP(Y86/20,0),"")</f>
        <v/>
      </c>
      <c r="AK86" s="11">
        <f>IF(ROUNDUP(Z86/20,0)&gt;ROUNDUP(Z85/20,0),"Lần " &amp; ROUNDUP(Z86/20,0),"")</f>
        <v/>
      </c>
      <c r="AL86" s="6" t="n"/>
      <c r="AN86" t="inlineStr">
        <is>
          <t>Than</t>
        </is>
      </c>
      <c r="AO86" t="n">
        <v>54</v>
      </c>
    </row>
    <row r="87" ht="19" customHeight="1">
      <c r="A87" s="6" t="n">
        <v>83</v>
      </c>
      <c r="B87" s="7" t="inlineStr">
        <is>
          <t>Mố M2</t>
        </is>
      </c>
      <c r="C87" s="7" t="inlineStr">
        <is>
          <t>Mố M2 (tr.40)</t>
        </is>
      </c>
      <c r="D87" s="18" t="inlineStr">
        <is>
          <t>A4</t>
        </is>
      </c>
      <c r="E87" s="19" t="n">
        <v>16</v>
      </c>
      <c r="F87" s="6" t="inlineStr">
        <is>
          <t>CB400-V</t>
        </is>
      </c>
      <c r="G87" s="7" t="inlineStr">
        <is>
          <t>S06</t>
        </is>
      </c>
      <c r="H87" s="20" t="n">
        <v>13.487</v>
      </c>
      <c r="I87" s="21" t="n">
        <v>40</v>
      </c>
      <c r="J87" s="22" t="n">
        <v>1.578</v>
      </c>
      <c r="K87" s="9">
        <f>ROUND(H87*I87*J87, 2)</f>
        <v/>
      </c>
      <c r="L87" s="23">
        <f>ROUND(K87/1000, 3)</f>
        <v/>
      </c>
      <c r="M87" s="8">
        <f>IF(AO87="","",IF(INDEX(Theo_Doi_Tan_Suat_Be_Tong!$C:$C,AO87)="","",INDEX(Theo_Doi_Tan_Suat_Be_Tong!$C:$C,AO87)-VLOOKUP(AN87,$AQ$2:$AR$7,2,FALSE)))</f>
        <v/>
      </c>
      <c r="N87" s="6" t="n"/>
      <c r="O87" s="24">
        <f>IF(ROUNDUP(S87/20,0)&gt;ROUNDUP(S86/20,0),"TN Ø16 (Lần " &amp; ROUNDUP(S87/20,0) &amp; ")","")</f>
        <v/>
      </c>
      <c r="P87" s="20">
        <f>ROUND(P86+IF(AND(E87&lt;=10,F87&lt;&gt;"ASTM A416"),L87,0),3)</f>
        <v/>
      </c>
      <c r="Q87" s="20">
        <f>ROUND(Q86+IF(AND(E87=12,F87&lt;&gt;"ASTM A416"),L87,0),3)</f>
        <v/>
      </c>
      <c r="R87" s="20">
        <f>ROUND(R86+IF(AND(E87=14,F87&lt;&gt;"ASTM A416"),L87,0),3)</f>
        <v/>
      </c>
      <c r="S87" s="20">
        <f>ROUND(S86+IF(AND(E87=16,F87&lt;&gt;"ASTM A416"),L87,0),3)</f>
        <v/>
      </c>
      <c r="T87" s="20">
        <f>ROUND(T86+IF(AND(E87=18,F87&lt;&gt;"ASTM A416"),L87,0),3)</f>
        <v/>
      </c>
      <c r="U87" s="20">
        <f>ROUND(U86+IF(AND(E87=20,F87&lt;&gt;"ASTM A416"),L87,0),3)</f>
        <v/>
      </c>
      <c r="V87" s="20">
        <f>ROUND(V86+IF(AND(E87=22,F87&lt;&gt;"ASTM A416"),L87,0),3)</f>
        <v/>
      </c>
      <c r="W87" s="20">
        <f>ROUND(W86+IF(AND(E87=25,F87&lt;&gt;"ASTM A416"),L87,0),3)</f>
        <v/>
      </c>
      <c r="X87" s="20">
        <f>ROUND(X86+IF(AND(E87=28,F87&lt;&gt;"ASTM A416"),L87,0),3)</f>
        <v/>
      </c>
      <c r="Y87" s="20">
        <f>ROUND(Y86+IF(AND(E87=32,F87&lt;&gt;"ASTM A416"),L87,0),3)</f>
        <v/>
      </c>
      <c r="Z87" s="20">
        <f>ROUND(Z86+IF(F87="ASTM A416",L87,0),3)</f>
        <v/>
      </c>
      <c r="AA87" s="11">
        <f>IF(ROUNDUP(P87/20,0)&gt;ROUNDUP(P86/20,0),"Lần " &amp; ROUNDUP(P87/20,0),"")</f>
        <v/>
      </c>
      <c r="AB87" s="11">
        <f>IF(ROUNDUP(Q87/20,0)&gt;ROUNDUP(Q86/20,0),"Lần " &amp; ROUNDUP(Q87/20,0),"")</f>
        <v/>
      </c>
      <c r="AC87" s="11">
        <f>IF(ROUNDUP(R87/20,0)&gt;ROUNDUP(R86/20,0),"Lần " &amp; ROUNDUP(R87/20,0),"")</f>
        <v/>
      </c>
      <c r="AD87" s="11">
        <f>IF(ROUNDUP(S87/20,0)&gt;ROUNDUP(S86/20,0),"Lần " &amp; ROUNDUP(S87/20,0),"")</f>
        <v/>
      </c>
      <c r="AE87" s="11">
        <f>IF(ROUNDUP(T87/20,0)&gt;ROUNDUP(T86/20,0),"Lần " &amp; ROUNDUP(T87/20,0),"")</f>
        <v/>
      </c>
      <c r="AF87" s="11">
        <f>IF(ROUNDUP(U87/20,0)&gt;ROUNDUP(U86/20,0),"Lần " &amp; ROUNDUP(U87/20,0),"")</f>
        <v/>
      </c>
      <c r="AG87" s="11">
        <f>IF(ROUNDUP(V87/20,0)&gt;ROUNDUP(V86/20,0),"Lần " &amp; ROUNDUP(V87/20,0),"")</f>
        <v/>
      </c>
      <c r="AH87" s="11">
        <f>IF(ROUNDUP(W87/20,0)&gt;ROUNDUP(W86/20,0),"Lần " &amp; ROUNDUP(W87/20,0),"")</f>
        <v/>
      </c>
      <c r="AI87" s="11">
        <f>IF(ROUNDUP(X87/20,0)&gt;ROUNDUP(X86/20,0),"Lần " &amp; ROUNDUP(X87/20,0),"")</f>
        <v/>
      </c>
      <c r="AJ87" s="11">
        <f>IF(ROUNDUP(Y87/20,0)&gt;ROUNDUP(Y86/20,0),"Lần " &amp; ROUNDUP(Y87/20,0),"")</f>
        <v/>
      </c>
      <c r="AK87" s="11">
        <f>IF(ROUNDUP(Z87/20,0)&gt;ROUNDUP(Z86/20,0),"Lần " &amp; ROUNDUP(Z87/20,0),"")</f>
        <v/>
      </c>
      <c r="AL87" s="6" t="n"/>
      <c r="AN87" t="inlineStr">
        <is>
          <t>Than</t>
        </is>
      </c>
      <c r="AO87" t="n">
        <v>54</v>
      </c>
    </row>
    <row r="88" ht="19" customHeight="1">
      <c r="A88" s="6" t="n">
        <v>84</v>
      </c>
      <c r="B88" s="7" t="inlineStr">
        <is>
          <t>Mố M2</t>
        </is>
      </c>
      <c r="C88" s="7" t="inlineStr">
        <is>
          <t>Mố M2 (tr.40)</t>
        </is>
      </c>
      <c r="D88" s="18" t="inlineStr">
        <is>
          <t>A4A</t>
        </is>
      </c>
      <c r="E88" s="19" t="n">
        <v>16</v>
      </c>
      <c r="F88" s="6" t="inlineStr">
        <is>
          <t>CB400-V</t>
        </is>
      </c>
      <c r="G88" s="7" t="inlineStr">
        <is>
          <t>S06</t>
        </is>
      </c>
      <c r="H88" s="20" t="n">
        <v>6.485</v>
      </c>
      <c r="I88" s="21" t="n">
        <v>1</v>
      </c>
      <c r="J88" s="22" t="n">
        <v>1.578</v>
      </c>
      <c r="K88" s="9">
        <f>ROUND(H88*I88*J88, 2)</f>
        <v/>
      </c>
      <c r="L88" s="23">
        <f>ROUND(K88/1000, 3)</f>
        <v/>
      </c>
      <c r="M88" s="8">
        <f>IF(AO88="","",IF(INDEX(Theo_Doi_Tan_Suat_Be_Tong!$C:$C,AO88)="","",INDEX(Theo_Doi_Tan_Suat_Be_Tong!$C:$C,AO88)-VLOOKUP(AN88,$AQ$2:$AR$7,2,FALSE)))</f>
        <v/>
      </c>
      <c r="N88" s="6" t="n"/>
      <c r="O88" s="24">
        <f>IF(ROUNDUP(S88/20,0)&gt;ROUNDUP(S87/20,0),"TN Ø16 (Lần " &amp; ROUNDUP(S88/20,0) &amp; ")","")</f>
        <v/>
      </c>
      <c r="P88" s="20">
        <f>ROUND(P87+IF(AND(E88&lt;=10,F88&lt;&gt;"ASTM A416"),L88,0),3)</f>
        <v/>
      </c>
      <c r="Q88" s="20">
        <f>ROUND(Q87+IF(AND(E88=12,F88&lt;&gt;"ASTM A416"),L88,0),3)</f>
        <v/>
      </c>
      <c r="R88" s="20">
        <f>ROUND(R87+IF(AND(E88=14,F88&lt;&gt;"ASTM A416"),L88,0),3)</f>
        <v/>
      </c>
      <c r="S88" s="20">
        <f>ROUND(S87+IF(AND(E88=16,F88&lt;&gt;"ASTM A416"),L88,0),3)</f>
        <v/>
      </c>
      <c r="T88" s="20">
        <f>ROUND(T87+IF(AND(E88=18,F88&lt;&gt;"ASTM A416"),L88,0),3)</f>
        <v/>
      </c>
      <c r="U88" s="20">
        <f>ROUND(U87+IF(AND(E88=20,F88&lt;&gt;"ASTM A416"),L88,0),3)</f>
        <v/>
      </c>
      <c r="V88" s="20">
        <f>ROUND(V87+IF(AND(E88=22,F88&lt;&gt;"ASTM A416"),L88,0),3)</f>
        <v/>
      </c>
      <c r="W88" s="20">
        <f>ROUND(W87+IF(AND(E88=25,F88&lt;&gt;"ASTM A416"),L88,0),3)</f>
        <v/>
      </c>
      <c r="X88" s="20">
        <f>ROUND(X87+IF(AND(E88=28,F88&lt;&gt;"ASTM A416"),L88,0),3)</f>
        <v/>
      </c>
      <c r="Y88" s="20">
        <f>ROUND(Y87+IF(AND(E88=32,F88&lt;&gt;"ASTM A416"),L88,0),3)</f>
        <v/>
      </c>
      <c r="Z88" s="20">
        <f>ROUND(Z87+IF(F88="ASTM A416",L88,0),3)</f>
        <v/>
      </c>
      <c r="AA88" s="11">
        <f>IF(ROUNDUP(P88/20,0)&gt;ROUNDUP(P87/20,0),"Lần " &amp; ROUNDUP(P88/20,0),"")</f>
        <v/>
      </c>
      <c r="AB88" s="11">
        <f>IF(ROUNDUP(Q88/20,0)&gt;ROUNDUP(Q87/20,0),"Lần " &amp; ROUNDUP(Q88/20,0),"")</f>
        <v/>
      </c>
      <c r="AC88" s="11">
        <f>IF(ROUNDUP(R88/20,0)&gt;ROUNDUP(R87/20,0),"Lần " &amp; ROUNDUP(R88/20,0),"")</f>
        <v/>
      </c>
      <c r="AD88" s="11">
        <f>IF(ROUNDUP(S88/20,0)&gt;ROUNDUP(S87/20,0),"Lần " &amp; ROUNDUP(S88/20,0),"")</f>
        <v/>
      </c>
      <c r="AE88" s="11">
        <f>IF(ROUNDUP(T88/20,0)&gt;ROUNDUP(T87/20,0),"Lần " &amp; ROUNDUP(T88/20,0),"")</f>
        <v/>
      </c>
      <c r="AF88" s="11">
        <f>IF(ROUNDUP(U88/20,0)&gt;ROUNDUP(U87/20,0),"Lần " &amp; ROUNDUP(U88/20,0),"")</f>
        <v/>
      </c>
      <c r="AG88" s="11">
        <f>IF(ROUNDUP(V88/20,0)&gt;ROUNDUP(V87/20,0),"Lần " &amp; ROUNDUP(V88/20,0),"")</f>
        <v/>
      </c>
      <c r="AH88" s="11">
        <f>IF(ROUNDUP(W88/20,0)&gt;ROUNDUP(W87/20,0),"Lần " &amp; ROUNDUP(W88/20,0),"")</f>
        <v/>
      </c>
      <c r="AI88" s="11">
        <f>IF(ROUNDUP(X88/20,0)&gt;ROUNDUP(X87/20,0),"Lần " &amp; ROUNDUP(X88/20,0),"")</f>
        <v/>
      </c>
      <c r="AJ88" s="11">
        <f>IF(ROUNDUP(Y88/20,0)&gt;ROUNDUP(Y87/20,0),"Lần " &amp; ROUNDUP(Y88/20,0),"")</f>
        <v/>
      </c>
      <c r="AK88" s="11">
        <f>IF(ROUNDUP(Z88/20,0)&gt;ROUNDUP(Z87/20,0),"Lần " &amp; ROUNDUP(Z88/20,0),"")</f>
        <v/>
      </c>
      <c r="AL88" s="6" t="n"/>
      <c r="AN88" t="inlineStr">
        <is>
          <t>Than</t>
        </is>
      </c>
      <c r="AO88" t="n">
        <v>54</v>
      </c>
    </row>
    <row r="89" ht="19" customHeight="1">
      <c r="A89" s="6" t="n">
        <v>85</v>
      </c>
      <c r="B89" s="7" t="inlineStr">
        <is>
          <t>Mố M2</t>
        </is>
      </c>
      <c r="C89" s="7" t="inlineStr">
        <is>
          <t>Mố M2 (tr.40)</t>
        </is>
      </c>
      <c r="D89" s="18" t="inlineStr">
        <is>
          <t>A5</t>
        </is>
      </c>
      <c r="E89" s="19" t="n">
        <v>16</v>
      </c>
      <c r="F89" s="6" t="inlineStr">
        <is>
          <t>CB400-V</t>
        </is>
      </c>
      <c r="G89" s="7" t="inlineStr">
        <is>
          <t>S06</t>
        </is>
      </c>
      <c r="H89" s="20" t="n">
        <v>13.489</v>
      </c>
      <c r="I89" s="21" t="n">
        <v>7</v>
      </c>
      <c r="J89" s="22" t="n">
        <v>1.578</v>
      </c>
      <c r="K89" s="9">
        <f>ROUND(H89*I89*J89, 2)</f>
        <v/>
      </c>
      <c r="L89" s="23">
        <f>ROUND(K89/1000, 3)</f>
        <v/>
      </c>
      <c r="M89" s="8">
        <f>IF(AO89="","",IF(INDEX(Theo_Doi_Tan_Suat_Be_Tong!$C:$C,AO89)="","",INDEX(Theo_Doi_Tan_Suat_Be_Tong!$C:$C,AO89)-VLOOKUP(AN89,$AQ$2:$AR$7,2,FALSE)))</f>
        <v/>
      </c>
      <c r="N89" s="6" t="n"/>
      <c r="O89" s="24">
        <f>IF(ROUNDUP(S89/20,0)&gt;ROUNDUP(S88/20,0),"TN Ø16 (Lần " &amp; ROUNDUP(S89/20,0) &amp; ")","")</f>
        <v/>
      </c>
      <c r="P89" s="20">
        <f>ROUND(P88+IF(AND(E89&lt;=10,F89&lt;&gt;"ASTM A416"),L89,0),3)</f>
        <v/>
      </c>
      <c r="Q89" s="20">
        <f>ROUND(Q88+IF(AND(E89=12,F89&lt;&gt;"ASTM A416"),L89,0),3)</f>
        <v/>
      </c>
      <c r="R89" s="20">
        <f>ROUND(R88+IF(AND(E89=14,F89&lt;&gt;"ASTM A416"),L89,0),3)</f>
        <v/>
      </c>
      <c r="S89" s="20">
        <f>ROUND(S88+IF(AND(E89=16,F89&lt;&gt;"ASTM A416"),L89,0),3)</f>
        <v/>
      </c>
      <c r="T89" s="20">
        <f>ROUND(T88+IF(AND(E89=18,F89&lt;&gt;"ASTM A416"),L89,0),3)</f>
        <v/>
      </c>
      <c r="U89" s="20">
        <f>ROUND(U88+IF(AND(E89=20,F89&lt;&gt;"ASTM A416"),L89,0),3)</f>
        <v/>
      </c>
      <c r="V89" s="20">
        <f>ROUND(V88+IF(AND(E89=22,F89&lt;&gt;"ASTM A416"),L89,0),3)</f>
        <v/>
      </c>
      <c r="W89" s="20">
        <f>ROUND(W88+IF(AND(E89=25,F89&lt;&gt;"ASTM A416"),L89,0),3)</f>
        <v/>
      </c>
      <c r="X89" s="20">
        <f>ROUND(X88+IF(AND(E89=28,F89&lt;&gt;"ASTM A416"),L89,0),3)</f>
        <v/>
      </c>
      <c r="Y89" s="20">
        <f>ROUND(Y88+IF(AND(E89=32,F89&lt;&gt;"ASTM A416"),L89,0),3)</f>
        <v/>
      </c>
      <c r="Z89" s="20">
        <f>ROUND(Z88+IF(F89="ASTM A416",L89,0),3)</f>
        <v/>
      </c>
      <c r="AA89" s="11">
        <f>IF(ROUNDUP(P89/20,0)&gt;ROUNDUP(P88/20,0),"Lần " &amp; ROUNDUP(P89/20,0),"")</f>
        <v/>
      </c>
      <c r="AB89" s="11">
        <f>IF(ROUNDUP(Q89/20,0)&gt;ROUNDUP(Q88/20,0),"Lần " &amp; ROUNDUP(Q89/20,0),"")</f>
        <v/>
      </c>
      <c r="AC89" s="11">
        <f>IF(ROUNDUP(R89/20,0)&gt;ROUNDUP(R88/20,0),"Lần " &amp; ROUNDUP(R89/20,0),"")</f>
        <v/>
      </c>
      <c r="AD89" s="11">
        <f>IF(ROUNDUP(S89/20,0)&gt;ROUNDUP(S88/20,0),"Lần " &amp; ROUNDUP(S89/20,0),"")</f>
        <v/>
      </c>
      <c r="AE89" s="11">
        <f>IF(ROUNDUP(T89/20,0)&gt;ROUNDUP(T88/20,0),"Lần " &amp; ROUNDUP(T89/20,0),"")</f>
        <v/>
      </c>
      <c r="AF89" s="11">
        <f>IF(ROUNDUP(U89/20,0)&gt;ROUNDUP(U88/20,0),"Lần " &amp; ROUNDUP(U89/20,0),"")</f>
        <v/>
      </c>
      <c r="AG89" s="11">
        <f>IF(ROUNDUP(V89/20,0)&gt;ROUNDUP(V88/20,0),"Lần " &amp; ROUNDUP(V89/20,0),"")</f>
        <v/>
      </c>
      <c r="AH89" s="11">
        <f>IF(ROUNDUP(W89/20,0)&gt;ROUNDUP(W88/20,0),"Lần " &amp; ROUNDUP(W89/20,0),"")</f>
        <v/>
      </c>
      <c r="AI89" s="11">
        <f>IF(ROUNDUP(X89/20,0)&gt;ROUNDUP(X88/20,0),"Lần " &amp; ROUNDUP(X89/20,0),"")</f>
        <v/>
      </c>
      <c r="AJ89" s="11">
        <f>IF(ROUNDUP(Y89/20,0)&gt;ROUNDUP(Y88/20,0),"Lần " &amp; ROUNDUP(Y89/20,0),"")</f>
        <v/>
      </c>
      <c r="AK89" s="11">
        <f>IF(ROUNDUP(Z89/20,0)&gt;ROUNDUP(Z88/20,0),"Lần " &amp; ROUNDUP(Z89/20,0),"")</f>
        <v/>
      </c>
      <c r="AL89" s="6" t="n"/>
      <c r="AN89" t="inlineStr">
        <is>
          <t>Than</t>
        </is>
      </c>
      <c r="AO89" t="n">
        <v>54</v>
      </c>
    </row>
    <row r="90" ht="19" customHeight="1">
      <c r="A90" s="6" t="n">
        <v>86</v>
      </c>
      <c r="B90" s="7" t="inlineStr">
        <is>
          <t>Mố M2</t>
        </is>
      </c>
      <c r="C90" s="7" t="inlineStr">
        <is>
          <t>Mố M2 (tr.40)</t>
        </is>
      </c>
      <c r="D90" s="18" t="inlineStr">
        <is>
          <t>A6</t>
        </is>
      </c>
      <c r="E90" s="19" t="n">
        <v>16</v>
      </c>
      <c r="F90" s="6" t="inlineStr">
        <is>
          <t>CB400-V</t>
        </is>
      </c>
      <c r="G90" s="7" t="inlineStr">
        <is>
          <t>S06</t>
        </is>
      </c>
      <c r="H90" s="20" t="n">
        <v>1.807</v>
      </c>
      <c r="I90" s="21" t="n">
        <v>78</v>
      </c>
      <c r="J90" s="22" t="n">
        <v>1.578</v>
      </c>
      <c r="K90" s="9">
        <f>ROUND(H90*I90*J90, 2)</f>
        <v/>
      </c>
      <c r="L90" s="23">
        <f>ROUND(K90/1000, 3)</f>
        <v/>
      </c>
      <c r="M90" s="8">
        <f>IF(AO90="","",IF(INDEX(Theo_Doi_Tan_Suat_Be_Tong!$C:$C,AO90)="","",INDEX(Theo_Doi_Tan_Suat_Be_Tong!$C:$C,AO90)-VLOOKUP(AN90,$AQ$2:$AR$7,2,FALSE)))</f>
        <v/>
      </c>
      <c r="N90" s="6" t="n"/>
      <c r="O90" s="24">
        <f>IF(ROUNDUP(S90/20,0)&gt;ROUNDUP(S89/20,0),"TN Ø16 (Lần " &amp; ROUNDUP(S90/20,0) &amp; ")","")</f>
        <v/>
      </c>
      <c r="P90" s="20">
        <f>ROUND(P89+IF(AND(E90&lt;=10,F90&lt;&gt;"ASTM A416"),L90,0),3)</f>
        <v/>
      </c>
      <c r="Q90" s="20">
        <f>ROUND(Q89+IF(AND(E90=12,F90&lt;&gt;"ASTM A416"),L90,0),3)</f>
        <v/>
      </c>
      <c r="R90" s="20">
        <f>ROUND(R89+IF(AND(E90=14,F90&lt;&gt;"ASTM A416"),L90,0),3)</f>
        <v/>
      </c>
      <c r="S90" s="20">
        <f>ROUND(S89+IF(AND(E90=16,F90&lt;&gt;"ASTM A416"),L90,0),3)</f>
        <v/>
      </c>
      <c r="T90" s="20">
        <f>ROUND(T89+IF(AND(E90=18,F90&lt;&gt;"ASTM A416"),L90,0),3)</f>
        <v/>
      </c>
      <c r="U90" s="20">
        <f>ROUND(U89+IF(AND(E90=20,F90&lt;&gt;"ASTM A416"),L90,0),3)</f>
        <v/>
      </c>
      <c r="V90" s="20">
        <f>ROUND(V89+IF(AND(E90=22,F90&lt;&gt;"ASTM A416"),L90,0),3)</f>
        <v/>
      </c>
      <c r="W90" s="20">
        <f>ROUND(W89+IF(AND(E90=25,F90&lt;&gt;"ASTM A416"),L90,0),3)</f>
        <v/>
      </c>
      <c r="X90" s="20">
        <f>ROUND(X89+IF(AND(E90=28,F90&lt;&gt;"ASTM A416"),L90,0),3)</f>
        <v/>
      </c>
      <c r="Y90" s="20">
        <f>ROUND(Y89+IF(AND(E90=32,F90&lt;&gt;"ASTM A416"),L90,0),3)</f>
        <v/>
      </c>
      <c r="Z90" s="20">
        <f>ROUND(Z89+IF(F90="ASTM A416",L90,0),3)</f>
        <v/>
      </c>
      <c r="AA90" s="11">
        <f>IF(ROUNDUP(P90/20,0)&gt;ROUNDUP(P89/20,0),"Lần " &amp; ROUNDUP(P90/20,0),"")</f>
        <v/>
      </c>
      <c r="AB90" s="11">
        <f>IF(ROUNDUP(Q90/20,0)&gt;ROUNDUP(Q89/20,0),"Lần " &amp; ROUNDUP(Q90/20,0),"")</f>
        <v/>
      </c>
      <c r="AC90" s="11">
        <f>IF(ROUNDUP(R90/20,0)&gt;ROUNDUP(R89/20,0),"Lần " &amp; ROUNDUP(R90/20,0),"")</f>
        <v/>
      </c>
      <c r="AD90" s="11">
        <f>IF(ROUNDUP(S90/20,0)&gt;ROUNDUP(S89/20,0),"Lần " &amp; ROUNDUP(S90/20,0),"")</f>
        <v/>
      </c>
      <c r="AE90" s="11">
        <f>IF(ROUNDUP(T90/20,0)&gt;ROUNDUP(T89/20,0),"Lần " &amp; ROUNDUP(T90/20,0),"")</f>
        <v/>
      </c>
      <c r="AF90" s="11">
        <f>IF(ROUNDUP(U90/20,0)&gt;ROUNDUP(U89/20,0),"Lần " &amp; ROUNDUP(U90/20,0),"")</f>
        <v/>
      </c>
      <c r="AG90" s="11">
        <f>IF(ROUNDUP(V90/20,0)&gt;ROUNDUP(V89/20,0),"Lần " &amp; ROUNDUP(V90/20,0),"")</f>
        <v/>
      </c>
      <c r="AH90" s="11">
        <f>IF(ROUNDUP(W90/20,0)&gt;ROUNDUP(W89/20,0),"Lần " &amp; ROUNDUP(W90/20,0),"")</f>
        <v/>
      </c>
      <c r="AI90" s="11">
        <f>IF(ROUNDUP(X90/20,0)&gt;ROUNDUP(X89/20,0),"Lần " &amp; ROUNDUP(X90/20,0),"")</f>
        <v/>
      </c>
      <c r="AJ90" s="11">
        <f>IF(ROUNDUP(Y90/20,0)&gt;ROUNDUP(Y89/20,0),"Lần " &amp; ROUNDUP(Y90/20,0),"")</f>
        <v/>
      </c>
      <c r="AK90" s="11">
        <f>IF(ROUNDUP(Z90/20,0)&gt;ROUNDUP(Z89/20,0),"Lần " &amp; ROUNDUP(Z90/20,0),"")</f>
        <v/>
      </c>
      <c r="AL90" s="6" t="n"/>
      <c r="AN90" t="inlineStr">
        <is>
          <t>Than</t>
        </is>
      </c>
      <c r="AO90" t="n">
        <v>54</v>
      </c>
    </row>
    <row r="91" ht="19" customHeight="1">
      <c r="A91" s="6" t="n">
        <v>87</v>
      </c>
      <c r="B91" s="7" t="inlineStr">
        <is>
          <t>Mố M2</t>
        </is>
      </c>
      <c r="C91" s="7" t="inlineStr">
        <is>
          <t>Mố M2 (tr.40)</t>
        </is>
      </c>
      <c r="D91" s="18" t="inlineStr">
        <is>
          <t>A7</t>
        </is>
      </c>
      <c r="E91" s="19" t="n">
        <v>14</v>
      </c>
      <c r="F91" s="6" t="inlineStr">
        <is>
          <t>CB400-V</t>
        </is>
      </c>
      <c r="G91" s="7" t="inlineStr">
        <is>
          <t>S06</t>
        </is>
      </c>
      <c r="H91" s="20" t="n">
        <v>1.585</v>
      </c>
      <c r="I91" s="21" t="n">
        <v>200</v>
      </c>
      <c r="J91" s="22" t="n">
        <v>1.208</v>
      </c>
      <c r="K91" s="9">
        <f>ROUND(H91*I91*J91, 2)</f>
        <v/>
      </c>
      <c r="L91" s="23">
        <f>ROUND(K91/1000, 3)</f>
        <v/>
      </c>
      <c r="M91" s="8">
        <f>IF(AO91="","",IF(INDEX(Theo_Doi_Tan_Suat_Be_Tong!$C:$C,AO91)="","",INDEX(Theo_Doi_Tan_Suat_Be_Tong!$C:$C,AO91)-VLOOKUP(AN91,$AQ$2:$AR$7,2,FALSE)))</f>
        <v/>
      </c>
      <c r="N91" s="6" t="n"/>
      <c r="O91" s="24">
        <f>IF(ROUNDUP(R91/20,0)&gt;ROUNDUP(R90/20,0),"TN Ø14 (Lần " &amp; ROUNDUP(R91/20,0) &amp; ")","")</f>
        <v/>
      </c>
      <c r="P91" s="20">
        <f>ROUND(P90+IF(AND(E91&lt;=10,F91&lt;&gt;"ASTM A416"),L91,0),3)</f>
        <v/>
      </c>
      <c r="Q91" s="20">
        <f>ROUND(Q90+IF(AND(E91=12,F91&lt;&gt;"ASTM A416"),L91,0),3)</f>
        <v/>
      </c>
      <c r="R91" s="20">
        <f>ROUND(R90+IF(AND(E91=14,F91&lt;&gt;"ASTM A416"),L91,0),3)</f>
        <v/>
      </c>
      <c r="S91" s="20">
        <f>ROUND(S90+IF(AND(E91=16,F91&lt;&gt;"ASTM A416"),L91,0),3)</f>
        <v/>
      </c>
      <c r="T91" s="20">
        <f>ROUND(T90+IF(AND(E91=18,F91&lt;&gt;"ASTM A416"),L91,0),3)</f>
        <v/>
      </c>
      <c r="U91" s="20">
        <f>ROUND(U90+IF(AND(E91=20,F91&lt;&gt;"ASTM A416"),L91,0),3)</f>
        <v/>
      </c>
      <c r="V91" s="20">
        <f>ROUND(V90+IF(AND(E91=22,F91&lt;&gt;"ASTM A416"),L91,0),3)</f>
        <v/>
      </c>
      <c r="W91" s="20">
        <f>ROUND(W90+IF(AND(E91=25,F91&lt;&gt;"ASTM A416"),L91,0),3)</f>
        <v/>
      </c>
      <c r="X91" s="20">
        <f>ROUND(X90+IF(AND(E91=28,F91&lt;&gt;"ASTM A416"),L91,0),3)</f>
        <v/>
      </c>
      <c r="Y91" s="20">
        <f>ROUND(Y90+IF(AND(E91=32,F91&lt;&gt;"ASTM A416"),L91,0),3)</f>
        <v/>
      </c>
      <c r="Z91" s="20">
        <f>ROUND(Z90+IF(F91="ASTM A416",L91,0),3)</f>
        <v/>
      </c>
      <c r="AA91" s="11">
        <f>IF(ROUNDUP(P91/20,0)&gt;ROUNDUP(P90/20,0),"Lần " &amp; ROUNDUP(P91/20,0),"")</f>
        <v/>
      </c>
      <c r="AB91" s="11">
        <f>IF(ROUNDUP(Q91/20,0)&gt;ROUNDUP(Q90/20,0),"Lần " &amp; ROUNDUP(Q91/20,0),"")</f>
        <v/>
      </c>
      <c r="AC91" s="11">
        <f>IF(ROUNDUP(R91/20,0)&gt;ROUNDUP(R90/20,0),"Lần " &amp; ROUNDUP(R91/20,0),"")</f>
        <v/>
      </c>
      <c r="AD91" s="11">
        <f>IF(ROUNDUP(S91/20,0)&gt;ROUNDUP(S90/20,0),"Lần " &amp; ROUNDUP(S91/20,0),"")</f>
        <v/>
      </c>
      <c r="AE91" s="11">
        <f>IF(ROUNDUP(T91/20,0)&gt;ROUNDUP(T90/20,0),"Lần " &amp; ROUNDUP(T91/20,0),"")</f>
        <v/>
      </c>
      <c r="AF91" s="11">
        <f>IF(ROUNDUP(U91/20,0)&gt;ROUNDUP(U90/20,0),"Lần " &amp; ROUNDUP(U91/20,0),"")</f>
        <v/>
      </c>
      <c r="AG91" s="11">
        <f>IF(ROUNDUP(V91/20,0)&gt;ROUNDUP(V90/20,0),"Lần " &amp; ROUNDUP(V91/20,0),"")</f>
        <v/>
      </c>
      <c r="AH91" s="11">
        <f>IF(ROUNDUP(W91/20,0)&gt;ROUNDUP(W90/20,0),"Lần " &amp; ROUNDUP(W91/20,0),"")</f>
        <v/>
      </c>
      <c r="AI91" s="11">
        <f>IF(ROUNDUP(X91/20,0)&gt;ROUNDUP(X90/20,0),"Lần " &amp; ROUNDUP(X91/20,0),"")</f>
        <v/>
      </c>
      <c r="AJ91" s="11">
        <f>IF(ROUNDUP(Y91/20,0)&gt;ROUNDUP(Y90/20,0),"Lần " &amp; ROUNDUP(Y91/20,0),"")</f>
        <v/>
      </c>
      <c r="AK91" s="11">
        <f>IF(ROUNDUP(Z91/20,0)&gt;ROUNDUP(Z90/20,0),"Lần " &amp; ROUNDUP(Z91/20,0),"")</f>
        <v/>
      </c>
      <c r="AL91" s="6" t="n"/>
      <c r="AN91" t="inlineStr">
        <is>
          <t>Than</t>
        </is>
      </c>
      <c r="AO91" t="n">
        <v>54</v>
      </c>
    </row>
    <row r="92" ht="19" customHeight="1">
      <c r="A92" s="6" t="n">
        <v>88</v>
      </c>
      <c r="B92" s="7" t="inlineStr">
        <is>
          <t>Mố M2</t>
        </is>
      </c>
      <c r="C92" s="7" t="inlineStr">
        <is>
          <t>Mố M2 (tr.40)</t>
        </is>
      </c>
      <c r="D92" s="18" t="inlineStr">
        <is>
          <t>A8(T)</t>
        </is>
      </c>
      <c r="E92" s="19" t="n">
        <v>16</v>
      </c>
      <c r="F92" s="6" t="inlineStr">
        <is>
          <t>CB400-V</t>
        </is>
      </c>
      <c r="G92" s="7" t="inlineStr">
        <is>
          <t>S02</t>
        </is>
      </c>
      <c r="H92" s="20" t="n">
        <v>8.002000000000001</v>
      </c>
      <c r="I92" s="21" t="n">
        <v>7</v>
      </c>
      <c r="J92" s="22" t="n">
        <v>1.578</v>
      </c>
      <c r="K92" s="9">
        <f>ROUND(H92*I92*J92, 2)</f>
        <v/>
      </c>
      <c r="L92" s="23">
        <f>ROUND(K92/1000, 3)</f>
        <v/>
      </c>
      <c r="M92" s="8">
        <f>IF(AO92="","",IF(INDEX(Theo_Doi_Tan_Suat_Be_Tong!$C:$C,AO92)="","",INDEX(Theo_Doi_Tan_Suat_Be_Tong!$C:$C,AO92)-VLOOKUP(AN92,$AQ$2:$AR$7,2,FALSE)))</f>
        <v/>
      </c>
      <c r="N92" s="6" t="n"/>
      <c r="O92" s="24">
        <f>IF(ROUNDUP(S92/20,0)&gt;ROUNDUP(S91/20,0),"TN Ø16 (Lần " &amp; ROUNDUP(S92/20,0) &amp; ")","")</f>
        <v/>
      </c>
      <c r="P92" s="20">
        <f>ROUND(P91+IF(AND(E92&lt;=10,F92&lt;&gt;"ASTM A416"),L92,0),3)</f>
        <v/>
      </c>
      <c r="Q92" s="20">
        <f>ROUND(Q91+IF(AND(E92=12,F92&lt;&gt;"ASTM A416"),L92,0),3)</f>
        <v/>
      </c>
      <c r="R92" s="20">
        <f>ROUND(R91+IF(AND(E92=14,F92&lt;&gt;"ASTM A416"),L92,0),3)</f>
        <v/>
      </c>
      <c r="S92" s="20">
        <f>ROUND(S91+IF(AND(E92=16,F92&lt;&gt;"ASTM A416"),L92,0),3)</f>
        <v/>
      </c>
      <c r="T92" s="20">
        <f>ROUND(T91+IF(AND(E92=18,F92&lt;&gt;"ASTM A416"),L92,0),3)</f>
        <v/>
      </c>
      <c r="U92" s="20">
        <f>ROUND(U91+IF(AND(E92=20,F92&lt;&gt;"ASTM A416"),L92,0),3)</f>
        <v/>
      </c>
      <c r="V92" s="20">
        <f>ROUND(V91+IF(AND(E92=22,F92&lt;&gt;"ASTM A416"),L92,0),3)</f>
        <v/>
      </c>
      <c r="W92" s="20">
        <f>ROUND(W91+IF(AND(E92=25,F92&lt;&gt;"ASTM A416"),L92,0),3)</f>
        <v/>
      </c>
      <c r="X92" s="20">
        <f>ROUND(X91+IF(AND(E92=28,F92&lt;&gt;"ASTM A416"),L92,0),3)</f>
        <v/>
      </c>
      <c r="Y92" s="20">
        <f>ROUND(Y91+IF(AND(E92=32,F92&lt;&gt;"ASTM A416"),L92,0),3)</f>
        <v/>
      </c>
      <c r="Z92" s="20">
        <f>ROUND(Z91+IF(F92="ASTM A416",L92,0),3)</f>
        <v/>
      </c>
      <c r="AA92" s="11">
        <f>IF(ROUNDUP(P92/20,0)&gt;ROUNDUP(P91/20,0),"Lần " &amp; ROUNDUP(P92/20,0),"")</f>
        <v/>
      </c>
      <c r="AB92" s="11">
        <f>IF(ROUNDUP(Q92/20,0)&gt;ROUNDUP(Q91/20,0),"Lần " &amp; ROUNDUP(Q92/20,0),"")</f>
        <v/>
      </c>
      <c r="AC92" s="11">
        <f>IF(ROUNDUP(R92/20,0)&gt;ROUNDUP(R91/20,0),"Lần " &amp; ROUNDUP(R92/20,0),"")</f>
        <v/>
      </c>
      <c r="AD92" s="11">
        <f>IF(ROUNDUP(S92/20,0)&gt;ROUNDUP(S91/20,0),"Lần " &amp; ROUNDUP(S92/20,0),"")</f>
        <v/>
      </c>
      <c r="AE92" s="11">
        <f>IF(ROUNDUP(T92/20,0)&gt;ROUNDUP(T91/20,0),"Lần " &amp; ROUNDUP(T92/20,0),"")</f>
        <v/>
      </c>
      <c r="AF92" s="11">
        <f>IF(ROUNDUP(U92/20,0)&gt;ROUNDUP(U91/20,0),"Lần " &amp; ROUNDUP(U92/20,0),"")</f>
        <v/>
      </c>
      <c r="AG92" s="11">
        <f>IF(ROUNDUP(V92/20,0)&gt;ROUNDUP(V91/20,0),"Lần " &amp; ROUNDUP(V92/20,0),"")</f>
        <v/>
      </c>
      <c r="AH92" s="11">
        <f>IF(ROUNDUP(W92/20,0)&gt;ROUNDUP(W91/20,0),"Lần " &amp; ROUNDUP(W92/20,0),"")</f>
        <v/>
      </c>
      <c r="AI92" s="11">
        <f>IF(ROUNDUP(X92/20,0)&gt;ROUNDUP(X91/20,0),"Lần " &amp; ROUNDUP(X92/20,0),"")</f>
        <v/>
      </c>
      <c r="AJ92" s="11">
        <f>IF(ROUNDUP(Y92/20,0)&gt;ROUNDUP(Y91/20,0),"Lần " &amp; ROUNDUP(Y92/20,0),"")</f>
        <v/>
      </c>
      <c r="AK92" s="11">
        <f>IF(ROUNDUP(Z92/20,0)&gt;ROUNDUP(Z91/20,0),"Lần " &amp; ROUNDUP(Z92/20,0),"")</f>
        <v/>
      </c>
      <c r="AL92" s="6" t="n"/>
      <c r="AN92" t="inlineStr">
        <is>
          <t>Than</t>
        </is>
      </c>
      <c r="AO92" t="n">
        <v>54</v>
      </c>
    </row>
    <row r="93" ht="19" customHeight="1">
      <c r="A93" s="6" t="n">
        <v>89</v>
      </c>
      <c r="B93" s="7" t="inlineStr">
        <is>
          <t>Mố M2</t>
        </is>
      </c>
      <c r="C93" s="7" t="inlineStr">
        <is>
          <t>Mố M2 (tr.40)</t>
        </is>
      </c>
      <c r="D93" s="18" t="inlineStr">
        <is>
          <t>P1</t>
        </is>
      </c>
      <c r="E93" s="19" t="n">
        <v>16</v>
      </c>
      <c r="F93" s="6" t="inlineStr">
        <is>
          <t>CB400-V</t>
        </is>
      </c>
      <c r="G93" s="7" t="inlineStr">
        <is>
          <t>S06</t>
        </is>
      </c>
      <c r="H93" s="20" t="n">
        <v>13.487</v>
      </c>
      <c r="I93" s="21" t="n">
        <v>32</v>
      </c>
      <c r="J93" s="22" t="n">
        <v>1.578</v>
      </c>
      <c r="K93" s="9">
        <f>ROUND(H93*I93*J93, 2)</f>
        <v/>
      </c>
      <c r="L93" s="23">
        <f>ROUND(K93/1000, 3)</f>
        <v/>
      </c>
      <c r="M93" s="8">
        <f>IF(AO93="","",IF(INDEX(Theo_Doi_Tan_Suat_Be_Tong!$C:$C,AO93)="","",INDEX(Theo_Doi_Tan_Suat_Be_Tong!$C:$C,AO93)-VLOOKUP(AN93,$AQ$2:$AR$7,2,FALSE)))</f>
        <v/>
      </c>
      <c r="N93" s="6" t="n"/>
      <c r="O93" s="24">
        <f>IF(ROUNDUP(S93/20,0)&gt;ROUNDUP(S92/20,0),"TN Ø16 (Lần " &amp; ROUNDUP(S93/20,0) &amp; ")","")</f>
        <v/>
      </c>
      <c r="P93" s="20">
        <f>ROUND(P92+IF(AND(E93&lt;=10,F93&lt;&gt;"ASTM A416"),L93,0),3)</f>
        <v/>
      </c>
      <c r="Q93" s="20">
        <f>ROUND(Q92+IF(AND(E93=12,F93&lt;&gt;"ASTM A416"),L93,0),3)</f>
        <v/>
      </c>
      <c r="R93" s="20">
        <f>ROUND(R92+IF(AND(E93=14,F93&lt;&gt;"ASTM A416"),L93,0),3)</f>
        <v/>
      </c>
      <c r="S93" s="20">
        <f>ROUND(S92+IF(AND(E93=16,F93&lt;&gt;"ASTM A416"),L93,0),3)</f>
        <v/>
      </c>
      <c r="T93" s="20">
        <f>ROUND(T92+IF(AND(E93=18,F93&lt;&gt;"ASTM A416"),L93,0),3)</f>
        <v/>
      </c>
      <c r="U93" s="20">
        <f>ROUND(U92+IF(AND(E93=20,F93&lt;&gt;"ASTM A416"),L93,0),3)</f>
        <v/>
      </c>
      <c r="V93" s="20">
        <f>ROUND(V92+IF(AND(E93=22,F93&lt;&gt;"ASTM A416"),L93,0),3)</f>
        <v/>
      </c>
      <c r="W93" s="20">
        <f>ROUND(W92+IF(AND(E93=25,F93&lt;&gt;"ASTM A416"),L93,0),3)</f>
        <v/>
      </c>
      <c r="X93" s="20">
        <f>ROUND(X92+IF(AND(E93=28,F93&lt;&gt;"ASTM A416"),L93,0),3)</f>
        <v/>
      </c>
      <c r="Y93" s="20">
        <f>ROUND(Y92+IF(AND(E93=32,F93&lt;&gt;"ASTM A416"),L93,0),3)</f>
        <v/>
      </c>
      <c r="Z93" s="20">
        <f>ROUND(Z92+IF(F93="ASTM A416",L93,0),3)</f>
        <v/>
      </c>
      <c r="AA93" s="11">
        <f>IF(ROUNDUP(P93/20,0)&gt;ROUNDUP(P92/20,0),"Lần " &amp; ROUNDUP(P93/20,0),"")</f>
        <v/>
      </c>
      <c r="AB93" s="11">
        <f>IF(ROUNDUP(Q93/20,0)&gt;ROUNDUP(Q92/20,0),"Lần " &amp; ROUNDUP(Q93/20,0),"")</f>
        <v/>
      </c>
      <c r="AC93" s="11">
        <f>IF(ROUNDUP(R93/20,0)&gt;ROUNDUP(R92/20,0),"Lần " &amp; ROUNDUP(R93/20,0),"")</f>
        <v/>
      </c>
      <c r="AD93" s="11">
        <f>IF(ROUNDUP(S93/20,0)&gt;ROUNDUP(S92/20,0),"Lần " &amp; ROUNDUP(S93/20,0),"")</f>
        <v/>
      </c>
      <c r="AE93" s="11">
        <f>IF(ROUNDUP(T93/20,0)&gt;ROUNDUP(T92/20,0),"Lần " &amp; ROUNDUP(T93/20,0),"")</f>
        <v/>
      </c>
      <c r="AF93" s="11">
        <f>IF(ROUNDUP(U93/20,0)&gt;ROUNDUP(U92/20,0),"Lần " &amp; ROUNDUP(U93/20,0),"")</f>
        <v/>
      </c>
      <c r="AG93" s="11">
        <f>IF(ROUNDUP(V93/20,0)&gt;ROUNDUP(V92/20,0),"Lần " &amp; ROUNDUP(V93/20,0),"")</f>
        <v/>
      </c>
      <c r="AH93" s="11">
        <f>IF(ROUNDUP(W93/20,0)&gt;ROUNDUP(W92/20,0),"Lần " &amp; ROUNDUP(W93/20,0),"")</f>
        <v/>
      </c>
      <c r="AI93" s="11">
        <f>IF(ROUNDUP(X93/20,0)&gt;ROUNDUP(X92/20,0),"Lần " &amp; ROUNDUP(X93/20,0),"")</f>
        <v/>
      </c>
      <c r="AJ93" s="11">
        <f>IF(ROUNDUP(Y93/20,0)&gt;ROUNDUP(Y92/20,0),"Lần " &amp; ROUNDUP(Y93/20,0),"")</f>
        <v/>
      </c>
      <c r="AK93" s="11">
        <f>IF(ROUNDUP(Z93/20,0)&gt;ROUNDUP(Z92/20,0),"Lần " &amp; ROUNDUP(Z93/20,0),"")</f>
        <v/>
      </c>
      <c r="AL93" s="6" t="n"/>
      <c r="AN93" t="inlineStr">
        <is>
          <t>Than</t>
        </is>
      </c>
      <c r="AO93" t="n">
        <v>54</v>
      </c>
    </row>
    <row r="94" ht="19" customHeight="1">
      <c r="A94" s="6" t="n">
        <v>90</v>
      </c>
      <c r="B94" s="7" t="inlineStr">
        <is>
          <t>Mố M2</t>
        </is>
      </c>
      <c r="C94" s="7" t="inlineStr">
        <is>
          <t>Mố M2 (tr.40)</t>
        </is>
      </c>
      <c r="D94" s="18" t="inlineStr">
        <is>
          <t>P1A</t>
        </is>
      </c>
      <c r="E94" s="19" t="n">
        <v>16</v>
      </c>
      <c r="F94" s="6" t="inlineStr">
        <is>
          <t>CB400-V</t>
        </is>
      </c>
      <c r="G94" s="7" t="inlineStr">
        <is>
          <t>S06</t>
        </is>
      </c>
      <c r="H94" s="20" t="n">
        <v>13.489</v>
      </c>
      <c r="I94" s="21" t="n">
        <v>2</v>
      </c>
      <c r="J94" s="22" t="n">
        <v>1.578</v>
      </c>
      <c r="K94" s="9">
        <f>ROUND(H94*I94*J94, 2)</f>
        <v/>
      </c>
      <c r="L94" s="23">
        <f>ROUND(K94/1000, 3)</f>
        <v/>
      </c>
      <c r="M94" s="8">
        <f>IF(AO94="","",IF(INDEX(Theo_Doi_Tan_Suat_Be_Tong!$C:$C,AO94)="","",INDEX(Theo_Doi_Tan_Suat_Be_Tong!$C:$C,AO94)-VLOOKUP(AN94,$AQ$2:$AR$7,2,FALSE)))</f>
        <v/>
      </c>
      <c r="N94" s="6" t="n"/>
      <c r="O94" s="24">
        <f>IF(ROUNDUP(S94/20,0)&gt;ROUNDUP(S93/20,0),"TN Ø16 (Lần " &amp; ROUNDUP(S94/20,0) &amp; ")","")</f>
        <v/>
      </c>
      <c r="P94" s="20">
        <f>ROUND(P93+IF(AND(E94&lt;=10,F94&lt;&gt;"ASTM A416"),L94,0),3)</f>
        <v/>
      </c>
      <c r="Q94" s="20">
        <f>ROUND(Q93+IF(AND(E94=12,F94&lt;&gt;"ASTM A416"),L94,0),3)</f>
        <v/>
      </c>
      <c r="R94" s="20">
        <f>ROUND(R93+IF(AND(E94=14,F94&lt;&gt;"ASTM A416"),L94,0),3)</f>
        <v/>
      </c>
      <c r="S94" s="20">
        <f>ROUND(S93+IF(AND(E94=16,F94&lt;&gt;"ASTM A416"),L94,0),3)</f>
        <v/>
      </c>
      <c r="T94" s="20">
        <f>ROUND(T93+IF(AND(E94=18,F94&lt;&gt;"ASTM A416"),L94,0),3)</f>
        <v/>
      </c>
      <c r="U94" s="20">
        <f>ROUND(U93+IF(AND(E94=20,F94&lt;&gt;"ASTM A416"),L94,0),3)</f>
        <v/>
      </c>
      <c r="V94" s="20">
        <f>ROUND(V93+IF(AND(E94=22,F94&lt;&gt;"ASTM A416"),L94,0),3)</f>
        <v/>
      </c>
      <c r="W94" s="20">
        <f>ROUND(W93+IF(AND(E94=25,F94&lt;&gt;"ASTM A416"),L94,0),3)</f>
        <v/>
      </c>
      <c r="X94" s="20">
        <f>ROUND(X93+IF(AND(E94=28,F94&lt;&gt;"ASTM A416"),L94,0),3)</f>
        <v/>
      </c>
      <c r="Y94" s="20">
        <f>ROUND(Y93+IF(AND(E94=32,F94&lt;&gt;"ASTM A416"),L94,0),3)</f>
        <v/>
      </c>
      <c r="Z94" s="20">
        <f>ROUND(Z93+IF(F94="ASTM A416",L94,0),3)</f>
        <v/>
      </c>
      <c r="AA94" s="11">
        <f>IF(ROUNDUP(P94/20,0)&gt;ROUNDUP(P93/20,0),"Lần " &amp; ROUNDUP(P94/20,0),"")</f>
        <v/>
      </c>
      <c r="AB94" s="11">
        <f>IF(ROUNDUP(Q94/20,0)&gt;ROUNDUP(Q93/20,0),"Lần " &amp; ROUNDUP(Q94/20,0),"")</f>
        <v/>
      </c>
      <c r="AC94" s="11">
        <f>IF(ROUNDUP(R94/20,0)&gt;ROUNDUP(R93/20,0),"Lần " &amp; ROUNDUP(R94/20,0),"")</f>
        <v/>
      </c>
      <c r="AD94" s="11">
        <f>IF(ROUNDUP(S94/20,0)&gt;ROUNDUP(S93/20,0),"Lần " &amp; ROUNDUP(S94/20,0),"")</f>
        <v/>
      </c>
      <c r="AE94" s="11">
        <f>IF(ROUNDUP(T94/20,0)&gt;ROUNDUP(T93/20,0),"Lần " &amp; ROUNDUP(T94/20,0),"")</f>
        <v/>
      </c>
      <c r="AF94" s="11">
        <f>IF(ROUNDUP(U94/20,0)&gt;ROUNDUP(U93/20,0),"Lần " &amp; ROUNDUP(U94/20,0),"")</f>
        <v/>
      </c>
      <c r="AG94" s="11">
        <f>IF(ROUNDUP(V94/20,0)&gt;ROUNDUP(V93/20,0),"Lần " &amp; ROUNDUP(V94/20,0),"")</f>
        <v/>
      </c>
      <c r="AH94" s="11">
        <f>IF(ROUNDUP(W94/20,0)&gt;ROUNDUP(W93/20,0),"Lần " &amp; ROUNDUP(W94/20,0),"")</f>
        <v/>
      </c>
      <c r="AI94" s="11">
        <f>IF(ROUNDUP(X94/20,0)&gt;ROUNDUP(X93/20,0),"Lần " &amp; ROUNDUP(X94/20,0),"")</f>
        <v/>
      </c>
      <c r="AJ94" s="11">
        <f>IF(ROUNDUP(Y94/20,0)&gt;ROUNDUP(Y93/20,0),"Lần " &amp; ROUNDUP(Y94/20,0),"")</f>
        <v/>
      </c>
      <c r="AK94" s="11">
        <f>IF(ROUNDUP(Z94/20,0)&gt;ROUNDUP(Z93/20,0),"Lần " &amp; ROUNDUP(Z94/20,0),"")</f>
        <v/>
      </c>
      <c r="AL94" s="6" t="n"/>
      <c r="AN94" t="inlineStr">
        <is>
          <t>Than</t>
        </is>
      </c>
      <c r="AO94" t="n">
        <v>54</v>
      </c>
    </row>
    <row r="95" ht="19" customHeight="1">
      <c r="A95" s="6" t="n">
        <v>91</v>
      </c>
      <c r="B95" s="7" t="inlineStr">
        <is>
          <t>Mố M2</t>
        </is>
      </c>
      <c r="C95" s="7" t="inlineStr">
        <is>
          <t>Mố M2 (tr.40)</t>
        </is>
      </c>
      <c r="D95" s="18" t="inlineStr">
        <is>
          <t>P1B</t>
        </is>
      </c>
      <c r="E95" s="19" t="n">
        <v>16</v>
      </c>
      <c r="F95" s="6" t="inlineStr">
        <is>
          <t>CB400-V</t>
        </is>
      </c>
      <c r="G95" s="7" t="inlineStr">
        <is>
          <t>S06</t>
        </is>
      </c>
      <c r="H95" s="20" t="n">
        <v>11.372</v>
      </c>
      <c r="I95" s="21" t="n">
        <v>2</v>
      </c>
      <c r="J95" s="22" t="n">
        <v>1.578</v>
      </c>
      <c r="K95" s="9">
        <f>ROUND(H95*I95*J95, 2)</f>
        <v/>
      </c>
      <c r="L95" s="23">
        <f>ROUND(K95/1000, 3)</f>
        <v/>
      </c>
      <c r="M95" s="8">
        <f>IF(AO95="","",IF(INDEX(Theo_Doi_Tan_Suat_Be_Tong!$C:$C,AO95)="","",INDEX(Theo_Doi_Tan_Suat_Be_Tong!$C:$C,AO95)-VLOOKUP(AN95,$AQ$2:$AR$7,2,FALSE)))</f>
        <v/>
      </c>
      <c r="N95" s="6" t="n"/>
      <c r="O95" s="24">
        <f>IF(ROUNDUP(S95/20,0)&gt;ROUNDUP(S94/20,0),"TN Ø16 (Lần " &amp; ROUNDUP(S95/20,0) &amp; ")","")</f>
        <v/>
      </c>
      <c r="P95" s="20">
        <f>ROUND(P94+IF(AND(E95&lt;=10,F95&lt;&gt;"ASTM A416"),L95,0),3)</f>
        <v/>
      </c>
      <c r="Q95" s="20">
        <f>ROUND(Q94+IF(AND(E95=12,F95&lt;&gt;"ASTM A416"),L95,0),3)</f>
        <v/>
      </c>
      <c r="R95" s="20">
        <f>ROUND(R94+IF(AND(E95=14,F95&lt;&gt;"ASTM A416"),L95,0),3)</f>
        <v/>
      </c>
      <c r="S95" s="20">
        <f>ROUND(S94+IF(AND(E95=16,F95&lt;&gt;"ASTM A416"),L95,0),3)</f>
        <v/>
      </c>
      <c r="T95" s="20">
        <f>ROUND(T94+IF(AND(E95=18,F95&lt;&gt;"ASTM A416"),L95,0),3)</f>
        <v/>
      </c>
      <c r="U95" s="20">
        <f>ROUND(U94+IF(AND(E95=20,F95&lt;&gt;"ASTM A416"),L95,0),3)</f>
        <v/>
      </c>
      <c r="V95" s="20">
        <f>ROUND(V94+IF(AND(E95=22,F95&lt;&gt;"ASTM A416"),L95,0),3)</f>
        <v/>
      </c>
      <c r="W95" s="20">
        <f>ROUND(W94+IF(AND(E95=25,F95&lt;&gt;"ASTM A416"),L95,0),3)</f>
        <v/>
      </c>
      <c r="X95" s="20">
        <f>ROUND(X94+IF(AND(E95=28,F95&lt;&gt;"ASTM A416"),L95,0),3)</f>
        <v/>
      </c>
      <c r="Y95" s="20">
        <f>ROUND(Y94+IF(AND(E95=32,F95&lt;&gt;"ASTM A416"),L95,0),3)</f>
        <v/>
      </c>
      <c r="Z95" s="20">
        <f>ROUND(Z94+IF(F95="ASTM A416",L95,0),3)</f>
        <v/>
      </c>
      <c r="AA95" s="11">
        <f>IF(ROUNDUP(P95/20,0)&gt;ROUNDUP(P94/20,0),"Lần " &amp; ROUNDUP(P95/20,0),"")</f>
        <v/>
      </c>
      <c r="AB95" s="11">
        <f>IF(ROUNDUP(Q95/20,0)&gt;ROUNDUP(Q94/20,0),"Lần " &amp; ROUNDUP(Q95/20,0),"")</f>
        <v/>
      </c>
      <c r="AC95" s="11">
        <f>IF(ROUNDUP(R95/20,0)&gt;ROUNDUP(R94/20,0),"Lần " &amp; ROUNDUP(R95/20,0),"")</f>
        <v/>
      </c>
      <c r="AD95" s="11">
        <f>IF(ROUNDUP(S95/20,0)&gt;ROUNDUP(S94/20,0),"Lần " &amp; ROUNDUP(S95/20,0),"")</f>
        <v/>
      </c>
      <c r="AE95" s="11">
        <f>IF(ROUNDUP(T95/20,0)&gt;ROUNDUP(T94/20,0),"Lần " &amp; ROUNDUP(T95/20,0),"")</f>
        <v/>
      </c>
      <c r="AF95" s="11">
        <f>IF(ROUNDUP(U95/20,0)&gt;ROUNDUP(U94/20,0),"Lần " &amp; ROUNDUP(U95/20,0),"")</f>
        <v/>
      </c>
      <c r="AG95" s="11">
        <f>IF(ROUNDUP(V95/20,0)&gt;ROUNDUP(V94/20,0),"Lần " &amp; ROUNDUP(V95/20,0),"")</f>
        <v/>
      </c>
      <c r="AH95" s="11">
        <f>IF(ROUNDUP(W95/20,0)&gt;ROUNDUP(W94/20,0),"Lần " &amp; ROUNDUP(W95/20,0),"")</f>
        <v/>
      </c>
      <c r="AI95" s="11">
        <f>IF(ROUNDUP(X95/20,0)&gt;ROUNDUP(X94/20,0),"Lần " &amp; ROUNDUP(X95/20,0),"")</f>
        <v/>
      </c>
      <c r="AJ95" s="11">
        <f>IF(ROUNDUP(Y95/20,0)&gt;ROUNDUP(Y94/20,0),"Lần " &amp; ROUNDUP(Y95/20,0),"")</f>
        <v/>
      </c>
      <c r="AK95" s="11">
        <f>IF(ROUNDUP(Z95/20,0)&gt;ROUNDUP(Z94/20,0),"Lần " &amp; ROUNDUP(Z95/20,0),"")</f>
        <v/>
      </c>
      <c r="AL95" s="6" t="n"/>
      <c r="AN95" t="inlineStr">
        <is>
          <t>Than</t>
        </is>
      </c>
      <c r="AO95" t="n">
        <v>54</v>
      </c>
    </row>
    <row r="96" ht="19" customHeight="1">
      <c r="A96" s="6" t="n">
        <v>92</v>
      </c>
      <c r="B96" s="7" t="inlineStr">
        <is>
          <t>Mố M2</t>
        </is>
      </c>
      <c r="C96" s="7" t="inlineStr">
        <is>
          <t>Mố M2 (tr.40)</t>
        </is>
      </c>
      <c r="D96" s="18" t="inlineStr">
        <is>
          <t>P2</t>
        </is>
      </c>
      <c r="E96" s="19" t="n">
        <v>16</v>
      </c>
      <c r="F96" s="6" t="inlineStr">
        <is>
          <t>CB400-V</t>
        </is>
      </c>
      <c r="G96" s="7" t="inlineStr">
        <is>
          <t>S06</t>
        </is>
      </c>
      <c r="H96" s="20" t="n">
        <v>5.85</v>
      </c>
      <c r="I96" s="21" t="n">
        <v>83</v>
      </c>
      <c r="J96" s="22" t="n">
        <v>1.578</v>
      </c>
      <c r="K96" s="9">
        <f>ROUND(H96*I96*J96, 2)</f>
        <v/>
      </c>
      <c r="L96" s="23">
        <f>ROUND(K96/1000, 3)</f>
        <v/>
      </c>
      <c r="M96" s="8">
        <f>IF(AO96="","",IF(INDEX(Theo_Doi_Tan_Suat_Be_Tong!$C:$C,AO96)="","",INDEX(Theo_Doi_Tan_Suat_Be_Tong!$C:$C,AO96)-VLOOKUP(AN96,$AQ$2:$AR$7,2,FALSE)))</f>
        <v/>
      </c>
      <c r="N96" s="6" t="n"/>
      <c r="O96" s="24">
        <f>IF(ROUNDUP(S96/20,0)&gt;ROUNDUP(S95/20,0),"TN Ø16 (Lần " &amp; ROUNDUP(S96/20,0) &amp; ")","")</f>
        <v/>
      </c>
      <c r="P96" s="20">
        <f>ROUND(P95+IF(AND(E96&lt;=10,F96&lt;&gt;"ASTM A416"),L96,0),3)</f>
        <v/>
      </c>
      <c r="Q96" s="20">
        <f>ROUND(Q95+IF(AND(E96=12,F96&lt;&gt;"ASTM A416"),L96,0),3)</f>
        <v/>
      </c>
      <c r="R96" s="20">
        <f>ROUND(R95+IF(AND(E96=14,F96&lt;&gt;"ASTM A416"),L96,0),3)</f>
        <v/>
      </c>
      <c r="S96" s="20">
        <f>ROUND(S95+IF(AND(E96=16,F96&lt;&gt;"ASTM A416"),L96,0),3)</f>
        <v/>
      </c>
      <c r="T96" s="20">
        <f>ROUND(T95+IF(AND(E96=18,F96&lt;&gt;"ASTM A416"),L96,0),3)</f>
        <v/>
      </c>
      <c r="U96" s="20">
        <f>ROUND(U95+IF(AND(E96=20,F96&lt;&gt;"ASTM A416"),L96,0),3)</f>
        <v/>
      </c>
      <c r="V96" s="20">
        <f>ROUND(V95+IF(AND(E96=22,F96&lt;&gt;"ASTM A416"),L96,0),3)</f>
        <v/>
      </c>
      <c r="W96" s="20">
        <f>ROUND(W95+IF(AND(E96=25,F96&lt;&gt;"ASTM A416"),L96,0),3)</f>
        <v/>
      </c>
      <c r="X96" s="20">
        <f>ROUND(X95+IF(AND(E96=28,F96&lt;&gt;"ASTM A416"),L96,0),3)</f>
        <v/>
      </c>
      <c r="Y96" s="20">
        <f>ROUND(Y95+IF(AND(E96=32,F96&lt;&gt;"ASTM A416"),L96,0),3)</f>
        <v/>
      </c>
      <c r="Z96" s="20">
        <f>ROUND(Z95+IF(F96="ASTM A416",L96,0),3)</f>
        <v/>
      </c>
      <c r="AA96" s="11">
        <f>IF(ROUNDUP(P96/20,0)&gt;ROUNDUP(P95/20,0),"Lần " &amp; ROUNDUP(P96/20,0),"")</f>
        <v/>
      </c>
      <c r="AB96" s="11">
        <f>IF(ROUNDUP(Q96/20,0)&gt;ROUNDUP(Q95/20,0),"Lần " &amp; ROUNDUP(Q96/20,0),"")</f>
        <v/>
      </c>
      <c r="AC96" s="11">
        <f>IF(ROUNDUP(R96/20,0)&gt;ROUNDUP(R95/20,0),"Lần " &amp; ROUNDUP(R96/20,0),"")</f>
        <v/>
      </c>
      <c r="AD96" s="11">
        <f>IF(ROUNDUP(S96/20,0)&gt;ROUNDUP(S95/20,0),"Lần " &amp; ROUNDUP(S96/20,0),"")</f>
        <v/>
      </c>
      <c r="AE96" s="11">
        <f>IF(ROUNDUP(T96/20,0)&gt;ROUNDUP(T95/20,0),"Lần " &amp; ROUNDUP(T96/20,0),"")</f>
        <v/>
      </c>
      <c r="AF96" s="11">
        <f>IF(ROUNDUP(U96/20,0)&gt;ROUNDUP(U95/20,0),"Lần " &amp; ROUNDUP(U96/20,0),"")</f>
        <v/>
      </c>
      <c r="AG96" s="11">
        <f>IF(ROUNDUP(V96/20,0)&gt;ROUNDUP(V95/20,0),"Lần " &amp; ROUNDUP(V96/20,0),"")</f>
        <v/>
      </c>
      <c r="AH96" s="11">
        <f>IF(ROUNDUP(W96/20,0)&gt;ROUNDUP(W95/20,0),"Lần " &amp; ROUNDUP(W96/20,0),"")</f>
        <v/>
      </c>
      <c r="AI96" s="11">
        <f>IF(ROUNDUP(X96/20,0)&gt;ROUNDUP(X95/20,0),"Lần " &amp; ROUNDUP(X96/20,0),"")</f>
        <v/>
      </c>
      <c r="AJ96" s="11">
        <f>IF(ROUNDUP(Y96/20,0)&gt;ROUNDUP(Y95/20,0),"Lần " &amp; ROUNDUP(Y96/20,0),"")</f>
        <v/>
      </c>
      <c r="AK96" s="11">
        <f>IF(ROUNDUP(Z96/20,0)&gt;ROUNDUP(Z95/20,0),"Lần " &amp; ROUNDUP(Z96/20,0),"")</f>
        <v/>
      </c>
      <c r="AL96" s="6" t="n"/>
      <c r="AN96" t="inlineStr">
        <is>
          <t>Than</t>
        </is>
      </c>
      <c r="AO96" t="n">
        <v>54</v>
      </c>
    </row>
    <row r="97" ht="20" customHeight="1">
      <c r="A97" s="6" t="n">
        <v>93</v>
      </c>
      <c r="B97" s="7" t="inlineStr">
        <is>
          <t>Mố M2</t>
        </is>
      </c>
      <c r="C97" s="7" t="inlineStr">
        <is>
          <t>Mố M2 (tr.40)</t>
        </is>
      </c>
      <c r="D97" s="18" t="inlineStr">
        <is>
          <t>P3</t>
        </is>
      </c>
      <c r="E97" s="19" t="n">
        <v>16</v>
      </c>
      <c r="F97" s="6" t="inlineStr">
        <is>
          <t>CB400-V</t>
        </is>
      </c>
      <c r="G97" s="7" t="inlineStr">
        <is>
          <t>S57</t>
        </is>
      </c>
      <c r="H97" s="20" t="n">
        <v>2.071</v>
      </c>
      <c r="I97" s="21" t="n">
        <v>83</v>
      </c>
      <c r="J97" s="22" t="n">
        <v>1.578</v>
      </c>
      <c r="K97" s="9">
        <f>ROUND(H97*I97*J97, 2)</f>
        <v/>
      </c>
      <c r="L97" s="23">
        <f>ROUND(K97/1000, 3)</f>
        <v/>
      </c>
      <c r="M97" s="8">
        <f>IF(AO97="","",IF(INDEX(Theo_Doi_Tan_Suat_Be_Tong!$C:$C,AO97)="","",INDEX(Theo_Doi_Tan_Suat_Be_Tong!$C:$C,AO97)-VLOOKUP(AN97,$AQ$2:$AR$7,2,FALSE)))</f>
        <v/>
      </c>
      <c r="N97" s="6" t="n"/>
      <c r="O97" s="24">
        <f>IF(ROUNDUP(S97/20,0)&gt;ROUNDUP(S96/20,0),"TN Ø16 (Lần " &amp; ROUNDUP(S97/20,0) &amp; ")","")</f>
        <v/>
      </c>
      <c r="P97" s="20">
        <f>ROUND(P96+IF(AND(E97&lt;=10,F97&lt;&gt;"ASTM A416"),L97,0),3)</f>
        <v/>
      </c>
      <c r="Q97" s="20">
        <f>ROUND(Q96+IF(AND(E97=12,F97&lt;&gt;"ASTM A416"),L97,0),3)</f>
        <v/>
      </c>
      <c r="R97" s="20">
        <f>ROUND(R96+IF(AND(E97=14,F97&lt;&gt;"ASTM A416"),L97,0),3)</f>
        <v/>
      </c>
      <c r="S97" s="20">
        <f>ROUND(S96+IF(AND(E97=16,F97&lt;&gt;"ASTM A416"),L97,0),3)</f>
        <v/>
      </c>
      <c r="T97" s="20">
        <f>ROUND(T96+IF(AND(E97=18,F97&lt;&gt;"ASTM A416"),L97,0),3)</f>
        <v/>
      </c>
      <c r="U97" s="20">
        <f>ROUND(U96+IF(AND(E97=20,F97&lt;&gt;"ASTM A416"),L97,0),3)</f>
        <v/>
      </c>
      <c r="V97" s="20">
        <f>ROUND(V96+IF(AND(E97=22,F97&lt;&gt;"ASTM A416"),L97,0),3)</f>
        <v/>
      </c>
      <c r="W97" s="20">
        <f>ROUND(W96+IF(AND(E97=25,F97&lt;&gt;"ASTM A416"),L97,0),3)</f>
        <v/>
      </c>
      <c r="X97" s="20">
        <f>ROUND(X96+IF(AND(E97=28,F97&lt;&gt;"ASTM A416"),L97,0),3)</f>
        <v/>
      </c>
      <c r="Y97" s="20">
        <f>ROUND(Y96+IF(AND(E97=32,F97&lt;&gt;"ASTM A416"),L97,0),3)</f>
        <v/>
      </c>
      <c r="Z97" s="20">
        <f>ROUND(Z96+IF(F97="ASTM A416",L97,0),3)</f>
        <v/>
      </c>
      <c r="AA97" s="11">
        <f>IF(ROUNDUP(P97/20,0)&gt;ROUNDUP(P96/20,0),"Lần " &amp; ROUNDUP(P97/20,0),"")</f>
        <v/>
      </c>
      <c r="AB97" s="11">
        <f>IF(ROUNDUP(Q97/20,0)&gt;ROUNDUP(Q96/20,0),"Lần " &amp; ROUNDUP(Q97/20,0),"")</f>
        <v/>
      </c>
      <c r="AC97" s="11">
        <f>IF(ROUNDUP(R97/20,0)&gt;ROUNDUP(R96/20,0),"Lần " &amp; ROUNDUP(R97/20,0),"")</f>
        <v/>
      </c>
      <c r="AD97" s="11">
        <f>IF(ROUNDUP(S97/20,0)&gt;ROUNDUP(S96/20,0),"Lần " &amp; ROUNDUP(S97/20,0),"")</f>
        <v/>
      </c>
      <c r="AE97" s="11">
        <f>IF(ROUNDUP(T97/20,0)&gt;ROUNDUP(T96/20,0),"Lần " &amp; ROUNDUP(T97/20,0),"")</f>
        <v/>
      </c>
      <c r="AF97" s="11">
        <f>IF(ROUNDUP(U97/20,0)&gt;ROUNDUP(U96/20,0),"Lần " &amp; ROUNDUP(U97/20,0),"")</f>
        <v/>
      </c>
      <c r="AG97" s="11">
        <f>IF(ROUNDUP(V97/20,0)&gt;ROUNDUP(V96/20,0),"Lần " &amp; ROUNDUP(V97/20,0),"")</f>
        <v/>
      </c>
      <c r="AH97" s="11">
        <f>IF(ROUNDUP(W97/20,0)&gt;ROUNDUP(W96/20,0),"Lần " &amp; ROUNDUP(W97/20,0),"")</f>
        <v/>
      </c>
      <c r="AI97" s="11">
        <f>IF(ROUNDUP(X97/20,0)&gt;ROUNDUP(X96/20,0),"Lần " &amp; ROUNDUP(X97/20,0),"")</f>
        <v/>
      </c>
      <c r="AJ97" s="11">
        <f>IF(ROUNDUP(Y97/20,0)&gt;ROUNDUP(Y96/20,0),"Lần " &amp; ROUNDUP(Y97/20,0),"")</f>
        <v/>
      </c>
      <c r="AK97" s="11">
        <f>IF(ROUNDUP(Z97/20,0)&gt;ROUNDUP(Z96/20,0),"Lần " &amp; ROUNDUP(Z97/20,0),"")</f>
        <v/>
      </c>
      <c r="AL97" s="6" t="n"/>
      <c r="AN97" t="inlineStr">
        <is>
          <t>Than</t>
        </is>
      </c>
      <c r="AO97" t="n">
        <v>54</v>
      </c>
    </row>
    <row r="98" ht="19" customHeight="1">
      <c r="A98" s="6" t="n">
        <v>94</v>
      </c>
      <c r="B98" s="7" t="inlineStr">
        <is>
          <t>Mố M2</t>
        </is>
      </c>
      <c r="C98" s="7" t="inlineStr">
        <is>
          <t>Mố M2 (tr.40)</t>
        </is>
      </c>
      <c r="D98" s="18" t="inlineStr">
        <is>
          <t>P4</t>
        </is>
      </c>
      <c r="E98" s="19" t="n">
        <v>14</v>
      </c>
      <c r="F98" s="6" t="inlineStr">
        <is>
          <t>CB400-V</t>
        </is>
      </c>
      <c r="G98" s="7" t="inlineStr">
        <is>
          <t>S06</t>
        </is>
      </c>
      <c r="H98" s="20" t="n">
        <v>0.585</v>
      </c>
      <c r="I98" s="21" t="n">
        <v>60</v>
      </c>
      <c r="J98" s="22" t="n">
        <v>1.208</v>
      </c>
      <c r="K98" s="9">
        <f>ROUND(H98*I98*J98, 2)</f>
        <v/>
      </c>
      <c r="L98" s="23">
        <f>ROUND(K98/1000, 3)</f>
        <v/>
      </c>
      <c r="M98" s="8">
        <f>IF(AO98="","",IF(INDEX(Theo_Doi_Tan_Suat_Be_Tong!$C:$C,AO98)="","",INDEX(Theo_Doi_Tan_Suat_Be_Tong!$C:$C,AO98)-VLOOKUP(AN98,$AQ$2:$AR$7,2,FALSE)))</f>
        <v/>
      </c>
      <c r="N98" s="6" t="n"/>
      <c r="O98" s="24">
        <f>IF(ROUNDUP(R98/20,0)&gt;ROUNDUP(R97/20,0),"TN Ø14 (Lần " &amp; ROUNDUP(R98/20,0) &amp; ")","")</f>
        <v/>
      </c>
      <c r="P98" s="20">
        <f>ROUND(P97+IF(AND(E98&lt;=10,F98&lt;&gt;"ASTM A416"),L98,0),3)</f>
        <v/>
      </c>
      <c r="Q98" s="20">
        <f>ROUND(Q97+IF(AND(E98=12,F98&lt;&gt;"ASTM A416"),L98,0),3)</f>
        <v/>
      </c>
      <c r="R98" s="20">
        <f>ROUND(R97+IF(AND(E98=14,F98&lt;&gt;"ASTM A416"),L98,0),3)</f>
        <v/>
      </c>
      <c r="S98" s="20">
        <f>ROUND(S97+IF(AND(E98=16,F98&lt;&gt;"ASTM A416"),L98,0),3)</f>
        <v/>
      </c>
      <c r="T98" s="20">
        <f>ROUND(T97+IF(AND(E98=18,F98&lt;&gt;"ASTM A416"),L98,0),3)</f>
        <v/>
      </c>
      <c r="U98" s="20">
        <f>ROUND(U97+IF(AND(E98=20,F98&lt;&gt;"ASTM A416"),L98,0),3)</f>
        <v/>
      </c>
      <c r="V98" s="20">
        <f>ROUND(V97+IF(AND(E98=22,F98&lt;&gt;"ASTM A416"),L98,0),3)</f>
        <v/>
      </c>
      <c r="W98" s="20">
        <f>ROUND(W97+IF(AND(E98=25,F98&lt;&gt;"ASTM A416"),L98,0),3)</f>
        <v/>
      </c>
      <c r="X98" s="20">
        <f>ROUND(X97+IF(AND(E98=28,F98&lt;&gt;"ASTM A416"),L98,0),3)</f>
        <v/>
      </c>
      <c r="Y98" s="20">
        <f>ROUND(Y97+IF(AND(E98=32,F98&lt;&gt;"ASTM A416"),L98,0),3)</f>
        <v/>
      </c>
      <c r="Z98" s="20">
        <f>ROUND(Z97+IF(F98="ASTM A416",L98,0),3)</f>
        <v/>
      </c>
      <c r="AA98" s="11">
        <f>IF(ROUNDUP(P98/20,0)&gt;ROUNDUP(P97/20,0),"Lần " &amp; ROUNDUP(P98/20,0),"")</f>
        <v/>
      </c>
      <c r="AB98" s="11">
        <f>IF(ROUNDUP(Q98/20,0)&gt;ROUNDUP(Q97/20,0),"Lần " &amp; ROUNDUP(Q98/20,0),"")</f>
        <v/>
      </c>
      <c r="AC98" s="11">
        <f>IF(ROUNDUP(R98/20,0)&gt;ROUNDUP(R97/20,0),"Lần " &amp; ROUNDUP(R98/20,0),"")</f>
        <v/>
      </c>
      <c r="AD98" s="11">
        <f>IF(ROUNDUP(S98/20,0)&gt;ROUNDUP(S97/20,0),"Lần " &amp; ROUNDUP(S98/20,0),"")</f>
        <v/>
      </c>
      <c r="AE98" s="11">
        <f>IF(ROUNDUP(T98/20,0)&gt;ROUNDUP(T97/20,0),"Lần " &amp; ROUNDUP(T98/20,0),"")</f>
        <v/>
      </c>
      <c r="AF98" s="11">
        <f>IF(ROUNDUP(U98/20,0)&gt;ROUNDUP(U97/20,0),"Lần " &amp; ROUNDUP(U98/20,0),"")</f>
        <v/>
      </c>
      <c r="AG98" s="11">
        <f>IF(ROUNDUP(V98/20,0)&gt;ROUNDUP(V97/20,0),"Lần " &amp; ROUNDUP(V98/20,0),"")</f>
        <v/>
      </c>
      <c r="AH98" s="11">
        <f>IF(ROUNDUP(W98/20,0)&gt;ROUNDUP(W97/20,0),"Lần " &amp; ROUNDUP(W98/20,0),"")</f>
        <v/>
      </c>
      <c r="AI98" s="11">
        <f>IF(ROUNDUP(X98/20,0)&gt;ROUNDUP(X97/20,0),"Lần " &amp; ROUNDUP(X98/20,0),"")</f>
        <v/>
      </c>
      <c r="AJ98" s="11">
        <f>IF(ROUNDUP(Y98/20,0)&gt;ROUNDUP(Y97/20,0),"Lần " &amp; ROUNDUP(Y98/20,0),"")</f>
        <v/>
      </c>
      <c r="AK98" s="11">
        <f>IF(ROUNDUP(Z98/20,0)&gt;ROUNDUP(Z97/20,0),"Lần " &amp; ROUNDUP(Z98/20,0),"")</f>
        <v/>
      </c>
      <c r="AL98" s="6" t="n"/>
      <c r="AN98" t="inlineStr">
        <is>
          <t>Than</t>
        </is>
      </c>
      <c r="AO98" t="n">
        <v>54</v>
      </c>
    </row>
    <row r="99" ht="19" customHeight="1">
      <c r="A99" s="6" t="n">
        <v>95</v>
      </c>
      <c r="B99" s="7" t="inlineStr">
        <is>
          <t>Mố M2</t>
        </is>
      </c>
      <c r="C99" s="7" t="inlineStr">
        <is>
          <t>Mố M2 (tr.40)</t>
        </is>
      </c>
      <c r="D99" s="18" t="inlineStr">
        <is>
          <t>H1</t>
        </is>
      </c>
      <c r="E99" s="19" t="n">
        <v>25</v>
      </c>
      <c r="F99" s="6" t="inlineStr">
        <is>
          <t>CB240-T</t>
        </is>
      </c>
      <c r="G99" s="7" t="inlineStr">
        <is>
          <t>S05</t>
        </is>
      </c>
      <c r="H99" s="20" t="n">
        <v>1.07</v>
      </c>
      <c r="I99" s="21" t="n">
        <v>23</v>
      </c>
      <c r="J99" s="22" t="n">
        <v>3.853</v>
      </c>
      <c r="K99" s="9">
        <f>ROUND(H99*I99*J99, 2)</f>
        <v/>
      </c>
      <c r="L99" s="23">
        <f>ROUND(K99/1000, 3)</f>
        <v/>
      </c>
      <c r="M99" s="8">
        <f>IF(AO99="","",IF(INDEX(Theo_Doi_Tan_Suat_Be_Tong!$C:$C,AO99)="","",INDEX(Theo_Doi_Tan_Suat_Be_Tong!$C:$C,AO99)-VLOOKUP(AN99,$AQ$2:$AR$7,2,FALSE)))</f>
        <v/>
      </c>
      <c r="N99" s="6" t="n"/>
      <c r="O99" s="24">
        <f>IF(ROUNDUP(W99/20,0)&gt;ROUNDUP(W98/20,0),"TN Ø25 (Lần " &amp; ROUNDUP(W99/20,0) &amp; ")","")</f>
        <v/>
      </c>
      <c r="P99" s="20">
        <f>ROUND(P98+IF(AND(E99&lt;=10,F99&lt;&gt;"ASTM A416"),L99,0),3)</f>
        <v/>
      </c>
      <c r="Q99" s="20">
        <f>ROUND(Q98+IF(AND(E99=12,F99&lt;&gt;"ASTM A416"),L99,0),3)</f>
        <v/>
      </c>
      <c r="R99" s="20">
        <f>ROUND(R98+IF(AND(E99=14,F99&lt;&gt;"ASTM A416"),L99,0),3)</f>
        <v/>
      </c>
      <c r="S99" s="20">
        <f>ROUND(S98+IF(AND(E99=16,F99&lt;&gt;"ASTM A416"),L99,0),3)</f>
        <v/>
      </c>
      <c r="T99" s="20">
        <f>ROUND(T98+IF(AND(E99=18,F99&lt;&gt;"ASTM A416"),L99,0),3)</f>
        <v/>
      </c>
      <c r="U99" s="20">
        <f>ROUND(U98+IF(AND(E99=20,F99&lt;&gt;"ASTM A416"),L99,0),3)</f>
        <v/>
      </c>
      <c r="V99" s="20">
        <f>ROUND(V98+IF(AND(E99=22,F99&lt;&gt;"ASTM A416"),L99,0),3)</f>
        <v/>
      </c>
      <c r="W99" s="20">
        <f>ROUND(W98+IF(AND(E99=25,F99&lt;&gt;"ASTM A416"),L99,0),3)</f>
        <v/>
      </c>
      <c r="X99" s="20">
        <f>ROUND(X98+IF(AND(E99=28,F99&lt;&gt;"ASTM A416"),L99,0),3)</f>
        <v/>
      </c>
      <c r="Y99" s="20">
        <f>ROUND(Y98+IF(AND(E99=32,F99&lt;&gt;"ASTM A416"),L99,0),3)</f>
        <v/>
      </c>
      <c r="Z99" s="20">
        <f>ROUND(Z98+IF(F99="ASTM A416",L99,0),3)</f>
        <v/>
      </c>
      <c r="AA99" s="11">
        <f>IF(ROUNDUP(P99/20,0)&gt;ROUNDUP(P98/20,0),"Lần " &amp; ROUNDUP(P99/20,0),"")</f>
        <v/>
      </c>
      <c r="AB99" s="11">
        <f>IF(ROUNDUP(Q99/20,0)&gt;ROUNDUP(Q98/20,0),"Lần " &amp; ROUNDUP(Q99/20,0),"")</f>
        <v/>
      </c>
      <c r="AC99" s="11">
        <f>IF(ROUNDUP(R99/20,0)&gt;ROUNDUP(R98/20,0),"Lần " &amp; ROUNDUP(R99/20,0),"")</f>
        <v/>
      </c>
      <c r="AD99" s="11">
        <f>IF(ROUNDUP(S99/20,0)&gt;ROUNDUP(S98/20,0),"Lần " &amp; ROUNDUP(S99/20,0),"")</f>
        <v/>
      </c>
      <c r="AE99" s="11">
        <f>IF(ROUNDUP(T99/20,0)&gt;ROUNDUP(T98/20,0),"Lần " &amp; ROUNDUP(T99/20,0),"")</f>
        <v/>
      </c>
      <c r="AF99" s="11">
        <f>IF(ROUNDUP(U99/20,0)&gt;ROUNDUP(U98/20,0),"Lần " &amp; ROUNDUP(U99/20,0),"")</f>
        <v/>
      </c>
      <c r="AG99" s="11">
        <f>IF(ROUNDUP(V99/20,0)&gt;ROUNDUP(V98/20,0),"Lần " &amp; ROUNDUP(V99/20,0),"")</f>
        <v/>
      </c>
      <c r="AH99" s="11">
        <f>IF(ROUNDUP(W99/20,0)&gt;ROUNDUP(W98/20,0),"Lần " &amp; ROUNDUP(W99/20,0),"")</f>
        <v/>
      </c>
      <c r="AI99" s="11">
        <f>IF(ROUNDUP(X99/20,0)&gt;ROUNDUP(X98/20,0),"Lần " &amp; ROUNDUP(X99/20,0),"")</f>
        <v/>
      </c>
      <c r="AJ99" s="11">
        <f>IF(ROUNDUP(Y99/20,0)&gt;ROUNDUP(Y98/20,0),"Lần " &amp; ROUNDUP(Y99/20,0),"")</f>
        <v/>
      </c>
      <c r="AK99" s="11">
        <f>IF(ROUNDUP(Z99/20,0)&gt;ROUNDUP(Z98/20,0),"Lần " &amp; ROUNDUP(Z99/20,0),"")</f>
        <v/>
      </c>
      <c r="AL99" s="6" t="n"/>
      <c r="AN99" t="inlineStr">
        <is>
          <t>Than</t>
        </is>
      </c>
      <c r="AO99" t="n">
        <v>54</v>
      </c>
    </row>
    <row r="100" ht="19" customHeight="1">
      <c r="A100" s="6" t="n">
        <v>96</v>
      </c>
      <c r="B100" s="7" t="inlineStr">
        <is>
          <t>Mố M2</t>
        </is>
      </c>
      <c r="C100" s="7" t="inlineStr">
        <is>
          <t>Mố M2 (tr.40)</t>
        </is>
      </c>
      <c r="D100" s="18" t="inlineStr">
        <is>
          <t>H2</t>
        </is>
      </c>
      <c r="E100" s="19" t="n">
        <v>8</v>
      </c>
      <c r="F100" s="6" t="inlineStr">
        <is>
          <t>CB240-T</t>
        </is>
      </c>
      <c r="G100" s="7" t="inlineStr">
        <is>
          <t>S32</t>
        </is>
      </c>
      <c r="H100" s="20" t="n">
        <v>2.132</v>
      </c>
      <c r="I100" s="21" t="n">
        <v>23</v>
      </c>
      <c r="J100" s="22" t="n">
        <v>0.395</v>
      </c>
      <c r="K100" s="9">
        <f>ROUND(H100*I100*J100, 2)</f>
        <v/>
      </c>
      <c r="L100" s="23">
        <f>ROUND(K100/1000, 3)</f>
        <v/>
      </c>
      <c r="M100" s="8">
        <f>IF(AO100="","",IF(INDEX(Theo_Doi_Tan_Suat_Be_Tong!$C:$C,AO100)="","",INDEX(Theo_Doi_Tan_Suat_Be_Tong!$C:$C,AO100)-VLOOKUP(AN100,$AQ$2:$AR$7,2,FALSE)))</f>
        <v/>
      </c>
      <c r="N100" s="6" t="n"/>
      <c r="O100" s="24">
        <f>IF(ROUNDUP(P100/20,0)&gt;ROUNDUP(P99/20,0),"TN Ø10 (Lần " &amp; ROUNDUP(P100/20,0) &amp; ")","")</f>
        <v/>
      </c>
      <c r="P100" s="20">
        <f>ROUND(P99+IF(AND(E100&lt;=10,F100&lt;&gt;"ASTM A416"),L100,0),3)</f>
        <v/>
      </c>
      <c r="Q100" s="20">
        <f>ROUND(Q99+IF(AND(E100=12,F100&lt;&gt;"ASTM A416"),L100,0),3)</f>
        <v/>
      </c>
      <c r="R100" s="20">
        <f>ROUND(R99+IF(AND(E100=14,F100&lt;&gt;"ASTM A416"),L100,0),3)</f>
        <v/>
      </c>
      <c r="S100" s="20">
        <f>ROUND(S99+IF(AND(E100=16,F100&lt;&gt;"ASTM A416"),L100,0),3)</f>
        <v/>
      </c>
      <c r="T100" s="20">
        <f>ROUND(T99+IF(AND(E100=18,F100&lt;&gt;"ASTM A416"),L100,0),3)</f>
        <v/>
      </c>
      <c r="U100" s="20">
        <f>ROUND(U99+IF(AND(E100=20,F100&lt;&gt;"ASTM A416"),L100,0),3)</f>
        <v/>
      </c>
      <c r="V100" s="20">
        <f>ROUND(V99+IF(AND(E100=22,F100&lt;&gt;"ASTM A416"),L100,0),3)</f>
        <v/>
      </c>
      <c r="W100" s="20">
        <f>ROUND(W99+IF(AND(E100=25,F100&lt;&gt;"ASTM A416"),L100,0),3)</f>
        <v/>
      </c>
      <c r="X100" s="20">
        <f>ROUND(X99+IF(AND(E100=28,F100&lt;&gt;"ASTM A416"),L100,0),3)</f>
        <v/>
      </c>
      <c r="Y100" s="20">
        <f>ROUND(Y99+IF(AND(E100=32,F100&lt;&gt;"ASTM A416"),L100,0),3)</f>
        <v/>
      </c>
      <c r="Z100" s="20">
        <f>ROUND(Z99+IF(F100="ASTM A416",L100,0),3)</f>
        <v/>
      </c>
      <c r="AA100" s="11">
        <f>IF(ROUNDUP(P100/20,0)&gt;ROUNDUP(P99/20,0),"Lần " &amp; ROUNDUP(P100/20,0),"")</f>
        <v/>
      </c>
      <c r="AB100" s="11">
        <f>IF(ROUNDUP(Q100/20,0)&gt;ROUNDUP(Q99/20,0),"Lần " &amp; ROUNDUP(Q100/20,0),"")</f>
        <v/>
      </c>
      <c r="AC100" s="11">
        <f>IF(ROUNDUP(R100/20,0)&gt;ROUNDUP(R99/20,0),"Lần " &amp; ROUNDUP(R100/20,0),"")</f>
        <v/>
      </c>
      <c r="AD100" s="11">
        <f>IF(ROUNDUP(S100/20,0)&gt;ROUNDUP(S99/20,0),"Lần " &amp; ROUNDUP(S100/20,0),"")</f>
        <v/>
      </c>
      <c r="AE100" s="11">
        <f>IF(ROUNDUP(T100/20,0)&gt;ROUNDUP(T99/20,0),"Lần " &amp; ROUNDUP(T100/20,0),"")</f>
        <v/>
      </c>
      <c r="AF100" s="11">
        <f>IF(ROUNDUP(U100/20,0)&gt;ROUNDUP(U99/20,0),"Lần " &amp; ROUNDUP(U100/20,0),"")</f>
        <v/>
      </c>
      <c r="AG100" s="11">
        <f>IF(ROUNDUP(V100/20,0)&gt;ROUNDUP(V99/20,0),"Lần " &amp; ROUNDUP(V100/20,0),"")</f>
        <v/>
      </c>
      <c r="AH100" s="11">
        <f>IF(ROUNDUP(W100/20,0)&gt;ROUNDUP(W99/20,0),"Lần " &amp; ROUNDUP(W100/20,0),"")</f>
        <v/>
      </c>
      <c r="AI100" s="11">
        <f>IF(ROUNDUP(X100/20,0)&gt;ROUNDUP(X99/20,0),"Lần " &amp; ROUNDUP(X100/20,0),"")</f>
        <v/>
      </c>
      <c r="AJ100" s="11">
        <f>IF(ROUNDUP(Y100/20,0)&gt;ROUNDUP(Y99/20,0),"Lần " &amp; ROUNDUP(Y100/20,0),"")</f>
        <v/>
      </c>
      <c r="AK100" s="11">
        <f>IF(ROUNDUP(Z100/20,0)&gt;ROUNDUP(Z99/20,0),"Lần " &amp; ROUNDUP(Z100/20,0),"")</f>
        <v/>
      </c>
      <c r="AL100" s="6" t="n"/>
      <c r="AN100" t="inlineStr">
        <is>
          <t>Than</t>
        </is>
      </c>
      <c r="AO100" t="n">
        <v>54</v>
      </c>
    </row>
    <row r="101" ht="19" customHeight="1">
      <c r="A101" s="6" t="n">
        <v>97</v>
      </c>
      <c r="B101" s="7" t="inlineStr">
        <is>
          <t>Mố M2</t>
        </is>
      </c>
      <c r="C101" s="7" t="inlineStr">
        <is>
          <t>Mố M2 (tr.40)</t>
        </is>
      </c>
      <c r="D101" s="18" t="inlineStr">
        <is>
          <t>W1A(T)</t>
        </is>
      </c>
      <c r="E101" s="19" t="n">
        <v>16</v>
      </c>
      <c r="F101" s="6" t="inlineStr">
        <is>
          <t>CB400-V</t>
        </is>
      </c>
      <c r="G101" s="7" t="inlineStr">
        <is>
          <t>S06</t>
        </is>
      </c>
      <c r="H101" s="20" t="n">
        <v>10.287</v>
      </c>
      <c r="I101" s="21" t="n">
        <v>20</v>
      </c>
      <c r="J101" s="22" t="n">
        <v>1.578</v>
      </c>
      <c r="K101" s="9">
        <f>ROUND(H101*I101*J101, 2)</f>
        <v/>
      </c>
      <c r="L101" s="23">
        <f>ROUND(K101/1000, 3)</f>
        <v/>
      </c>
      <c r="M101" s="8">
        <f>IF(AO101="","",IF(INDEX(Theo_Doi_Tan_Suat_Be_Tong!$C:$C,AO101)="","",INDEX(Theo_Doi_Tan_Suat_Be_Tong!$C:$C,AO101)-VLOOKUP(AN101,$AQ$2:$AR$7,2,FALSE)))</f>
        <v/>
      </c>
      <c r="N101" s="6" t="n"/>
      <c r="O101" s="24">
        <f>IF(ROUNDUP(S101/20,0)&gt;ROUNDUP(S100/20,0),"TN Ø16 (Lần " &amp; ROUNDUP(S101/20,0) &amp; ")","")</f>
        <v/>
      </c>
      <c r="P101" s="20">
        <f>ROUND(P100+IF(AND(E101&lt;=10,F101&lt;&gt;"ASTM A416"),L101,0),3)</f>
        <v/>
      </c>
      <c r="Q101" s="20">
        <f>ROUND(Q100+IF(AND(E101=12,F101&lt;&gt;"ASTM A416"),L101,0),3)</f>
        <v/>
      </c>
      <c r="R101" s="20">
        <f>ROUND(R100+IF(AND(E101=14,F101&lt;&gt;"ASTM A416"),L101,0),3)</f>
        <v/>
      </c>
      <c r="S101" s="20">
        <f>ROUND(S100+IF(AND(E101=16,F101&lt;&gt;"ASTM A416"),L101,0),3)</f>
        <v/>
      </c>
      <c r="T101" s="20">
        <f>ROUND(T100+IF(AND(E101=18,F101&lt;&gt;"ASTM A416"),L101,0),3)</f>
        <v/>
      </c>
      <c r="U101" s="20">
        <f>ROUND(U100+IF(AND(E101=20,F101&lt;&gt;"ASTM A416"),L101,0),3)</f>
        <v/>
      </c>
      <c r="V101" s="20">
        <f>ROUND(V100+IF(AND(E101=22,F101&lt;&gt;"ASTM A416"),L101,0),3)</f>
        <v/>
      </c>
      <c r="W101" s="20">
        <f>ROUND(W100+IF(AND(E101=25,F101&lt;&gt;"ASTM A416"),L101,0),3)</f>
        <v/>
      </c>
      <c r="X101" s="20">
        <f>ROUND(X100+IF(AND(E101=28,F101&lt;&gt;"ASTM A416"),L101,0),3)</f>
        <v/>
      </c>
      <c r="Y101" s="20">
        <f>ROUND(Y100+IF(AND(E101=32,F101&lt;&gt;"ASTM A416"),L101,0),3)</f>
        <v/>
      </c>
      <c r="Z101" s="20">
        <f>ROUND(Z100+IF(F101="ASTM A416",L101,0),3)</f>
        <v/>
      </c>
      <c r="AA101" s="11">
        <f>IF(ROUNDUP(P101/20,0)&gt;ROUNDUP(P100/20,0),"Lần " &amp; ROUNDUP(P101/20,0),"")</f>
        <v/>
      </c>
      <c r="AB101" s="11">
        <f>IF(ROUNDUP(Q101/20,0)&gt;ROUNDUP(Q100/20,0),"Lần " &amp; ROUNDUP(Q101/20,0),"")</f>
        <v/>
      </c>
      <c r="AC101" s="11">
        <f>IF(ROUNDUP(R101/20,0)&gt;ROUNDUP(R100/20,0),"Lần " &amp; ROUNDUP(R101/20,0),"")</f>
        <v/>
      </c>
      <c r="AD101" s="11">
        <f>IF(ROUNDUP(S101/20,0)&gt;ROUNDUP(S100/20,0),"Lần " &amp; ROUNDUP(S101/20,0),"")</f>
        <v/>
      </c>
      <c r="AE101" s="11">
        <f>IF(ROUNDUP(T101/20,0)&gt;ROUNDUP(T100/20,0),"Lần " &amp; ROUNDUP(T101/20,0),"")</f>
        <v/>
      </c>
      <c r="AF101" s="11">
        <f>IF(ROUNDUP(U101/20,0)&gt;ROUNDUP(U100/20,0),"Lần " &amp; ROUNDUP(U101/20,0),"")</f>
        <v/>
      </c>
      <c r="AG101" s="11">
        <f>IF(ROUNDUP(V101/20,0)&gt;ROUNDUP(V100/20,0),"Lần " &amp; ROUNDUP(V101/20,0),"")</f>
        <v/>
      </c>
      <c r="AH101" s="11">
        <f>IF(ROUNDUP(W101/20,0)&gt;ROUNDUP(W100/20,0),"Lần " &amp; ROUNDUP(W101/20,0),"")</f>
        <v/>
      </c>
      <c r="AI101" s="11">
        <f>IF(ROUNDUP(X101/20,0)&gt;ROUNDUP(X100/20,0),"Lần " &amp; ROUNDUP(X101/20,0),"")</f>
        <v/>
      </c>
      <c r="AJ101" s="11">
        <f>IF(ROUNDUP(Y101/20,0)&gt;ROUNDUP(Y100/20,0),"Lần " &amp; ROUNDUP(Y101/20,0),"")</f>
        <v/>
      </c>
      <c r="AK101" s="11">
        <f>IF(ROUNDUP(Z101/20,0)&gt;ROUNDUP(Z100/20,0),"Lần " &amp; ROUNDUP(Z101/20,0),"")</f>
        <v/>
      </c>
      <c r="AL101" s="6" t="n"/>
      <c r="AN101" t="inlineStr">
        <is>
          <t>Than</t>
        </is>
      </c>
      <c r="AO101" t="n">
        <v>54</v>
      </c>
    </row>
    <row r="102" ht="19" customHeight="1">
      <c r="A102" s="6" t="n">
        <v>98</v>
      </c>
      <c r="B102" s="7" t="inlineStr">
        <is>
          <t>Mố M2</t>
        </is>
      </c>
      <c r="C102" s="7" t="inlineStr">
        <is>
          <t>Mố M2 (tr.40)</t>
        </is>
      </c>
      <c r="D102" s="18" t="inlineStr">
        <is>
          <t>W1B(T)</t>
        </is>
      </c>
      <c r="E102" s="19" t="n">
        <v>16</v>
      </c>
      <c r="F102" s="6" t="inlineStr">
        <is>
          <t>CB400-V</t>
        </is>
      </c>
      <c r="G102" s="7" t="inlineStr">
        <is>
          <t>S06</t>
        </is>
      </c>
      <c r="H102" s="20" t="n">
        <v>4.739</v>
      </c>
      <c r="I102" s="21" t="n">
        <v>20</v>
      </c>
      <c r="J102" s="22" t="n">
        <v>1.578</v>
      </c>
      <c r="K102" s="9">
        <f>ROUND(H102*I102*J102, 2)</f>
        <v/>
      </c>
      <c r="L102" s="23">
        <f>ROUND(K102/1000, 3)</f>
        <v/>
      </c>
      <c r="M102" s="8">
        <f>IF(AO102="","",IF(INDEX(Theo_Doi_Tan_Suat_Be_Tong!$C:$C,AO102)="","",INDEX(Theo_Doi_Tan_Suat_Be_Tong!$C:$C,AO102)-VLOOKUP(AN102,$AQ$2:$AR$7,2,FALSE)))</f>
        <v/>
      </c>
      <c r="N102" s="6" t="n"/>
      <c r="O102" s="24">
        <f>IF(ROUNDUP(S102/20,0)&gt;ROUNDUP(S101/20,0),"TN Ø16 (Lần " &amp; ROUNDUP(S102/20,0) &amp; ")","")</f>
        <v/>
      </c>
      <c r="P102" s="20">
        <f>ROUND(P101+IF(AND(E102&lt;=10,F102&lt;&gt;"ASTM A416"),L102,0),3)</f>
        <v/>
      </c>
      <c r="Q102" s="20">
        <f>ROUND(Q101+IF(AND(E102=12,F102&lt;&gt;"ASTM A416"),L102,0),3)</f>
        <v/>
      </c>
      <c r="R102" s="20">
        <f>ROUND(R101+IF(AND(E102=14,F102&lt;&gt;"ASTM A416"),L102,0),3)</f>
        <v/>
      </c>
      <c r="S102" s="20">
        <f>ROUND(S101+IF(AND(E102=16,F102&lt;&gt;"ASTM A416"),L102,0),3)</f>
        <v/>
      </c>
      <c r="T102" s="20">
        <f>ROUND(T101+IF(AND(E102=18,F102&lt;&gt;"ASTM A416"),L102,0),3)</f>
        <v/>
      </c>
      <c r="U102" s="20">
        <f>ROUND(U101+IF(AND(E102=20,F102&lt;&gt;"ASTM A416"),L102,0),3)</f>
        <v/>
      </c>
      <c r="V102" s="20">
        <f>ROUND(V101+IF(AND(E102=22,F102&lt;&gt;"ASTM A416"),L102,0),3)</f>
        <v/>
      </c>
      <c r="W102" s="20">
        <f>ROUND(W101+IF(AND(E102=25,F102&lt;&gt;"ASTM A416"),L102,0),3)</f>
        <v/>
      </c>
      <c r="X102" s="20">
        <f>ROUND(X101+IF(AND(E102=28,F102&lt;&gt;"ASTM A416"),L102,0),3)</f>
        <v/>
      </c>
      <c r="Y102" s="20">
        <f>ROUND(Y101+IF(AND(E102=32,F102&lt;&gt;"ASTM A416"),L102,0),3)</f>
        <v/>
      </c>
      <c r="Z102" s="20">
        <f>ROUND(Z101+IF(F102="ASTM A416",L102,0),3)</f>
        <v/>
      </c>
      <c r="AA102" s="11">
        <f>IF(ROUNDUP(P102/20,0)&gt;ROUNDUP(P101/20,0),"Lần " &amp; ROUNDUP(P102/20,0),"")</f>
        <v/>
      </c>
      <c r="AB102" s="11">
        <f>IF(ROUNDUP(Q102/20,0)&gt;ROUNDUP(Q101/20,0),"Lần " &amp; ROUNDUP(Q102/20,0),"")</f>
        <v/>
      </c>
      <c r="AC102" s="11">
        <f>IF(ROUNDUP(R102/20,0)&gt;ROUNDUP(R101/20,0),"Lần " &amp; ROUNDUP(R102/20,0),"")</f>
        <v/>
      </c>
      <c r="AD102" s="11">
        <f>IF(ROUNDUP(S102/20,0)&gt;ROUNDUP(S101/20,0),"Lần " &amp; ROUNDUP(S102/20,0),"")</f>
        <v/>
      </c>
      <c r="AE102" s="11">
        <f>IF(ROUNDUP(T102/20,0)&gt;ROUNDUP(T101/20,0),"Lần " &amp; ROUNDUP(T102/20,0),"")</f>
        <v/>
      </c>
      <c r="AF102" s="11">
        <f>IF(ROUNDUP(U102/20,0)&gt;ROUNDUP(U101/20,0),"Lần " &amp; ROUNDUP(U102/20,0),"")</f>
        <v/>
      </c>
      <c r="AG102" s="11">
        <f>IF(ROUNDUP(V102/20,0)&gt;ROUNDUP(V101/20,0),"Lần " &amp; ROUNDUP(V102/20,0),"")</f>
        <v/>
      </c>
      <c r="AH102" s="11">
        <f>IF(ROUNDUP(W102/20,0)&gt;ROUNDUP(W101/20,0),"Lần " &amp; ROUNDUP(W102/20,0),"")</f>
        <v/>
      </c>
      <c r="AI102" s="11">
        <f>IF(ROUNDUP(X102/20,0)&gt;ROUNDUP(X101/20,0),"Lần " &amp; ROUNDUP(X102/20,0),"")</f>
        <v/>
      </c>
      <c r="AJ102" s="11">
        <f>IF(ROUNDUP(Y102/20,0)&gt;ROUNDUP(Y101/20,0),"Lần " &amp; ROUNDUP(Y102/20,0),"")</f>
        <v/>
      </c>
      <c r="AK102" s="11">
        <f>IF(ROUNDUP(Z102/20,0)&gt;ROUNDUP(Z101/20,0),"Lần " &amp; ROUNDUP(Z102/20,0),"")</f>
        <v/>
      </c>
      <c r="AL102" s="6" t="n"/>
      <c r="AN102" t="inlineStr">
        <is>
          <t>Than</t>
        </is>
      </c>
      <c r="AO102" t="n">
        <v>54</v>
      </c>
    </row>
    <row r="103" ht="19" customHeight="1">
      <c r="A103" s="6" t="n">
        <v>99</v>
      </c>
      <c r="B103" s="7" t="inlineStr">
        <is>
          <t>Mố M2</t>
        </is>
      </c>
      <c r="C103" s="7" t="inlineStr">
        <is>
          <t>Mố M2 (tr.40)</t>
        </is>
      </c>
      <c r="D103" s="18" t="inlineStr">
        <is>
          <t>W2A(T)</t>
        </is>
      </c>
      <c r="E103" s="19" t="n">
        <v>22</v>
      </c>
      <c r="F103" s="6" t="inlineStr">
        <is>
          <t>CB400-V</t>
        </is>
      </c>
      <c r="G103" s="7" t="inlineStr">
        <is>
          <t>S06</t>
        </is>
      </c>
      <c r="H103" s="20" t="n">
        <v>10.455</v>
      </c>
      <c r="I103" s="21" t="n">
        <v>15</v>
      </c>
      <c r="J103" s="22" t="n">
        <v>2.984</v>
      </c>
      <c r="K103" s="9">
        <f>ROUND(H103*I103*J103, 2)</f>
        <v/>
      </c>
      <c r="L103" s="23">
        <f>ROUND(K103/1000, 3)</f>
        <v/>
      </c>
      <c r="M103" s="8">
        <f>IF(AO103="","",IF(INDEX(Theo_Doi_Tan_Suat_Be_Tong!$C:$C,AO103)="","",INDEX(Theo_Doi_Tan_Suat_Be_Tong!$C:$C,AO103)-VLOOKUP(AN103,$AQ$2:$AR$7,2,FALSE)))</f>
        <v/>
      </c>
      <c r="N103" s="6" t="n"/>
      <c r="O103" s="24">
        <f>IF(ROUNDUP(V103/20,0)&gt;ROUNDUP(V102/20,0),"TN Ø22 (Lần " &amp; ROUNDUP(V103/20,0) &amp; ")","")</f>
        <v/>
      </c>
      <c r="P103" s="20">
        <f>ROUND(P102+IF(AND(E103&lt;=10,F103&lt;&gt;"ASTM A416"),L103,0),3)</f>
        <v/>
      </c>
      <c r="Q103" s="20">
        <f>ROUND(Q102+IF(AND(E103=12,F103&lt;&gt;"ASTM A416"),L103,0),3)</f>
        <v/>
      </c>
      <c r="R103" s="20">
        <f>ROUND(R102+IF(AND(E103=14,F103&lt;&gt;"ASTM A416"),L103,0),3)</f>
        <v/>
      </c>
      <c r="S103" s="20">
        <f>ROUND(S102+IF(AND(E103=16,F103&lt;&gt;"ASTM A416"),L103,0),3)</f>
        <v/>
      </c>
      <c r="T103" s="20">
        <f>ROUND(T102+IF(AND(E103=18,F103&lt;&gt;"ASTM A416"),L103,0),3)</f>
        <v/>
      </c>
      <c r="U103" s="20">
        <f>ROUND(U102+IF(AND(E103=20,F103&lt;&gt;"ASTM A416"),L103,0),3)</f>
        <v/>
      </c>
      <c r="V103" s="20">
        <f>ROUND(V102+IF(AND(E103=22,F103&lt;&gt;"ASTM A416"),L103,0),3)</f>
        <v/>
      </c>
      <c r="W103" s="20">
        <f>ROUND(W102+IF(AND(E103=25,F103&lt;&gt;"ASTM A416"),L103,0),3)</f>
        <v/>
      </c>
      <c r="X103" s="20">
        <f>ROUND(X102+IF(AND(E103=28,F103&lt;&gt;"ASTM A416"),L103,0),3)</f>
        <v/>
      </c>
      <c r="Y103" s="20">
        <f>ROUND(Y102+IF(AND(E103=32,F103&lt;&gt;"ASTM A416"),L103,0),3)</f>
        <v/>
      </c>
      <c r="Z103" s="20">
        <f>ROUND(Z102+IF(F103="ASTM A416",L103,0),3)</f>
        <v/>
      </c>
      <c r="AA103" s="11">
        <f>IF(ROUNDUP(P103/20,0)&gt;ROUNDUP(P102/20,0),"Lần " &amp; ROUNDUP(P103/20,0),"")</f>
        <v/>
      </c>
      <c r="AB103" s="11">
        <f>IF(ROUNDUP(Q103/20,0)&gt;ROUNDUP(Q102/20,0),"Lần " &amp; ROUNDUP(Q103/20,0),"")</f>
        <v/>
      </c>
      <c r="AC103" s="11">
        <f>IF(ROUNDUP(R103/20,0)&gt;ROUNDUP(R102/20,0),"Lần " &amp; ROUNDUP(R103/20,0),"")</f>
        <v/>
      </c>
      <c r="AD103" s="11">
        <f>IF(ROUNDUP(S103/20,0)&gt;ROUNDUP(S102/20,0),"Lần " &amp; ROUNDUP(S103/20,0),"")</f>
        <v/>
      </c>
      <c r="AE103" s="11">
        <f>IF(ROUNDUP(T103/20,0)&gt;ROUNDUP(T102/20,0),"Lần " &amp; ROUNDUP(T103/20,0),"")</f>
        <v/>
      </c>
      <c r="AF103" s="11">
        <f>IF(ROUNDUP(U103/20,0)&gt;ROUNDUP(U102/20,0),"Lần " &amp; ROUNDUP(U103/20,0),"")</f>
        <v/>
      </c>
      <c r="AG103" s="11">
        <f>IF(ROUNDUP(V103/20,0)&gt;ROUNDUP(V102/20,0),"Lần " &amp; ROUNDUP(V103/20,0),"")</f>
        <v/>
      </c>
      <c r="AH103" s="11">
        <f>IF(ROUNDUP(W103/20,0)&gt;ROUNDUP(W102/20,0),"Lần " &amp; ROUNDUP(W103/20,0),"")</f>
        <v/>
      </c>
      <c r="AI103" s="11">
        <f>IF(ROUNDUP(X103/20,0)&gt;ROUNDUP(X102/20,0),"Lần " &amp; ROUNDUP(X103/20,0),"")</f>
        <v/>
      </c>
      <c r="AJ103" s="11">
        <f>IF(ROUNDUP(Y103/20,0)&gt;ROUNDUP(Y102/20,0),"Lần " &amp; ROUNDUP(Y103/20,0),"")</f>
        <v/>
      </c>
      <c r="AK103" s="11">
        <f>IF(ROUNDUP(Z103/20,0)&gt;ROUNDUP(Z102/20,0),"Lần " &amp; ROUNDUP(Z103/20,0),"")</f>
        <v/>
      </c>
      <c r="AL103" s="6" t="n"/>
      <c r="AN103" t="inlineStr">
        <is>
          <t>Than</t>
        </is>
      </c>
      <c r="AO103" t="n">
        <v>54</v>
      </c>
    </row>
    <row r="104" ht="19" customHeight="1">
      <c r="A104" s="6" t="n">
        <v>100</v>
      </c>
      <c r="B104" s="7" t="inlineStr">
        <is>
          <t>Mố M2</t>
        </is>
      </c>
      <c r="C104" s="7" t="inlineStr">
        <is>
          <t>Mố M2 (tr.40)</t>
        </is>
      </c>
      <c r="D104" s="18" t="inlineStr">
        <is>
          <t>W2B(T)</t>
        </is>
      </c>
      <c r="E104" s="19" t="n">
        <v>16</v>
      </c>
      <c r="F104" s="6" t="inlineStr">
        <is>
          <t>CB400-V</t>
        </is>
      </c>
      <c r="G104" s="7" t="inlineStr">
        <is>
          <t>S06</t>
        </is>
      </c>
      <c r="H104" s="20" t="n">
        <v>4.739</v>
      </c>
      <c r="I104" s="21" t="n">
        <v>20</v>
      </c>
      <c r="J104" s="22" t="n">
        <v>1.578</v>
      </c>
      <c r="K104" s="9">
        <f>ROUND(H104*I104*J104, 2)</f>
        <v/>
      </c>
      <c r="L104" s="23">
        <f>ROUND(K104/1000, 3)</f>
        <v/>
      </c>
      <c r="M104" s="8">
        <f>IF(AO104="","",IF(INDEX(Theo_Doi_Tan_Suat_Be_Tong!$C:$C,AO104)="","",INDEX(Theo_Doi_Tan_Suat_Be_Tong!$C:$C,AO104)-VLOOKUP(AN104,$AQ$2:$AR$7,2,FALSE)))</f>
        <v/>
      </c>
      <c r="N104" s="6" t="n"/>
      <c r="O104" s="24">
        <f>IF(ROUNDUP(S104/20,0)&gt;ROUNDUP(S103/20,0),"TN Ø16 (Lần " &amp; ROUNDUP(S104/20,0) &amp; ")","")</f>
        <v/>
      </c>
      <c r="P104" s="20">
        <f>ROUND(P103+IF(AND(E104&lt;=10,F104&lt;&gt;"ASTM A416"),L104,0),3)</f>
        <v/>
      </c>
      <c r="Q104" s="20">
        <f>ROUND(Q103+IF(AND(E104=12,F104&lt;&gt;"ASTM A416"),L104,0),3)</f>
        <v/>
      </c>
      <c r="R104" s="20">
        <f>ROUND(R103+IF(AND(E104=14,F104&lt;&gt;"ASTM A416"),L104,0),3)</f>
        <v/>
      </c>
      <c r="S104" s="20">
        <f>ROUND(S103+IF(AND(E104=16,F104&lt;&gt;"ASTM A416"),L104,0),3)</f>
        <v/>
      </c>
      <c r="T104" s="20">
        <f>ROUND(T103+IF(AND(E104=18,F104&lt;&gt;"ASTM A416"),L104,0),3)</f>
        <v/>
      </c>
      <c r="U104" s="20">
        <f>ROUND(U103+IF(AND(E104=20,F104&lt;&gt;"ASTM A416"),L104,0),3)</f>
        <v/>
      </c>
      <c r="V104" s="20">
        <f>ROUND(V103+IF(AND(E104=22,F104&lt;&gt;"ASTM A416"),L104,0),3)</f>
        <v/>
      </c>
      <c r="W104" s="20">
        <f>ROUND(W103+IF(AND(E104=25,F104&lt;&gt;"ASTM A416"),L104,0),3)</f>
        <v/>
      </c>
      <c r="X104" s="20">
        <f>ROUND(X103+IF(AND(E104=28,F104&lt;&gt;"ASTM A416"),L104,0),3)</f>
        <v/>
      </c>
      <c r="Y104" s="20">
        <f>ROUND(Y103+IF(AND(E104=32,F104&lt;&gt;"ASTM A416"),L104,0),3)</f>
        <v/>
      </c>
      <c r="Z104" s="20">
        <f>ROUND(Z103+IF(F104="ASTM A416",L104,0),3)</f>
        <v/>
      </c>
      <c r="AA104" s="11">
        <f>IF(ROUNDUP(P104/20,0)&gt;ROUNDUP(P103/20,0),"Lần " &amp; ROUNDUP(P104/20,0),"")</f>
        <v/>
      </c>
      <c r="AB104" s="11">
        <f>IF(ROUNDUP(Q104/20,0)&gt;ROUNDUP(Q103/20,0),"Lần " &amp; ROUNDUP(Q104/20,0),"")</f>
        <v/>
      </c>
      <c r="AC104" s="11">
        <f>IF(ROUNDUP(R104/20,0)&gt;ROUNDUP(R103/20,0),"Lần " &amp; ROUNDUP(R104/20,0),"")</f>
        <v/>
      </c>
      <c r="AD104" s="11">
        <f>IF(ROUNDUP(S104/20,0)&gt;ROUNDUP(S103/20,0),"Lần " &amp; ROUNDUP(S104/20,0),"")</f>
        <v/>
      </c>
      <c r="AE104" s="11">
        <f>IF(ROUNDUP(T104/20,0)&gt;ROUNDUP(T103/20,0),"Lần " &amp; ROUNDUP(T104/20,0),"")</f>
        <v/>
      </c>
      <c r="AF104" s="11">
        <f>IF(ROUNDUP(U104/20,0)&gt;ROUNDUP(U103/20,0),"Lần " &amp; ROUNDUP(U104/20,0),"")</f>
        <v/>
      </c>
      <c r="AG104" s="11">
        <f>IF(ROUNDUP(V104/20,0)&gt;ROUNDUP(V103/20,0),"Lần " &amp; ROUNDUP(V104/20,0),"")</f>
        <v/>
      </c>
      <c r="AH104" s="11">
        <f>IF(ROUNDUP(W104/20,0)&gt;ROUNDUP(W103/20,0),"Lần " &amp; ROUNDUP(W104/20,0),"")</f>
        <v/>
      </c>
      <c r="AI104" s="11">
        <f>IF(ROUNDUP(X104/20,0)&gt;ROUNDUP(X103/20,0),"Lần " &amp; ROUNDUP(X104/20,0),"")</f>
        <v/>
      </c>
      <c r="AJ104" s="11">
        <f>IF(ROUNDUP(Y104/20,0)&gt;ROUNDUP(Y103/20,0),"Lần " &amp; ROUNDUP(Y104/20,0),"")</f>
        <v/>
      </c>
      <c r="AK104" s="11">
        <f>IF(ROUNDUP(Z104/20,0)&gt;ROUNDUP(Z103/20,0),"Lần " &amp; ROUNDUP(Z104/20,0),"")</f>
        <v/>
      </c>
      <c r="AL104" s="6" t="n"/>
      <c r="AN104" t="inlineStr">
        <is>
          <t>Than</t>
        </is>
      </c>
      <c r="AO104" t="n">
        <v>54</v>
      </c>
    </row>
    <row r="105" ht="19" customHeight="1">
      <c r="A105" s="6" t="n">
        <v>101</v>
      </c>
      <c r="B105" s="7" t="inlineStr">
        <is>
          <t>Mố M2</t>
        </is>
      </c>
      <c r="C105" s="7" t="inlineStr">
        <is>
          <t>Mố M2 (tr.40)</t>
        </is>
      </c>
      <c r="D105" s="18" t="inlineStr">
        <is>
          <t>W3A(T)</t>
        </is>
      </c>
      <c r="E105" s="19" t="n">
        <v>16</v>
      </c>
      <c r="F105" s="6" t="inlineStr">
        <is>
          <t>CB400-V</t>
        </is>
      </c>
      <c r="G105" s="7" t="inlineStr">
        <is>
          <t>S06</t>
        </is>
      </c>
      <c r="H105" s="20" t="n">
        <v>4.332</v>
      </c>
      <c r="I105" s="21" t="n">
        <v>15</v>
      </c>
      <c r="J105" s="22" t="n">
        <v>1.578</v>
      </c>
      <c r="K105" s="9">
        <f>ROUND(H105*I105*J105, 2)</f>
        <v/>
      </c>
      <c r="L105" s="23">
        <f>ROUND(K105/1000, 3)</f>
        <v/>
      </c>
      <c r="M105" s="8">
        <f>IF(AO105="","",IF(INDEX(Theo_Doi_Tan_Suat_Be_Tong!$C:$C,AO105)="","",INDEX(Theo_Doi_Tan_Suat_Be_Tong!$C:$C,AO105)-VLOOKUP(AN105,$AQ$2:$AR$7,2,FALSE)))</f>
        <v/>
      </c>
      <c r="N105" s="6" t="n"/>
      <c r="O105" s="24">
        <f>IF(ROUNDUP(S105/20,0)&gt;ROUNDUP(S104/20,0),"TN Ø16 (Lần " &amp; ROUNDUP(S105/20,0) &amp; ")","")</f>
        <v/>
      </c>
      <c r="P105" s="20">
        <f>ROUND(P104+IF(AND(E105&lt;=10,F105&lt;&gt;"ASTM A416"),L105,0),3)</f>
        <v/>
      </c>
      <c r="Q105" s="20">
        <f>ROUND(Q104+IF(AND(E105=12,F105&lt;&gt;"ASTM A416"),L105,0),3)</f>
        <v/>
      </c>
      <c r="R105" s="20">
        <f>ROUND(R104+IF(AND(E105=14,F105&lt;&gt;"ASTM A416"),L105,0),3)</f>
        <v/>
      </c>
      <c r="S105" s="20">
        <f>ROUND(S104+IF(AND(E105=16,F105&lt;&gt;"ASTM A416"),L105,0),3)</f>
        <v/>
      </c>
      <c r="T105" s="20">
        <f>ROUND(T104+IF(AND(E105=18,F105&lt;&gt;"ASTM A416"),L105,0),3)</f>
        <v/>
      </c>
      <c r="U105" s="20">
        <f>ROUND(U104+IF(AND(E105=20,F105&lt;&gt;"ASTM A416"),L105,0),3)</f>
        <v/>
      </c>
      <c r="V105" s="20">
        <f>ROUND(V104+IF(AND(E105=22,F105&lt;&gt;"ASTM A416"),L105,0),3)</f>
        <v/>
      </c>
      <c r="W105" s="20">
        <f>ROUND(W104+IF(AND(E105=25,F105&lt;&gt;"ASTM A416"),L105,0),3)</f>
        <v/>
      </c>
      <c r="X105" s="20">
        <f>ROUND(X104+IF(AND(E105=28,F105&lt;&gt;"ASTM A416"),L105,0),3)</f>
        <v/>
      </c>
      <c r="Y105" s="20">
        <f>ROUND(Y104+IF(AND(E105=32,F105&lt;&gt;"ASTM A416"),L105,0),3)</f>
        <v/>
      </c>
      <c r="Z105" s="20">
        <f>ROUND(Z104+IF(F105="ASTM A416",L105,0),3)</f>
        <v/>
      </c>
      <c r="AA105" s="11">
        <f>IF(ROUNDUP(P105/20,0)&gt;ROUNDUP(P104/20,0),"Lần " &amp; ROUNDUP(P105/20,0),"")</f>
        <v/>
      </c>
      <c r="AB105" s="11">
        <f>IF(ROUNDUP(Q105/20,0)&gt;ROUNDUP(Q104/20,0),"Lần " &amp; ROUNDUP(Q105/20,0),"")</f>
        <v/>
      </c>
      <c r="AC105" s="11">
        <f>IF(ROUNDUP(R105/20,0)&gt;ROUNDUP(R104/20,0),"Lần " &amp; ROUNDUP(R105/20,0),"")</f>
        <v/>
      </c>
      <c r="AD105" s="11">
        <f>IF(ROUNDUP(S105/20,0)&gt;ROUNDUP(S104/20,0),"Lần " &amp; ROUNDUP(S105/20,0),"")</f>
        <v/>
      </c>
      <c r="AE105" s="11">
        <f>IF(ROUNDUP(T105/20,0)&gt;ROUNDUP(T104/20,0),"Lần " &amp; ROUNDUP(T105/20,0),"")</f>
        <v/>
      </c>
      <c r="AF105" s="11">
        <f>IF(ROUNDUP(U105/20,0)&gt;ROUNDUP(U104/20,0),"Lần " &amp; ROUNDUP(U105/20,0),"")</f>
        <v/>
      </c>
      <c r="AG105" s="11">
        <f>IF(ROUNDUP(V105/20,0)&gt;ROUNDUP(V104/20,0),"Lần " &amp; ROUNDUP(V105/20,0),"")</f>
        <v/>
      </c>
      <c r="AH105" s="11">
        <f>IF(ROUNDUP(W105/20,0)&gt;ROUNDUP(W104/20,0),"Lần " &amp; ROUNDUP(W105/20,0),"")</f>
        <v/>
      </c>
      <c r="AI105" s="11">
        <f>IF(ROUNDUP(X105/20,0)&gt;ROUNDUP(X104/20,0),"Lần " &amp; ROUNDUP(X105/20,0),"")</f>
        <v/>
      </c>
      <c r="AJ105" s="11">
        <f>IF(ROUNDUP(Y105/20,0)&gt;ROUNDUP(Y104/20,0),"Lần " &amp; ROUNDUP(Y105/20,0),"")</f>
        <v/>
      </c>
      <c r="AK105" s="11">
        <f>IF(ROUNDUP(Z105/20,0)&gt;ROUNDUP(Z104/20,0),"Lần " &amp; ROUNDUP(Z105/20,0),"")</f>
        <v/>
      </c>
      <c r="AL105" s="6" t="n"/>
      <c r="AN105" t="inlineStr">
        <is>
          <t>Than</t>
        </is>
      </c>
      <c r="AO105" t="n">
        <v>54</v>
      </c>
    </row>
    <row r="106" ht="19" customHeight="1">
      <c r="A106" s="6" t="n">
        <v>102</v>
      </c>
      <c r="B106" s="7" t="inlineStr">
        <is>
          <t>Mố M2</t>
        </is>
      </c>
      <c r="C106" s="7" t="inlineStr">
        <is>
          <t>Mố M2 (tr.40)</t>
        </is>
      </c>
      <c r="D106" s="18" t="inlineStr">
        <is>
          <t>W3B(T)</t>
        </is>
      </c>
      <c r="E106" s="19" t="n">
        <v>16</v>
      </c>
      <c r="F106" s="6" t="inlineStr">
        <is>
          <t>CB400-V</t>
        </is>
      </c>
      <c r="G106" s="7" t="inlineStr">
        <is>
          <t>S06</t>
        </is>
      </c>
      <c r="H106" s="20" t="n">
        <v>5.894</v>
      </c>
      <c r="I106" s="21" t="n">
        <v>20</v>
      </c>
      <c r="J106" s="22" t="n">
        <v>1.578</v>
      </c>
      <c r="K106" s="9">
        <f>ROUND(H106*I106*J106, 2)</f>
        <v/>
      </c>
      <c r="L106" s="23">
        <f>ROUND(K106/1000, 3)</f>
        <v/>
      </c>
      <c r="M106" s="8">
        <f>IF(AO106="","",IF(INDEX(Theo_Doi_Tan_Suat_Be_Tong!$C:$C,AO106)="","",INDEX(Theo_Doi_Tan_Suat_Be_Tong!$C:$C,AO106)-VLOOKUP(AN106,$AQ$2:$AR$7,2,FALSE)))</f>
        <v/>
      </c>
      <c r="N106" s="6" t="n"/>
      <c r="O106" s="24">
        <f>IF(ROUNDUP(S106/20,0)&gt;ROUNDUP(S105/20,0),"TN Ø16 (Lần " &amp; ROUNDUP(S106/20,0) &amp; ")","")</f>
        <v/>
      </c>
      <c r="P106" s="20">
        <f>ROUND(P105+IF(AND(E106&lt;=10,F106&lt;&gt;"ASTM A416"),L106,0),3)</f>
        <v/>
      </c>
      <c r="Q106" s="20">
        <f>ROUND(Q105+IF(AND(E106=12,F106&lt;&gt;"ASTM A416"),L106,0),3)</f>
        <v/>
      </c>
      <c r="R106" s="20">
        <f>ROUND(R105+IF(AND(E106=14,F106&lt;&gt;"ASTM A416"),L106,0),3)</f>
        <v/>
      </c>
      <c r="S106" s="20">
        <f>ROUND(S105+IF(AND(E106=16,F106&lt;&gt;"ASTM A416"),L106,0),3)</f>
        <v/>
      </c>
      <c r="T106" s="20">
        <f>ROUND(T105+IF(AND(E106=18,F106&lt;&gt;"ASTM A416"),L106,0),3)</f>
        <v/>
      </c>
      <c r="U106" s="20">
        <f>ROUND(U105+IF(AND(E106=20,F106&lt;&gt;"ASTM A416"),L106,0),3)</f>
        <v/>
      </c>
      <c r="V106" s="20">
        <f>ROUND(V105+IF(AND(E106=22,F106&lt;&gt;"ASTM A416"),L106,0),3)</f>
        <v/>
      </c>
      <c r="W106" s="20">
        <f>ROUND(W105+IF(AND(E106=25,F106&lt;&gt;"ASTM A416"),L106,0),3)</f>
        <v/>
      </c>
      <c r="X106" s="20">
        <f>ROUND(X105+IF(AND(E106=28,F106&lt;&gt;"ASTM A416"),L106,0),3)</f>
        <v/>
      </c>
      <c r="Y106" s="20">
        <f>ROUND(Y105+IF(AND(E106=32,F106&lt;&gt;"ASTM A416"),L106,0),3)</f>
        <v/>
      </c>
      <c r="Z106" s="20">
        <f>ROUND(Z105+IF(F106="ASTM A416",L106,0),3)</f>
        <v/>
      </c>
      <c r="AA106" s="11">
        <f>IF(ROUNDUP(P106/20,0)&gt;ROUNDUP(P105/20,0),"Lần " &amp; ROUNDUP(P106/20,0),"")</f>
        <v/>
      </c>
      <c r="AB106" s="11">
        <f>IF(ROUNDUP(Q106/20,0)&gt;ROUNDUP(Q105/20,0),"Lần " &amp; ROUNDUP(Q106/20,0),"")</f>
        <v/>
      </c>
      <c r="AC106" s="11">
        <f>IF(ROUNDUP(R106/20,0)&gt;ROUNDUP(R105/20,0),"Lần " &amp; ROUNDUP(R106/20,0),"")</f>
        <v/>
      </c>
      <c r="AD106" s="11">
        <f>IF(ROUNDUP(S106/20,0)&gt;ROUNDUP(S105/20,0),"Lần " &amp; ROUNDUP(S106/20,0),"")</f>
        <v/>
      </c>
      <c r="AE106" s="11">
        <f>IF(ROUNDUP(T106/20,0)&gt;ROUNDUP(T105/20,0),"Lần " &amp; ROUNDUP(T106/20,0),"")</f>
        <v/>
      </c>
      <c r="AF106" s="11">
        <f>IF(ROUNDUP(U106/20,0)&gt;ROUNDUP(U105/20,0),"Lần " &amp; ROUNDUP(U106/20,0),"")</f>
        <v/>
      </c>
      <c r="AG106" s="11">
        <f>IF(ROUNDUP(V106/20,0)&gt;ROUNDUP(V105/20,0),"Lần " &amp; ROUNDUP(V106/20,0),"")</f>
        <v/>
      </c>
      <c r="AH106" s="11">
        <f>IF(ROUNDUP(W106/20,0)&gt;ROUNDUP(W105/20,0),"Lần " &amp; ROUNDUP(W106/20,0),"")</f>
        <v/>
      </c>
      <c r="AI106" s="11">
        <f>IF(ROUNDUP(X106/20,0)&gt;ROUNDUP(X105/20,0),"Lần " &amp; ROUNDUP(X106/20,0),"")</f>
        <v/>
      </c>
      <c r="AJ106" s="11">
        <f>IF(ROUNDUP(Y106/20,0)&gt;ROUNDUP(Y105/20,0),"Lần " &amp; ROUNDUP(Y106/20,0),"")</f>
        <v/>
      </c>
      <c r="AK106" s="11">
        <f>IF(ROUNDUP(Z106/20,0)&gt;ROUNDUP(Z105/20,0),"Lần " &amp; ROUNDUP(Z106/20,0),"")</f>
        <v/>
      </c>
      <c r="AL106" s="6" t="n"/>
      <c r="AN106" t="inlineStr">
        <is>
          <t>Than</t>
        </is>
      </c>
      <c r="AO106" t="n">
        <v>54</v>
      </c>
    </row>
    <row r="107" ht="19" customHeight="1">
      <c r="A107" s="6" t="n">
        <v>103</v>
      </c>
      <c r="B107" s="7" t="inlineStr">
        <is>
          <t>Mố M2</t>
        </is>
      </c>
      <c r="C107" s="7" t="inlineStr">
        <is>
          <t>Mố M2 (tr.40)</t>
        </is>
      </c>
      <c r="D107" s="18" t="inlineStr">
        <is>
          <t>W3C(T</t>
        </is>
      </c>
      <c r="E107" s="19" t="n">
        <v>16</v>
      </c>
      <c r="F107" s="6" t="inlineStr">
        <is>
          <t>CB400-V</t>
        </is>
      </c>
      <c r="G107" s="7" t="inlineStr"/>
      <c r="H107" s="20" t="n">
        <v>7.307</v>
      </c>
      <c r="I107" s="21" t="n">
        <v>4</v>
      </c>
      <c r="J107" s="22" t="n">
        <v>1.578</v>
      </c>
      <c r="K107" s="9">
        <f>ROUND(H107*I107*J107, 2)</f>
        <v/>
      </c>
      <c r="L107" s="23">
        <f>ROUND(K107/1000, 3)</f>
        <v/>
      </c>
      <c r="M107" s="8">
        <f>IF(AO107="","",IF(INDEX(Theo_Doi_Tan_Suat_Be_Tong!$C:$C,AO107)="","",INDEX(Theo_Doi_Tan_Suat_Be_Tong!$C:$C,AO107)-VLOOKUP(AN107,$AQ$2:$AR$7,2,FALSE)))</f>
        <v/>
      </c>
      <c r="N107" s="6" t="n"/>
      <c r="O107" s="24">
        <f>IF(ROUNDUP(S107/20,0)&gt;ROUNDUP(S106/20,0),"TN Ø16 (Lần " &amp; ROUNDUP(S107/20,0) &amp; ")","")</f>
        <v/>
      </c>
      <c r="P107" s="20">
        <f>ROUND(P106+IF(AND(E107&lt;=10,F107&lt;&gt;"ASTM A416"),L107,0),3)</f>
        <v/>
      </c>
      <c r="Q107" s="20">
        <f>ROUND(Q106+IF(AND(E107=12,F107&lt;&gt;"ASTM A416"),L107,0),3)</f>
        <v/>
      </c>
      <c r="R107" s="20">
        <f>ROUND(R106+IF(AND(E107=14,F107&lt;&gt;"ASTM A416"),L107,0),3)</f>
        <v/>
      </c>
      <c r="S107" s="20">
        <f>ROUND(S106+IF(AND(E107=16,F107&lt;&gt;"ASTM A416"),L107,0),3)</f>
        <v/>
      </c>
      <c r="T107" s="20">
        <f>ROUND(T106+IF(AND(E107=18,F107&lt;&gt;"ASTM A416"),L107,0),3)</f>
        <v/>
      </c>
      <c r="U107" s="20">
        <f>ROUND(U106+IF(AND(E107=20,F107&lt;&gt;"ASTM A416"),L107,0),3)</f>
        <v/>
      </c>
      <c r="V107" s="20">
        <f>ROUND(V106+IF(AND(E107=22,F107&lt;&gt;"ASTM A416"),L107,0),3)</f>
        <v/>
      </c>
      <c r="W107" s="20">
        <f>ROUND(W106+IF(AND(E107=25,F107&lt;&gt;"ASTM A416"),L107,0),3)</f>
        <v/>
      </c>
      <c r="X107" s="20">
        <f>ROUND(X106+IF(AND(E107=28,F107&lt;&gt;"ASTM A416"),L107,0),3)</f>
        <v/>
      </c>
      <c r="Y107" s="20">
        <f>ROUND(Y106+IF(AND(E107=32,F107&lt;&gt;"ASTM A416"),L107,0),3)</f>
        <v/>
      </c>
      <c r="Z107" s="20">
        <f>ROUND(Z106+IF(F107="ASTM A416",L107,0),3)</f>
        <v/>
      </c>
      <c r="AA107" s="11">
        <f>IF(ROUNDUP(P107/20,0)&gt;ROUNDUP(P106/20,0),"Lần " &amp; ROUNDUP(P107/20,0),"")</f>
        <v/>
      </c>
      <c r="AB107" s="11">
        <f>IF(ROUNDUP(Q107/20,0)&gt;ROUNDUP(Q106/20,0),"Lần " &amp; ROUNDUP(Q107/20,0),"")</f>
        <v/>
      </c>
      <c r="AC107" s="11">
        <f>IF(ROUNDUP(R107/20,0)&gt;ROUNDUP(R106/20,0),"Lần " &amp; ROUNDUP(R107/20,0),"")</f>
        <v/>
      </c>
      <c r="AD107" s="11">
        <f>IF(ROUNDUP(S107/20,0)&gt;ROUNDUP(S106/20,0),"Lần " &amp; ROUNDUP(S107/20,0),"")</f>
        <v/>
      </c>
      <c r="AE107" s="11">
        <f>IF(ROUNDUP(T107/20,0)&gt;ROUNDUP(T106/20,0),"Lần " &amp; ROUNDUP(T107/20,0),"")</f>
        <v/>
      </c>
      <c r="AF107" s="11">
        <f>IF(ROUNDUP(U107/20,0)&gt;ROUNDUP(U106/20,0),"Lần " &amp; ROUNDUP(U107/20,0),"")</f>
        <v/>
      </c>
      <c r="AG107" s="11">
        <f>IF(ROUNDUP(V107/20,0)&gt;ROUNDUP(V106/20,0),"Lần " &amp; ROUNDUP(V107/20,0),"")</f>
        <v/>
      </c>
      <c r="AH107" s="11">
        <f>IF(ROUNDUP(W107/20,0)&gt;ROUNDUP(W106/20,0),"Lần " &amp; ROUNDUP(W107/20,0),"")</f>
        <v/>
      </c>
      <c r="AI107" s="11">
        <f>IF(ROUNDUP(X107/20,0)&gt;ROUNDUP(X106/20,0),"Lần " &amp; ROUNDUP(X107/20,0),"")</f>
        <v/>
      </c>
      <c r="AJ107" s="11">
        <f>IF(ROUNDUP(Y107/20,0)&gt;ROUNDUP(Y106/20,0),"Lần " &amp; ROUNDUP(Y107/20,0),"")</f>
        <v/>
      </c>
      <c r="AK107" s="11">
        <f>IF(ROUNDUP(Z107/20,0)&gt;ROUNDUP(Z106/20,0),"Lần " &amp; ROUNDUP(Z107/20,0),"")</f>
        <v/>
      </c>
      <c r="AL107" s="6" t="n"/>
      <c r="AN107" t="inlineStr">
        <is>
          <t>Than</t>
        </is>
      </c>
      <c r="AO107" t="n">
        <v>54</v>
      </c>
    </row>
    <row r="108" ht="19" customHeight="1">
      <c r="A108" s="6" t="n">
        <v>104</v>
      </c>
      <c r="B108" s="7" t="inlineStr">
        <is>
          <t>Mố M2</t>
        </is>
      </c>
      <c r="C108" s="7" t="inlineStr">
        <is>
          <t>Mố M2 (tr.40)</t>
        </is>
      </c>
      <c r="D108" s="18" t="inlineStr">
        <is>
          <t>W3DXD</t>
        </is>
      </c>
      <c r="E108" s="19" t="n">
        <v>16</v>
      </c>
      <c r="F108" s="6" t="inlineStr">
        <is>
          <t>CB400-V</t>
        </is>
      </c>
      <c r="G108" s="7" t="inlineStr"/>
      <c r="H108" s="20" t="n">
        <v>6.332</v>
      </c>
      <c r="I108" s="21" t="n">
        <v>14</v>
      </c>
      <c r="J108" s="22" t="n">
        <v>1.578</v>
      </c>
      <c r="K108" s="9">
        <f>ROUND(H108*I108*J108, 2)</f>
        <v/>
      </c>
      <c r="L108" s="23">
        <f>ROUND(K108/1000, 3)</f>
        <v/>
      </c>
      <c r="M108" s="8">
        <f>IF(AO108="","",IF(INDEX(Theo_Doi_Tan_Suat_Be_Tong!$C:$C,AO108)="","",INDEX(Theo_Doi_Tan_Suat_Be_Tong!$C:$C,AO108)-VLOOKUP(AN108,$AQ$2:$AR$7,2,FALSE)))</f>
        <v/>
      </c>
      <c r="N108" s="6" t="n"/>
      <c r="O108" s="24">
        <f>IF(ROUNDUP(S108/20,0)&gt;ROUNDUP(S107/20,0),"TN Ø16 (Lần " &amp; ROUNDUP(S108/20,0) &amp; ")","")</f>
        <v/>
      </c>
      <c r="P108" s="20">
        <f>ROUND(P107+IF(AND(E108&lt;=10,F108&lt;&gt;"ASTM A416"),L108,0),3)</f>
        <v/>
      </c>
      <c r="Q108" s="20">
        <f>ROUND(Q107+IF(AND(E108=12,F108&lt;&gt;"ASTM A416"),L108,0),3)</f>
        <v/>
      </c>
      <c r="R108" s="20">
        <f>ROUND(R107+IF(AND(E108=14,F108&lt;&gt;"ASTM A416"),L108,0),3)</f>
        <v/>
      </c>
      <c r="S108" s="20">
        <f>ROUND(S107+IF(AND(E108=16,F108&lt;&gt;"ASTM A416"),L108,0),3)</f>
        <v/>
      </c>
      <c r="T108" s="20">
        <f>ROUND(T107+IF(AND(E108=18,F108&lt;&gt;"ASTM A416"),L108,0),3)</f>
        <v/>
      </c>
      <c r="U108" s="20">
        <f>ROUND(U107+IF(AND(E108=20,F108&lt;&gt;"ASTM A416"),L108,0),3)</f>
        <v/>
      </c>
      <c r="V108" s="20">
        <f>ROUND(V107+IF(AND(E108=22,F108&lt;&gt;"ASTM A416"),L108,0),3)</f>
        <v/>
      </c>
      <c r="W108" s="20">
        <f>ROUND(W107+IF(AND(E108=25,F108&lt;&gt;"ASTM A416"),L108,0),3)</f>
        <v/>
      </c>
      <c r="X108" s="20">
        <f>ROUND(X107+IF(AND(E108=28,F108&lt;&gt;"ASTM A416"),L108,0),3)</f>
        <v/>
      </c>
      <c r="Y108" s="20">
        <f>ROUND(Y107+IF(AND(E108=32,F108&lt;&gt;"ASTM A416"),L108,0),3)</f>
        <v/>
      </c>
      <c r="Z108" s="20">
        <f>ROUND(Z107+IF(F108="ASTM A416",L108,0),3)</f>
        <v/>
      </c>
      <c r="AA108" s="11">
        <f>IF(ROUNDUP(P108/20,0)&gt;ROUNDUP(P107/20,0),"Lần " &amp; ROUNDUP(P108/20,0),"")</f>
        <v/>
      </c>
      <c r="AB108" s="11">
        <f>IF(ROUNDUP(Q108/20,0)&gt;ROUNDUP(Q107/20,0),"Lần " &amp; ROUNDUP(Q108/20,0),"")</f>
        <v/>
      </c>
      <c r="AC108" s="11">
        <f>IF(ROUNDUP(R108/20,0)&gt;ROUNDUP(R107/20,0),"Lần " &amp; ROUNDUP(R108/20,0),"")</f>
        <v/>
      </c>
      <c r="AD108" s="11">
        <f>IF(ROUNDUP(S108/20,0)&gt;ROUNDUP(S107/20,0),"Lần " &amp; ROUNDUP(S108/20,0),"")</f>
        <v/>
      </c>
      <c r="AE108" s="11">
        <f>IF(ROUNDUP(T108/20,0)&gt;ROUNDUP(T107/20,0),"Lần " &amp; ROUNDUP(T108/20,0),"")</f>
        <v/>
      </c>
      <c r="AF108" s="11">
        <f>IF(ROUNDUP(U108/20,0)&gt;ROUNDUP(U107/20,0),"Lần " &amp; ROUNDUP(U108/20,0),"")</f>
        <v/>
      </c>
      <c r="AG108" s="11">
        <f>IF(ROUNDUP(V108/20,0)&gt;ROUNDUP(V107/20,0),"Lần " &amp; ROUNDUP(V108/20,0),"")</f>
        <v/>
      </c>
      <c r="AH108" s="11">
        <f>IF(ROUNDUP(W108/20,0)&gt;ROUNDUP(W107/20,0),"Lần " &amp; ROUNDUP(W108/20,0),"")</f>
        <v/>
      </c>
      <c r="AI108" s="11">
        <f>IF(ROUNDUP(X108/20,0)&gt;ROUNDUP(X107/20,0),"Lần " &amp; ROUNDUP(X108/20,0),"")</f>
        <v/>
      </c>
      <c r="AJ108" s="11">
        <f>IF(ROUNDUP(Y108/20,0)&gt;ROUNDUP(Y107/20,0),"Lần " &amp; ROUNDUP(Y108/20,0),"")</f>
        <v/>
      </c>
      <c r="AK108" s="11">
        <f>IF(ROUNDUP(Z108/20,0)&gt;ROUNDUP(Z107/20,0),"Lần " &amp; ROUNDUP(Z108/20,0),"")</f>
        <v/>
      </c>
      <c r="AL108" s="6" t="n"/>
      <c r="AN108" t="inlineStr">
        <is>
          <t>Than</t>
        </is>
      </c>
      <c r="AO108" t="n">
        <v>54</v>
      </c>
    </row>
    <row r="109" ht="19" customHeight="1">
      <c r="A109" s="6" t="n">
        <v>105</v>
      </c>
      <c r="B109" s="7" t="inlineStr">
        <is>
          <t>Mố M2</t>
        </is>
      </c>
      <c r="C109" s="7" t="inlineStr">
        <is>
          <t>Mố M2 (tr.40)</t>
        </is>
      </c>
      <c r="D109" s="18" t="inlineStr">
        <is>
          <t>W3F(T</t>
        </is>
      </c>
      <c r="E109" s="19" t="n">
        <v>16</v>
      </c>
      <c r="F109" s="6" t="inlineStr">
        <is>
          <t>CB400-V</t>
        </is>
      </c>
      <c r="G109" s="7" t="inlineStr"/>
      <c r="H109" s="20" t="n">
        <v>6.334</v>
      </c>
      <c r="I109" s="21" t="n">
        <v>1</v>
      </c>
      <c r="J109" s="22" t="n">
        <v>1.578</v>
      </c>
      <c r="K109" s="9">
        <f>ROUND(H109*I109*J109, 2)</f>
        <v/>
      </c>
      <c r="L109" s="23">
        <f>ROUND(K109/1000, 3)</f>
        <v/>
      </c>
      <c r="M109" s="8">
        <f>IF(AO109="","",IF(INDEX(Theo_Doi_Tan_Suat_Be_Tong!$C:$C,AO109)="","",INDEX(Theo_Doi_Tan_Suat_Be_Tong!$C:$C,AO109)-VLOOKUP(AN109,$AQ$2:$AR$7,2,FALSE)))</f>
        <v/>
      </c>
      <c r="N109" s="6" t="n"/>
      <c r="O109" s="24">
        <f>IF(ROUNDUP(S109/20,0)&gt;ROUNDUP(S108/20,0),"TN Ø16 (Lần " &amp; ROUNDUP(S109/20,0) &amp; ")","")</f>
        <v/>
      </c>
      <c r="P109" s="20">
        <f>ROUND(P108+IF(AND(E109&lt;=10,F109&lt;&gt;"ASTM A416"),L109,0),3)</f>
        <v/>
      </c>
      <c r="Q109" s="20">
        <f>ROUND(Q108+IF(AND(E109=12,F109&lt;&gt;"ASTM A416"),L109,0),3)</f>
        <v/>
      </c>
      <c r="R109" s="20">
        <f>ROUND(R108+IF(AND(E109=14,F109&lt;&gt;"ASTM A416"),L109,0),3)</f>
        <v/>
      </c>
      <c r="S109" s="20">
        <f>ROUND(S108+IF(AND(E109=16,F109&lt;&gt;"ASTM A416"),L109,0),3)</f>
        <v/>
      </c>
      <c r="T109" s="20">
        <f>ROUND(T108+IF(AND(E109=18,F109&lt;&gt;"ASTM A416"),L109,0),3)</f>
        <v/>
      </c>
      <c r="U109" s="20">
        <f>ROUND(U108+IF(AND(E109=20,F109&lt;&gt;"ASTM A416"),L109,0),3)</f>
        <v/>
      </c>
      <c r="V109" s="20">
        <f>ROUND(V108+IF(AND(E109=22,F109&lt;&gt;"ASTM A416"),L109,0),3)</f>
        <v/>
      </c>
      <c r="W109" s="20">
        <f>ROUND(W108+IF(AND(E109=25,F109&lt;&gt;"ASTM A416"),L109,0),3)</f>
        <v/>
      </c>
      <c r="X109" s="20">
        <f>ROUND(X108+IF(AND(E109=28,F109&lt;&gt;"ASTM A416"),L109,0),3)</f>
        <v/>
      </c>
      <c r="Y109" s="20">
        <f>ROUND(Y108+IF(AND(E109=32,F109&lt;&gt;"ASTM A416"),L109,0),3)</f>
        <v/>
      </c>
      <c r="Z109" s="20">
        <f>ROUND(Z108+IF(F109="ASTM A416",L109,0),3)</f>
        <v/>
      </c>
      <c r="AA109" s="11">
        <f>IF(ROUNDUP(P109/20,0)&gt;ROUNDUP(P108/20,0),"Lần " &amp; ROUNDUP(P109/20,0),"")</f>
        <v/>
      </c>
      <c r="AB109" s="11">
        <f>IF(ROUNDUP(Q109/20,0)&gt;ROUNDUP(Q108/20,0),"Lần " &amp; ROUNDUP(Q109/20,0),"")</f>
        <v/>
      </c>
      <c r="AC109" s="11">
        <f>IF(ROUNDUP(R109/20,0)&gt;ROUNDUP(R108/20,0),"Lần " &amp; ROUNDUP(R109/20,0),"")</f>
        <v/>
      </c>
      <c r="AD109" s="11">
        <f>IF(ROUNDUP(S109/20,0)&gt;ROUNDUP(S108/20,0),"Lần " &amp; ROUNDUP(S109/20,0),"")</f>
        <v/>
      </c>
      <c r="AE109" s="11">
        <f>IF(ROUNDUP(T109/20,0)&gt;ROUNDUP(T108/20,0),"Lần " &amp; ROUNDUP(T109/20,0),"")</f>
        <v/>
      </c>
      <c r="AF109" s="11">
        <f>IF(ROUNDUP(U109/20,0)&gt;ROUNDUP(U108/20,0),"Lần " &amp; ROUNDUP(U109/20,0),"")</f>
        <v/>
      </c>
      <c r="AG109" s="11">
        <f>IF(ROUNDUP(V109/20,0)&gt;ROUNDUP(V108/20,0),"Lần " &amp; ROUNDUP(V109/20,0),"")</f>
        <v/>
      </c>
      <c r="AH109" s="11">
        <f>IF(ROUNDUP(W109/20,0)&gt;ROUNDUP(W108/20,0),"Lần " &amp; ROUNDUP(W109/20,0),"")</f>
        <v/>
      </c>
      <c r="AI109" s="11">
        <f>IF(ROUNDUP(X109/20,0)&gt;ROUNDUP(X108/20,0),"Lần " &amp; ROUNDUP(X109/20,0),"")</f>
        <v/>
      </c>
      <c r="AJ109" s="11">
        <f>IF(ROUNDUP(Y109/20,0)&gt;ROUNDUP(Y108/20,0),"Lần " &amp; ROUNDUP(Y109/20,0),"")</f>
        <v/>
      </c>
      <c r="AK109" s="11">
        <f>IF(ROUNDUP(Z109/20,0)&gt;ROUNDUP(Z108/20,0),"Lần " &amp; ROUNDUP(Z109/20,0),"")</f>
        <v/>
      </c>
      <c r="AL109" s="6" t="n"/>
      <c r="AN109" t="inlineStr">
        <is>
          <t>Than</t>
        </is>
      </c>
      <c r="AO109" t="n">
        <v>54</v>
      </c>
    </row>
    <row r="110" ht="19" customHeight="1">
      <c r="A110" s="6" t="n">
        <v>106</v>
      </c>
      <c r="B110" s="7" t="inlineStr">
        <is>
          <t>Mố M2</t>
        </is>
      </c>
      <c r="C110" s="7" t="inlineStr">
        <is>
          <t>Mố M2 (tr.40)</t>
        </is>
      </c>
      <c r="D110" s="18" t="inlineStr">
        <is>
          <t>W4A(T)</t>
        </is>
      </c>
      <c r="E110" s="19" t="n">
        <v>22</v>
      </c>
      <c r="F110" s="6" t="inlineStr">
        <is>
          <t>CB400-V</t>
        </is>
      </c>
      <c r="G110" s="7" t="inlineStr">
        <is>
          <t>S06</t>
        </is>
      </c>
      <c r="H110" s="20" t="n">
        <v>4.494</v>
      </c>
      <c r="I110" s="21" t="n">
        <v>15</v>
      </c>
      <c r="J110" s="22" t="n">
        <v>2.984</v>
      </c>
      <c r="K110" s="9">
        <f>ROUND(H110*I110*J110, 2)</f>
        <v/>
      </c>
      <c r="L110" s="23">
        <f>ROUND(K110/1000, 3)</f>
        <v/>
      </c>
      <c r="M110" s="8">
        <f>IF(AO110="","",IF(INDEX(Theo_Doi_Tan_Suat_Be_Tong!$C:$C,AO110)="","",INDEX(Theo_Doi_Tan_Suat_Be_Tong!$C:$C,AO110)-VLOOKUP(AN110,$AQ$2:$AR$7,2,FALSE)))</f>
        <v/>
      </c>
      <c r="N110" s="6" t="n"/>
      <c r="O110" s="24">
        <f>IF(ROUNDUP(V110/20,0)&gt;ROUNDUP(V109/20,0),"TN Ø22 (Lần " &amp; ROUNDUP(V110/20,0) &amp; ")","")</f>
        <v/>
      </c>
      <c r="P110" s="20">
        <f>ROUND(P109+IF(AND(E110&lt;=10,F110&lt;&gt;"ASTM A416"),L110,0),3)</f>
        <v/>
      </c>
      <c r="Q110" s="20">
        <f>ROUND(Q109+IF(AND(E110=12,F110&lt;&gt;"ASTM A416"),L110,0),3)</f>
        <v/>
      </c>
      <c r="R110" s="20">
        <f>ROUND(R109+IF(AND(E110=14,F110&lt;&gt;"ASTM A416"),L110,0),3)</f>
        <v/>
      </c>
      <c r="S110" s="20">
        <f>ROUND(S109+IF(AND(E110=16,F110&lt;&gt;"ASTM A416"),L110,0),3)</f>
        <v/>
      </c>
      <c r="T110" s="20">
        <f>ROUND(T109+IF(AND(E110=18,F110&lt;&gt;"ASTM A416"),L110,0),3)</f>
        <v/>
      </c>
      <c r="U110" s="20">
        <f>ROUND(U109+IF(AND(E110=20,F110&lt;&gt;"ASTM A416"),L110,0),3)</f>
        <v/>
      </c>
      <c r="V110" s="20">
        <f>ROUND(V109+IF(AND(E110=22,F110&lt;&gt;"ASTM A416"),L110,0),3)</f>
        <v/>
      </c>
      <c r="W110" s="20">
        <f>ROUND(W109+IF(AND(E110=25,F110&lt;&gt;"ASTM A416"),L110,0),3)</f>
        <v/>
      </c>
      <c r="X110" s="20">
        <f>ROUND(X109+IF(AND(E110=28,F110&lt;&gt;"ASTM A416"),L110,0),3)</f>
        <v/>
      </c>
      <c r="Y110" s="20">
        <f>ROUND(Y109+IF(AND(E110=32,F110&lt;&gt;"ASTM A416"),L110,0),3)</f>
        <v/>
      </c>
      <c r="Z110" s="20">
        <f>ROUND(Z109+IF(F110="ASTM A416",L110,0),3)</f>
        <v/>
      </c>
      <c r="AA110" s="11">
        <f>IF(ROUNDUP(P110/20,0)&gt;ROUNDUP(P109/20,0),"Lần " &amp; ROUNDUP(P110/20,0),"")</f>
        <v/>
      </c>
      <c r="AB110" s="11">
        <f>IF(ROUNDUP(Q110/20,0)&gt;ROUNDUP(Q109/20,0),"Lần " &amp; ROUNDUP(Q110/20,0),"")</f>
        <v/>
      </c>
      <c r="AC110" s="11">
        <f>IF(ROUNDUP(R110/20,0)&gt;ROUNDUP(R109/20,0),"Lần " &amp; ROUNDUP(R110/20,0),"")</f>
        <v/>
      </c>
      <c r="AD110" s="11">
        <f>IF(ROUNDUP(S110/20,0)&gt;ROUNDUP(S109/20,0),"Lần " &amp; ROUNDUP(S110/20,0),"")</f>
        <v/>
      </c>
      <c r="AE110" s="11">
        <f>IF(ROUNDUP(T110/20,0)&gt;ROUNDUP(T109/20,0),"Lần " &amp; ROUNDUP(T110/20,0),"")</f>
        <v/>
      </c>
      <c r="AF110" s="11">
        <f>IF(ROUNDUP(U110/20,0)&gt;ROUNDUP(U109/20,0),"Lần " &amp; ROUNDUP(U110/20,0),"")</f>
        <v/>
      </c>
      <c r="AG110" s="11">
        <f>IF(ROUNDUP(V110/20,0)&gt;ROUNDUP(V109/20,0),"Lần " &amp; ROUNDUP(V110/20,0),"")</f>
        <v/>
      </c>
      <c r="AH110" s="11">
        <f>IF(ROUNDUP(W110/20,0)&gt;ROUNDUP(W109/20,0),"Lần " &amp; ROUNDUP(W110/20,0),"")</f>
        <v/>
      </c>
      <c r="AI110" s="11">
        <f>IF(ROUNDUP(X110/20,0)&gt;ROUNDUP(X109/20,0),"Lần " &amp; ROUNDUP(X110/20,0),"")</f>
        <v/>
      </c>
      <c r="AJ110" s="11">
        <f>IF(ROUNDUP(Y110/20,0)&gt;ROUNDUP(Y109/20,0),"Lần " &amp; ROUNDUP(Y110/20,0),"")</f>
        <v/>
      </c>
      <c r="AK110" s="11">
        <f>IF(ROUNDUP(Z110/20,0)&gt;ROUNDUP(Z109/20,0),"Lần " &amp; ROUNDUP(Z110/20,0),"")</f>
        <v/>
      </c>
      <c r="AL110" s="6" t="n"/>
      <c r="AN110" t="inlineStr">
        <is>
          <t>Than</t>
        </is>
      </c>
      <c r="AO110" t="n">
        <v>54</v>
      </c>
    </row>
    <row r="111" ht="19" customHeight="1">
      <c r="A111" s="6" t="n">
        <v>107</v>
      </c>
      <c r="B111" s="7" t="inlineStr">
        <is>
          <t>Mố M2</t>
        </is>
      </c>
      <c r="C111" s="7" t="inlineStr">
        <is>
          <t>Mố M2 (tr.40)</t>
        </is>
      </c>
      <c r="D111" s="18" t="inlineStr">
        <is>
          <t>W4B(T)</t>
        </is>
      </c>
      <c r="E111" s="19" t="n">
        <v>22</v>
      </c>
      <c r="F111" s="6" t="inlineStr">
        <is>
          <t>CB400-V</t>
        </is>
      </c>
      <c r="G111" s="7" t="inlineStr">
        <is>
          <t>S06</t>
        </is>
      </c>
      <c r="H111" s="20" t="n">
        <v>6.056</v>
      </c>
      <c r="I111" s="21" t="n">
        <v>20</v>
      </c>
      <c r="J111" s="22" t="n">
        <v>2.984</v>
      </c>
      <c r="K111" s="9">
        <f>ROUND(H111*I111*J111, 2)</f>
        <v/>
      </c>
      <c r="L111" s="23">
        <f>ROUND(K111/1000, 3)</f>
        <v/>
      </c>
      <c r="M111" s="8">
        <f>IF(AO111="","",IF(INDEX(Theo_Doi_Tan_Suat_Be_Tong!$C:$C,AO111)="","",INDEX(Theo_Doi_Tan_Suat_Be_Tong!$C:$C,AO111)-VLOOKUP(AN111,$AQ$2:$AR$7,2,FALSE)))</f>
        <v/>
      </c>
      <c r="N111" s="6" t="n"/>
      <c r="O111" s="24">
        <f>IF(ROUNDUP(V111/20,0)&gt;ROUNDUP(V110/20,0),"TN Ø22 (Lần " &amp; ROUNDUP(V111/20,0) &amp; ")","")</f>
        <v/>
      </c>
      <c r="P111" s="20">
        <f>ROUND(P110+IF(AND(E111&lt;=10,F111&lt;&gt;"ASTM A416"),L111,0),3)</f>
        <v/>
      </c>
      <c r="Q111" s="20">
        <f>ROUND(Q110+IF(AND(E111=12,F111&lt;&gt;"ASTM A416"),L111,0),3)</f>
        <v/>
      </c>
      <c r="R111" s="20">
        <f>ROUND(R110+IF(AND(E111=14,F111&lt;&gt;"ASTM A416"),L111,0),3)</f>
        <v/>
      </c>
      <c r="S111" s="20">
        <f>ROUND(S110+IF(AND(E111=16,F111&lt;&gt;"ASTM A416"),L111,0),3)</f>
        <v/>
      </c>
      <c r="T111" s="20">
        <f>ROUND(T110+IF(AND(E111=18,F111&lt;&gt;"ASTM A416"),L111,0),3)</f>
        <v/>
      </c>
      <c r="U111" s="20">
        <f>ROUND(U110+IF(AND(E111=20,F111&lt;&gt;"ASTM A416"),L111,0),3)</f>
        <v/>
      </c>
      <c r="V111" s="20">
        <f>ROUND(V110+IF(AND(E111=22,F111&lt;&gt;"ASTM A416"),L111,0),3)</f>
        <v/>
      </c>
      <c r="W111" s="20">
        <f>ROUND(W110+IF(AND(E111=25,F111&lt;&gt;"ASTM A416"),L111,0),3)</f>
        <v/>
      </c>
      <c r="X111" s="20">
        <f>ROUND(X110+IF(AND(E111=28,F111&lt;&gt;"ASTM A416"),L111,0),3)</f>
        <v/>
      </c>
      <c r="Y111" s="20">
        <f>ROUND(Y110+IF(AND(E111=32,F111&lt;&gt;"ASTM A416"),L111,0),3)</f>
        <v/>
      </c>
      <c r="Z111" s="20">
        <f>ROUND(Z110+IF(F111="ASTM A416",L111,0),3)</f>
        <v/>
      </c>
      <c r="AA111" s="11">
        <f>IF(ROUNDUP(P111/20,0)&gt;ROUNDUP(P110/20,0),"Lần " &amp; ROUNDUP(P111/20,0),"")</f>
        <v/>
      </c>
      <c r="AB111" s="11">
        <f>IF(ROUNDUP(Q111/20,0)&gt;ROUNDUP(Q110/20,0),"Lần " &amp; ROUNDUP(Q111/20,0),"")</f>
        <v/>
      </c>
      <c r="AC111" s="11">
        <f>IF(ROUNDUP(R111/20,0)&gt;ROUNDUP(R110/20,0),"Lần " &amp; ROUNDUP(R111/20,0),"")</f>
        <v/>
      </c>
      <c r="AD111" s="11">
        <f>IF(ROUNDUP(S111/20,0)&gt;ROUNDUP(S110/20,0),"Lần " &amp; ROUNDUP(S111/20,0),"")</f>
        <v/>
      </c>
      <c r="AE111" s="11">
        <f>IF(ROUNDUP(T111/20,0)&gt;ROUNDUP(T110/20,0),"Lần " &amp; ROUNDUP(T111/20,0),"")</f>
        <v/>
      </c>
      <c r="AF111" s="11">
        <f>IF(ROUNDUP(U111/20,0)&gt;ROUNDUP(U110/20,0),"Lần " &amp; ROUNDUP(U111/20,0),"")</f>
        <v/>
      </c>
      <c r="AG111" s="11">
        <f>IF(ROUNDUP(V111/20,0)&gt;ROUNDUP(V110/20,0),"Lần " &amp; ROUNDUP(V111/20,0),"")</f>
        <v/>
      </c>
      <c r="AH111" s="11">
        <f>IF(ROUNDUP(W111/20,0)&gt;ROUNDUP(W110/20,0),"Lần " &amp; ROUNDUP(W111/20,0),"")</f>
        <v/>
      </c>
      <c r="AI111" s="11">
        <f>IF(ROUNDUP(X111/20,0)&gt;ROUNDUP(X110/20,0),"Lần " &amp; ROUNDUP(X111/20,0),"")</f>
        <v/>
      </c>
      <c r="AJ111" s="11">
        <f>IF(ROUNDUP(Y111/20,0)&gt;ROUNDUP(Y110/20,0),"Lần " &amp; ROUNDUP(Y111/20,0),"")</f>
        <v/>
      </c>
      <c r="AK111" s="11">
        <f>IF(ROUNDUP(Z111/20,0)&gt;ROUNDUP(Z110/20,0),"Lần " &amp; ROUNDUP(Z111/20,0),"")</f>
        <v/>
      </c>
      <c r="AL111" s="6" t="n"/>
      <c r="AN111" t="inlineStr">
        <is>
          <t>Than</t>
        </is>
      </c>
      <c r="AO111" t="n">
        <v>54</v>
      </c>
    </row>
    <row r="112" ht="19" customHeight="1">
      <c r="A112" s="6" t="n">
        <v>108</v>
      </c>
      <c r="B112" s="7" t="inlineStr">
        <is>
          <t>Mố M2</t>
        </is>
      </c>
      <c r="C112" s="7" t="inlineStr">
        <is>
          <t>Mố M2 (tr.40)</t>
        </is>
      </c>
      <c r="D112" s="18" t="inlineStr">
        <is>
          <t>W4C(T</t>
        </is>
      </c>
      <c r="E112" s="19" t="n">
        <v>22</v>
      </c>
      <c r="F112" s="6" t="inlineStr">
        <is>
          <t>CB400-V</t>
        </is>
      </c>
      <c r="G112" s="7" t="inlineStr"/>
      <c r="H112" s="20" t="n">
        <v>7.469</v>
      </c>
      <c r="I112" s="21" t="n">
        <v>4</v>
      </c>
      <c r="J112" s="22" t="n">
        <v>2.984</v>
      </c>
      <c r="K112" s="9">
        <f>ROUND(H112*I112*J112, 2)</f>
        <v/>
      </c>
      <c r="L112" s="23">
        <f>ROUND(K112/1000, 3)</f>
        <v/>
      </c>
      <c r="M112" s="8">
        <f>IF(AO112="","",IF(INDEX(Theo_Doi_Tan_Suat_Be_Tong!$C:$C,AO112)="","",INDEX(Theo_Doi_Tan_Suat_Be_Tong!$C:$C,AO112)-VLOOKUP(AN112,$AQ$2:$AR$7,2,FALSE)))</f>
        <v/>
      </c>
      <c r="N112" s="6" t="n"/>
      <c r="O112" s="24">
        <f>IF(ROUNDUP(V112/20,0)&gt;ROUNDUP(V111/20,0),"TN Ø22 (Lần " &amp; ROUNDUP(V112/20,0) &amp; ")","")</f>
        <v/>
      </c>
      <c r="P112" s="20">
        <f>ROUND(P111+IF(AND(E112&lt;=10,F112&lt;&gt;"ASTM A416"),L112,0),3)</f>
        <v/>
      </c>
      <c r="Q112" s="20">
        <f>ROUND(Q111+IF(AND(E112=12,F112&lt;&gt;"ASTM A416"),L112,0),3)</f>
        <v/>
      </c>
      <c r="R112" s="20">
        <f>ROUND(R111+IF(AND(E112=14,F112&lt;&gt;"ASTM A416"),L112,0),3)</f>
        <v/>
      </c>
      <c r="S112" s="20">
        <f>ROUND(S111+IF(AND(E112=16,F112&lt;&gt;"ASTM A416"),L112,0),3)</f>
        <v/>
      </c>
      <c r="T112" s="20">
        <f>ROUND(T111+IF(AND(E112=18,F112&lt;&gt;"ASTM A416"),L112,0),3)</f>
        <v/>
      </c>
      <c r="U112" s="20">
        <f>ROUND(U111+IF(AND(E112=20,F112&lt;&gt;"ASTM A416"),L112,0),3)</f>
        <v/>
      </c>
      <c r="V112" s="20">
        <f>ROUND(V111+IF(AND(E112=22,F112&lt;&gt;"ASTM A416"),L112,0),3)</f>
        <v/>
      </c>
      <c r="W112" s="20">
        <f>ROUND(W111+IF(AND(E112=25,F112&lt;&gt;"ASTM A416"),L112,0),3)</f>
        <v/>
      </c>
      <c r="X112" s="20">
        <f>ROUND(X111+IF(AND(E112=28,F112&lt;&gt;"ASTM A416"),L112,0),3)</f>
        <v/>
      </c>
      <c r="Y112" s="20">
        <f>ROUND(Y111+IF(AND(E112=32,F112&lt;&gt;"ASTM A416"),L112,0),3)</f>
        <v/>
      </c>
      <c r="Z112" s="20">
        <f>ROUND(Z111+IF(F112="ASTM A416",L112,0),3)</f>
        <v/>
      </c>
      <c r="AA112" s="11">
        <f>IF(ROUNDUP(P112/20,0)&gt;ROUNDUP(P111/20,0),"Lần " &amp; ROUNDUP(P112/20,0),"")</f>
        <v/>
      </c>
      <c r="AB112" s="11">
        <f>IF(ROUNDUP(Q112/20,0)&gt;ROUNDUP(Q111/20,0),"Lần " &amp; ROUNDUP(Q112/20,0),"")</f>
        <v/>
      </c>
      <c r="AC112" s="11">
        <f>IF(ROUNDUP(R112/20,0)&gt;ROUNDUP(R111/20,0),"Lần " &amp; ROUNDUP(R112/20,0),"")</f>
        <v/>
      </c>
      <c r="AD112" s="11">
        <f>IF(ROUNDUP(S112/20,0)&gt;ROUNDUP(S111/20,0),"Lần " &amp; ROUNDUP(S112/20,0),"")</f>
        <v/>
      </c>
      <c r="AE112" s="11">
        <f>IF(ROUNDUP(T112/20,0)&gt;ROUNDUP(T111/20,0),"Lần " &amp; ROUNDUP(T112/20,0),"")</f>
        <v/>
      </c>
      <c r="AF112" s="11">
        <f>IF(ROUNDUP(U112/20,0)&gt;ROUNDUP(U111/20,0),"Lần " &amp; ROUNDUP(U112/20,0),"")</f>
        <v/>
      </c>
      <c r="AG112" s="11">
        <f>IF(ROUNDUP(V112/20,0)&gt;ROUNDUP(V111/20,0),"Lần " &amp; ROUNDUP(V112/20,0),"")</f>
        <v/>
      </c>
      <c r="AH112" s="11">
        <f>IF(ROUNDUP(W112/20,0)&gt;ROUNDUP(W111/20,0),"Lần " &amp; ROUNDUP(W112/20,0),"")</f>
        <v/>
      </c>
      <c r="AI112" s="11">
        <f>IF(ROUNDUP(X112/20,0)&gt;ROUNDUP(X111/20,0),"Lần " &amp; ROUNDUP(X112/20,0),"")</f>
        <v/>
      </c>
      <c r="AJ112" s="11">
        <f>IF(ROUNDUP(Y112/20,0)&gt;ROUNDUP(Y111/20,0),"Lần " &amp; ROUNDUP(Y112/20,0),"")</f>
        <v/>
      </c>
      <c r="AK112" s="11">
        <f>IF(ROUNDUP(Z112/20,0)&gt;ROUNDUP(Z111/20,0),"Lần " &amp; ROUNDUP(Z112/20,0),"")</f>
        <v/>
      </c>
      <c r="AL112" s="6" t="n"/>
      <c r="AN112" t="inlineStr">
        <is>
          <t>Than</t>
        </is>
      </c>
      <c r="AO112" t="n">
        <v>54</v>
      </c>
    </row>
    <row r="113" ht="20" customHeight="1">
      <c r="A113" s="6" t="n">
        <v>109</v>
      </c>
      <c r="B113" s="7" t="inlineStr">
        <is>
          <t>Mố M2</t>
        </is>
      </c>
      <c r="C113" s="7" t="inlineStr">
        <is>
          <t>Mố M2 (tr.40)</t>
        </is>
      </c>
      <c r="D113" s="18" t="inlineStr">
        <is>
          <t>W4DXT</t>
        </is>
      </c>
      <c r="E113" s="19" t="n">
        <v>22</v>
      </c>
      <c r="F113" s="6" t="inlineStr">
        <is>
          <t>CB400-V</t>
        </is>
      </c>
      <c r="G113" s="7" t="inlineStr"/>
      <c r="H113" s="20" t="n">
        <v>6.494</v>
      </c>
      <c r="I113" s="21" t="n">
        <v>14</v>
      </c>
      <c r="J113" s="22" t="n">
        <v>2.984</v>
      </c>
      <c r="K113" s="9">
        <f>ROUND(H113*I113*J113, 2)</f>
        <v/>
      </c>
      <c r="L113" s="23">
        <f>ROUND(K113/1000, 3)</f>
        <v/>
      </c>
      <c r="M113" s="8">
        <f>IF(AO113="","",IF(INDEX(Theo_Doi_Tan_Suat_Be_Tong!$C:$C,AO113)="","",INDEX(Theo_Doi_Tan_Suat_Be_Tong!$C:$C,AO113)-VLOOKUP(AN113,$AQ$2:$AR$7,2,FALSE)))</f>
        <v/>
      </c>
      <c r="N113" s="6" t="n"/>
      <c r="O113" s="24">
        <f>IF(ROUNDUP(V113/20,0)&gt;ROUNDUP(V112/20,0),"TN Ø22 (Lần " &amp; ROUNDUP(V113/20,0) &amp; ")","")</f>
        <v/>
      </c>
      <c r="P113" s="20">
        <f>ROUND(P112+IF(AND(E113&lt;=10,F113&lt;&gt;"ASTM A416"),L113,0),3)</f>
        <v/>
      </c>
      <c r="Q113" s="20">
        <f>ROUND(Q112+IF(AND(E113=12,F113&lt;&gt;"ASTM A416"),L113,0),3)</f>
        <v/>
      </c>
      <c r="R113" s="20">
        <f>ROUND(R112+IF(AND(E113=14,F113&lt;&gt;"ASTM A416"),L113,0),3)</f>
        <v/>
      </c>
      <c r="S113" s="20">
        <f>ROUND(S112+IF(AND(E113=16,F113&lt;&gt;"ASTM A416"),L113,0),3)</f>
        <v/>
      </c>
      <c r="T113" s="20">
        <f>ROUND(T112+IF(AND(E113=18,F113&lt;&gt;"ASTM A416"),L113,0),3)</f>
        <v/>
      </c>
      <c r="U113" s="20">
        <f>ROUND(U112+IF(AND(E113=20,F113&lt;&gt;"ASTM A416"),L113,0),3)</f>
        <v/>
      </c>
      <c r="V113" s="20">
        <f>ROUND(V112+IF(AND(E113=22,F113&lt;&gt;"ASTM A416"),L113,0),3)</f>
        <v/>
      </c>
      <c r="W113" s="20">
        <f>ROUND(W112+IF(AND(E113=25,F113&lt;&gt;"ASTM A416"),L113,0),3)</f>
        <v/>
      </c>
      <c r="X113" s="20">
        <f>ROUND(X112+IF(AND(E113=28,F113&lt;&gt;"ASTM A416"),L113,0),3)</f>
        <v/>
      </c>
      <c r="Y113" s="20">
        <f>ROUND(Y112+IF(AND(E113=32,F113&lt;&gt;"ASTM A416"),L113,0),3)</f>
        <v/>
      </c>
      <c r="Z113" s="20">
        <f>ROUND(Z112+IF(F113="ASTM A416",L113,0),3)</f>
        <v/>
      </c>
      <c r="AA113" s="11">
        <f>IF(ROUNDUP(P113/20,0)&gt;ROUNDUP(P112/20,0),"Lần " &amp; ROUNDUP(P113/20,0),"")</f>
        <v/>
      </c>
      <c r="AB113" s="11">
        <f>IF(ROUNDUP(Q113/20,0)&gt;ROUNDUP(Q112/20,0),"Lần " &amp; ROUNDUP(Q113/20,0),"")</f>
        <v/>
      </c>
      <c r="AC113" s="11">
        <f>IF(ROUNDUP(R113/20,0)&gt;ROUNDUP(R112/20,0),"Lần " &amp; ROUNDUP(R113/20,0),"")</f>
        <v/>
      </c>
      <c r="AD113" s="11">
        <f>IF(ROUNDUP(S113/20,0)&gt;ROUNDUP(S112/20,0),"Lần " &amp; ROUNDUP(S113/20,0),"")</f>
        <v/>
      </c>
      <c r="AE113" s="11">
        <f>IF(ROUNDUP(T113/20,0)&gt;ROUNDUP(T112/20,0),"Lần " &amp; ROUNDUP(T113/20,0),"")</f>
        <v/>
      </c>
      <c r="AF113" s="11">
        <f>IF(ROUNDUP(U113/20,0)&gt;ROUNDUP(U112/20,0),"Lần " &amp; ROUNDUP(U113/20,0),"")</f>
        <v/>
      </c>
      <c r="AG113" s="11">
        <f>IF(ROUNDUP(V113/20,0)&gt;ROUNDUP(V112/20,0),"Lần " &amp; ROUNDUP(V113/20,0),"")</f>
        <v/>
      </c>
      <c r="AH113" s="11">
        <f>IF(ROUNDUP(W113/20,0)&gt;ROUNDUP(W112/20,0),"Lần " &amp; ROUNDUP(W113/20,0),"")</f>
        <v/>
      </c>
      <c r="AI113" s="11">
        <f>IF(ROUNDUP(X113/20,0)&gt;ROUNDUP(X112/20,0),"Lần " &amp; ROUNDUP(X113/20,0),"")</f>
        <v/>
      </c>
      <c r="AJ113" s="11">
        <f>IF(ROUNDUP(Y113/20,0)&gt;ROUNDUP(Y112/20,0),"Lần " &amp; ROUNDUP(Y113/20,0),"")</f>
        <v/>
      </c>
      <c r="AK113" s="11">
        <f>IF(ROUNDUP(Z113/20,0)&gt;ROUNDUP(Z112/20,0),"Lần " &amp; ROUNDUP(Z113/20,0),"")</f>
        <v/>
      </c>
      <c r="AL113" s="6" t="n"/>
      <c r="AN113" t="inlineStr">
        <is>
          <t>Than</t>
        </is>
      </c>
      <c r="AO113" t="n">
        <v>54</v>
      </c>
    </row>
    <row r="114" ht="19" customHeight="1">
      <c r="A114" s="6" t="n">
        <v>110</v>
      </c>
      <c r="B114" s="7" t="inlineStr">
        <is>
          <t>Mố M2</t>
        </is>
      </c>
      <c r="C114" s="7" t="inlineStr">
        <is>
          <t>Mố M2 (tr.40)</t>
        </is>
      </c>
      <c r="D114" s="18" t="inlineStr">
        <is>
          <t>W4F(T)</t>
        </is>
      </c>
      <c r="E114" s="19" t="n">
        <v>22</v>
      </c>
      <c r="F114" s="6" t="inlineStr">
        <is>
          <t>CB400-V</t>
        </is>
      </c>
      <c r="G114" s="7" t="inlineStr">
        <is>
          <t>S06</t>
        </is>
      </c>
      <c r="H114" s="20" t="n">
        <v>6.496</v>
      </c>
      <c r="I114" s="21" t="n">
        <v>1</v>
      </c>
      <c r="J114" s="22" t="n">
        <v>2.984</v>
      </c>
      <c r="K114" s="9">
        <f>ROUND(H114*I114*J114, 2)</f>
        <v/>
      </c>
      <c r="L114" s="23">
        <f>ROUND(K114/1000, 3)</f>
        <v/>
      </c>
      <c r="M114" s="8">
        <f>IF(AO114="","",IF(INDEX(Theo_Doi_Tan_Suat_Be_Tong!$C:$C,AO114)="","",INDEX(Theo_Doi_Tan_Suat_Be_Tong!$C:$C,AO114)-VLOOKUP(AN114,$AQ$2:$AR$7,2,FALSE)))</f>
        <v/>
      </c>
      <c r="N114" s="6" t="n"/>
      <c r="O114" s="24">
        <f>IF(ROUNDUP(V114/20,0)&gt;ROUNDUP(V113/20,0),"TN Ø22 (Lần " &amp; ROUNDUP(V114/20,0) &amp; ")","")</f>
        <v/>
      </c>
      <c r="P114" s="20">
        <f>ROUND(P113+IF(AND(E114&lt;=10,F114&lt;&gt;"ASTM A416"),L114,0),3)</f>
        <v/>
      </c>
      <c r="Q114" s="20">
        <f>ROUND(Q113+IF(AND(E114=12,F114&lt;&gt;"ASTM A416"),L114,0),3)</f>
        <v/>
      </c>
      <c r="R114" s="20">
        <f>ROUND(R113+IF(AND(E114=14,F114&lt;&gt;"ASTM A416"),L114,0),3)</f>
        <v/>
      </c>
      <c r="S114" s="20">
        <f>ROUND(S113+IF(AND(E114=16,F114&lt;&gt;"ASTM A416"),L114,0),3)</f>
        <v/>
      </c>
      <c r="T114" s="20">
        <f>ROUND(T113+IF(AND(E114=18,F114&lt;&gt;"ASTM A416"),L114,0),3)</f>
        <v/>
      </c>
      <c r="U114" s="20">
        <f>ROUND(U113+IF(AND(E114=20,F114&lt;&gt;"ASTM A416"),L114,0),3)</f>
        <v/>
      </c>
      <c r="V114" s="20">
        <f>ROUND(V113+IF(AND(E114=22,F114&lt;&gt;"ASTM A416"),L114,0),3)</f>
        <v/>
      </c>
      <c r="W114" s="20">
        <f>ROUND(W113+IF(AND(E114=25,F114&lt;&gt;"ASTM A416"),L114,0),3)</f>
        <v/>
      </c>
      <c r="X114" s="20">
        <f>ROUND(X113+IF(AND(E114=28,F114&lt;&gt;"ASTM A416"),L114,0),3)</f>
        <v/>
      </c>
      <c r="Y114" s="20">
        <f>ROUND(Y113+IF(AND(E114=32,F114&lt;&gt;"ASTM A416"),L114,0),3)</f>
        <v/>
      </c>
      <c r="Z114" s="20">
        <f>ROUND(Z113+IF(F114="ASTM A416",L114,0),3)</f>
        <v/>
      </c>
      <c r="AA114" s="11">
        <f>IF(ROUNDUP(P114/20,0)&gt;ROUNDUP(P113/20,0),"Lần " &amp; ROUNDUP(P114/20,0),"")</f>
        <v/>
      </c>
      <c r="AB114" s="11">
        <f>IF(ROUNDUP(Q114/20,0)&gt;ROUNDUP(Q113/20,0),"Lần " &amp; ROUNDUP(Q114/20,0),"")</f>
        <v/>
      </c>
      <c r="AC114" s="11">
        <f>IF(ROUNDUP(R114/20,0)&gt;ROUNDUP(R113/20,0),"Lần " &amp; ROUNDUP(R114/20,0),"")</f>
        <v/>
      </c>
      <c r="AD114" s="11">
        <f>IF(ROUNDUP(S114/20,0)&gt;ROUNDUP(S113/20,0),"Lần " &amp; ROUNDUP(S114/20,0),"")</f>
        <v/>
      </c>
      <c r="AE114" s="11">
        <f>IF(ROUNDUP(T114/20,0)&gt;ROUNDUP(T113/20,0),"Lần " &amp; ROUNDUP(T114/20,0),"")</f>
        <v/>
      </c>
      <c r="AF114" s="11">
        <f>IF(ROUNDUP(U114/20,0)&gt;ROUNDUP(U113/20,0),"Lần " &amp; ROUNDUP(U114/20,0),"")</f>
        <v/>
      </c>
      <c r="AG114" s="11">
        <f>IF(ROUNDUP(V114/20,0)&gt;ROUNDUP(V113/20,0),"Lần " &amp; ROUNDUP(V114/20,0),"")</f>
        <v/>
      </c>
      <c r="AH114" s="11">
        <f>IF(ROUNDUP(W114/20,0)&gt;ROUNDUP(W113/20,0),"Lần " &amp; ROUNDUP(W114/20,0),"")</f>
        <v/>
      </c>
      <c r="AI114" s="11">
        <f>IF(ROUNDUP(X114/20,0)&gt;ROUNDUP(X113/20,0),"Lần " &amp; ROUNDUP(X114/20,0),"")</f>
        <v/>
      </c>
      <c r="AJ114" s="11">
        <f>IF(ROUNDUP(Y114/20,0)&gt;ROUNDUP(Y113/20,0),"Lần " &amp; ROUNDUP(Y114/20,0),"")</f>
        <v/>
      </c>
      <c r="AK114" s="11">
        <f>IF(ROUNDUP(Z114/20,0)&gt;ROUNDUP(Z113/20,0),"Lần " &amp; ROUNDUP(Z114/20,0),"")</f>
        <v/>
      </c>
      <c r="AL114" s="6" t="n"/>
      <c r="AN114" t="inlineStr">
        <is>
          <t>Than</t>
        </is>
      </c>
      <c r="AO114" t="n">
        <v>54</v>
      </c>
    </row>
    <row r="115" ht="19" customHeight="1">
      <c r="A115" s="6" t="n">
        <v>111</v>
      </c>
      <c r="B115" s="7" t="inlineStr">
        <is>
          <t>Mố M2</t>
        </is>
      </c>
      <c r="C115" s="7" t="inlineStr">
        <is>
          <t>Mố M2 (tr.40)</t>
        </is>
      </c>
      <c r="D115" s="18" t="inlineStr">
        <is>
          <t>W5A(T)</t>
        </is>
      </c>
      <c r="E115" s="19" t="n">
        <v>16</v>
      </c>
      <c r="F115" s="6" t="inlineStr">
        <is>
          <t>CB400-V</t>
        </is>
      </c>
      <c r="G115" s="7" t="inlineStr">
        <is>
          <t>S05</t>
        </is>
      </c>
      <c r="H115" s="20" t="n">
        <v>7.668</v>
      </c>
      <c r="I115" s="21" t="n">
        <v>1</v>
      </c>
      <c r="J115" s="22" t="n">
        <v>1.578</v>
      </c>
      <c r="K115" s="9">
        <f>ROUND(H115*I115*J115, 2)</f>
        <v/>
      </c>
      <c r="L115" s="23">
        <f>ROUND(K115/1000, 3)</f>
        <v/>
      </c>
      <c r="M115" s="8">
        <f>IF(AO115="","",IF(INDEX(Theo_Doi_Tan_Suat_Be_Tong!$C:$C,AO115)="","",INDEX(Theo_Doi_Tan_Suat_Be_Tong!$C:$C,AO115)-VLOOKUP(AN115,$AQ$2:$AR$7,2,FALSE)))</f>
        <v/>
      </c>
      <c r="N115" s="6" t="n"/>
      <c r="O115" s="24">
        <f>IF(ROUNDUP(S115/20,0)&gt;ROUNDUP(S114/20,0),"TN Ø16 (Lần " &amp; ROUNDUP(S115/20,0) &amp; ")","")</f>
        <v/>
      </c>
      <c r="P115" s="20">
        <f>ROUND(P114+IF(AND(E115&lt;=10,F115&lt;&gt;"ASTM A416"),L115,0),3)</f>
        <v/>
      </c>
      <c r="Q115" s="20">
        <f>ROUND(Q114+IF(AND(E115=12,F115&lt;&gt;"ASTM A416"),L115,0),3)</f>
        <v/>
      </c>
      <c r="R115" s="20">
        <f>ROUND(R114+IF(AND(E115=14,F115&lt;&gt;"ASTM A416"),L115,0),3)</f>
        <v/>
      </c>
      <c r="S115" s="20">
        <f>ROUND(S114+IF(AND(E115=16,F115&lt;&gt;"ASTM A416"),L115,0),3)</f>
        <v/>
      </c>
      <c r="T115" s="20">
        <f>ROUND(T114+IF(AND(E115=18,F115&lt;&gt;"ASTM A416"),L115,0),3)</f>
        <v/>
      </c>
      <c r="U115" s="20">
        <f>ROUND(U114+IF(AND(E115=20,F115&lt;&gt;"ASTM A416"),L115,0),3)</f>
        <v/>
      </c>
      <c r="V115" s="20">
        <f>ROUND(V114+IF(AND(E115=22,F115&lt;&gt;"ASTM A416"),L115,0),3)</f>
        <v/>
      </c>
      <c r="W115" s="20">
        <f>ROUND(W114+IF(AND(E115=25,F115&lt;&gt;"ASTM A416"),L115,0),3)</f>
        <v/>
      </c>
      <c r="X115" s="20">
        <f>ROUND(X114+IF(AND(E115=28,F115&lt;&gt;"ASTM A416"),L115,0),3)</f>
        <v/>
      </c>
      <c r="Y115" s="20">
        <f>ROUND(Y114+IF(AND(E115=32,F115&lt;&gt;"ASTM A416"),L115,0),3)</f>
        <v/>
      </c>
      <c r="Z115" s="20">
        <f>ROUND(Z114+IF(F115="ASTM A416",L115,0),3)</f>
        <v/>
      </c>
      <c r="AA115" s="11">
        <f>IF(ROUNDUP(P115/20,0)&gt;ROUNDUP(P114/20,0),"Lần " &amp; ROUNDUP(P115/20,0),"")</f>
        <v/>
      </c>
      <c r="AB115" s="11">
        <f>IF(ROUNDUP(Q115/20,0)&gt;ROUNDUP(Q114/20,0),"Lần " &amp; ROUNDUP(Q115/20,0),"")</f>
        <v/>
      </c>
      <c r="AC115" s="11">
        <f>IF(ROUNDUP(R115/20,0)&gt;ROUNDUP(R114/20,0),"Lần " &amp; ROUNDUP(R115/20,0),"")</f>
        <v/>
      </c>
      <c r="AD115" s="11">
        <f>IF(ROUNDUP(S115/20,0)&gt;ROUNDUP(S114/20,0),"Lần " &amp; ROUNDUP(S115/20,0),"")</f>
        <v/>
      </c>
      <c r="AE115" s="11">
        <f>IF(ROUNDUP(T115/20,0)&gt;ROUNDUP(T114/20,0),"Lần " &amp; ROUNDUP(T115/20,0),"")</f>
        <v/>
      </c>
      <c r="AF115" s="11">
        <f>IF(ROUNDUP(U115/20,0)&gt;ROUNDUP(U114/20,0),"Lần " &amp; ROUNDUP(U115/20,0),"")</f>
        <v/>
      </c>
      <c r="AG115" s="11">
        <f>IF(ROUNDUP(V115/20,0)&gt;ROUNDUP(V114/20,0),"Lần " &amp; ROUNDUP(V115/20,0),"")</f>
        <v/>
      </c>
      <c r="AH115" s="11">
        <f>IF(ROUNDUP(W115/20,0)&gt;ROUNDUP(W114/20,0),"Lần " &amp; ROUNDUP(W115/20,0),"")</f>
        <v/>
      </c>
      <c r="AI115" s="11">
        <f>IF(ROUNDUP(X115/20,0)&gt;ROUNDUP(X114/20,0),"Lần " &amp; ROUNDUP(X115/20,0),"")</f>
        <v/>
      </c>
      <c r="AJ115" s="11">
        <f>IF(ROUNDUP(Y115/20,0)&gt;ROUNDUP(Y114/20,0),"Lần " &amp; ROUNDUP(Y115/20,0),"")</f>
        <v/>
      </c>
      <c r="AK115" s="11">
        <f>IF(ROUNDUP(Z115/20,0)&gt;ROUNDUP(Z114/20,0),"Lần " &amp; ROUNDUP(Z115/20,0),"")</f>
        <v/>
      </c>
      <c r="AL115" s="6" t="n"/>
      <c r="AN115" t="inlineStr">
        <is>
          <t>Than</t>
        </is>
      </c>
      <c r="AO115" t="n">
        <v>54</v>
      </c>
    </row>
    <row r="116" ht="19" customHeight="1">
      <c r="A116" s="6" t="n">
        <v>112</v>
      </c>
      <c r="B116" s="7" t="inlineStr">
        <is>
          <t>Mố M2</t>
        </is>
      </c>
      <c r="C116" s="7" t="inlineStr">
        <is>
          <t>Mố M2 (tr.40)</t>
        </is>
      </c>
      <c r="D116" s="18" t="inlineStr">
        <is>
          <t>W5B(T)</t>
        </is>
      </c>
      <c r="E116" s="19" t="n">
        <v>16</v>
      </c>
      <c r="F116" s="6" t="inlineStr">
        <is>
          <t>CB400-V</t>
        </is>
      </c>
      <c r="G116" s="7" t="inlineStr">
        <is>
          <t>S02</t>
        </is>
      </c>
      <c r="H116" s="20" t="n">
        <v>10.092</v>
      </c>
      <c r="I116" s="21" t="n">
        <v>1</v>
      </c>
      <c r="J116" s="22" t="n">
        <v>1.578</v>
      </c>
      <c r="K116" s="9">
        <f>ROUND(H116*I116*J116, 2)</f>
        <v/>
      </c>
      <c r="L116" s="23">
        <f>ROUND(K116/1000, 3)</f>
        <v/>
      </c>
      <c r="M116" s="8">
        <f>IF(AO116="","",IF(INDEX(Theo_Doi_Tan_Suat_Be_Tong!$C:$C,AO116)="","",INDEX(Theo_Doi_Tan_Suat_Be_Tong!$C:$C,AO116)-VLOOKUP(AN116,$AQ$2:$AR$7,2,FALSE)))</f>
        <v/>
      </c>
      <c r="N116" s="6" t="n"/>
      <c r="O116" s="24">
        <f>IF(ROUNDUP(S116/20,0)&gt;ROUNDUP(S115/20,0),"TN Ø16 (Lần " &amp; ROUNDUP(S116/20,0) &amp; ")","")</f>
        <v/>
      </c>
      <c r="P116" s="20">
        <f>ROUND(P115+IF(AND(E116&lt;=10,F116&lt;&gt;"ASTM A416"),L116,0),3)</f>
        <v/>
      </c>
      <c r="Q116" s="20">
        <f>ROUND(Q115+IF(AND(E116=12,F116&lt;&gt;"ASTM A416"),L116,0),3)</f>
        <v/>
      </c>
      <c r="R116" s="20">
        <f>ROUND(R115+IF(AND(E116=14,F116&lt;&gt;"ASTM A416"),L116,0),3)</f>
        <v/>
      </c>
      <c r="S116" s="20">
        <f>ROUND(S115+IF(AND(E116=16,F116&lt;&gt;"ASTM A416"),L116,0),3)</f>
        <v/>
      </c>
      <c r="T116" s="20">
        <f>ROUND(T115+IF(AND(E116=18,F116&lt;&gt;"ASTM A416"),L116,0),3)</f>
        <v/>
      </c>
      <c r="U116" s="20">
        <f>ROUND(U115+IF(AND(E116=20,F116&lt;&gt;"ASTM A416"),L116,0),3)</f>
        <v/>
      </c>
      <c r="V116" s="20">
        <f>ROUND(V115+IF(AND(E116=22,F116&lt;&gt;"ASTM A416"),L116,0),3)</f>
        <v/>
      </c>
      <c r="W116" s="20">
        <f>ROUND(W115+IF(AND(E116=25,F116&lt;&gt;"ASTM A416"),L116,0),3)</f>
        <v/>
      </c>
      <c r="X116" s="20">
        <f>ROUND(X115+IF(AND(E116=28,F116&lt;&gt;"ASTM A416"),L116,0),3)</f>
        <v/>
      </c>
      <c r="Y116" s="20">
        <f>ROUND(Y115+IF(AND(E116=32,F116&lt;&gt;"ASTM A416"),L116,0),3)</f>
        <v/>
      </c>
      <c r="Z116" s="20">
        <f>ROUND(Z115+IF(F116="ASTM A416",L116,0),3)</f>
        <v/>
      </c>
      <c r="AA116" s="11">
        <f>IF(ROUNDUP(P116/20,0)&gt;ROUNDUP(P115/20,0),"Lần " &amp; ROUNDUP(P116/20,0),"")</f>
        <v/>
      </c>
      <c r="AB116" s="11">
        <f>IF(ROUNDUP(Q116/20,0)&gt;ROUNDUP(Q115/20,0),"Lần " &amp; ROUNDUP(Q116/20,0),"")</f>
        <v/>
      </c>
      <c r="AC116" s="11">
        <f>IF(ROUNDUP(R116/20,0)&gt;ROUNDUP(R115/20,0),"Lần " &amp; ROUNDUP(R116/20,0),"")</f>
        <v/>
      </c>
      <c r="AD116" s="11">
        <f>IF(ROUNDUP(S116/20,0)&gt;ROUNDUP(S115/20,0),"Lần " &amp; ROUNDUP(S116/20,0),"")</f>
        <v/>
      </c>
      <c r="AE116" s="11">
        <f>IF(ROUNDUP(T116/20,0)&gt;ROUNDUP(T115/20,0),"Lần " &amp; ROUNDUP(T116/20,0),"")</f>
        <v/>
      </c>
      <c r="AF116" s="11">
        <f>IF(ROUNDUP(U116/20,0)&gt;ROUNDUP(U115/20,0),"Lần " &amp; ROUNDUP(U116/20,0),"")</f>
        <v/>
      </c>
      <c r="AG116" s="11">
        <f>IF(ROUNDUP(V116/20,0)&gt;ROUNDUP(V115/20,0),"Lần " &amp; ROUNDUP(V116/20,0),"")</f>
        <v/>
      </c>
      <c r="AH116" s="11">
        <f>IF(ROUNDUP(W116/20,0)&gt;ROUNDUP(W115/20,0),"Lần " &amp; ROUNDUP(W116/20,0),"")</f>
        <v/>
      </c>
      <c r="AI116" s="11">
        <f>IF(ROUNDUP(X116/20,0)&gt;ROUNDUP(X115/20,0),"Lần " &amp; ROUNDUP(X116/20,0),"")</f>
        <v/>
      </c>
      <c r="AJ116" s="11">
        <f>IF(ROUNDUP(Y116/20,0)&gt;ROUNDUP(Y115/20,0),"Lần " &amp; ROUNDUP(Y116/20,0),"")</f>
        <v/>
      </c>
      <c r="AK116" s="11">
        <f>IF(ROUNDUP(Z116/20,0)&gt;ROUNDUP(Z115/20,0),"Lần " &amp; ROUNDUP(Z116/20,0),"")</f>
        <v/>
      </c>
      <c r="AL116" s="6" t="n"/>
      <c r="AN116" t="inlineStr">
        <is>
          <t>Than</t>
        </is>
      </c>
      <c r="AO116" t="n">
        <v>54</v>
      </c>
    </row>
    <row r="117" ht="19" customHeight="1">
      <c r="A117" s="6" t="n">
        <v>113</v>
      </c>
      <c r="B117" s="7" t="inlineStr">
        <is>
          <t>Mố M2</t>
        </is>
      </c>
      <c r="C117" s="7" t="inlineStr">
        <is>
          <t>Mố M2 (tr.40)</t>
        </is>
      </c>
      <c r="D117" s="18" t="inlineStr">
        <is>
          <t>W6(T)</t>
        </is>
      </c>
      <c r="E117" s="19" t="n">
        <v>16</v>
      </c>
      <c r="F117" s="6" t="inlineStr">
        <is>
          <t>CB400-V</t>
        </is>
      </c>
      <c r="G117" s="7" t="inlineStr"/>
      <c r="H117" s="20" t="n">
        <v>0.615</v>
      </c>
      <c r="I117" s="21" t="n">
        <v>53</v>
      </c>
      <c r="J117" s="22" t="n">
        <v>1.578</v>
      </c>
      <c r="K117" s="9">
        <f>ROUND(H117*I117*J117, 2)</f>
        <v/>
      </c>
      <c r="L117" s="23">
        <f>ROUND(K117/1000, 3)</f>
        <v/>
      </c>
      <c r="M117" s="8">
        <f>IF(AO117="","",IF(INDEX(Theo_Doi_Tan_Suat_Be_Tong!$C:$C,AO117)="","",INDEX(Theo_Doi_Tan_Suat_Be_Tong!$C:$C,AO117)-VLOOKUP(AN117,$AQ$2:$AR$7,2,FALSE)))</f>
        <v/>
      </c>
      <c r="N117" s="6" t="n"/>
      <c r="O117" s="24">
        <f>IF(ROUNDUP(S117/20,0)&gt;ROUNDUP(S116/20,0),"TN Ø16 (Lần " &amp; ROUNDUP(S117/20,0) &amp; ")","")</f>
        <v/>
      </c>
      <c r="P117" s="20">
        <f>ROUND(P116+IF(AND(E117&lt;=10,F117&lt;&gt;"ASTM A416"),L117,0),3)</f>
        <v/>
      </c>
      <c r="Q117" s="20">
        <f>ROUND(Q116+IF(AND(E117=12,F117&lt;&gt;"ASTM A416"),L117,0),3)</f>
        <v/>
      </c>
      <c r="R117" s="20">
        <f>ROUND(R116+IF(AND(E117=14,F117&lt;&gt;"ASTM A416"),L117,0),3)</f>
        <v/>
      </c>
      <c r="S117" s="20">
        <f>ROUND(S116+IF(AND(E117=16,F117&lt;&gt;"ASTM A416"),L117,0),3)</f>
        <v/>
      </c>
      <c r="T117" s="20">
        <f>ROUND(T116+IF(AND(E117=18,F117&lt;&gt;"ASTM A416"),L117,0),3)</f>
        <v/>
      </c>
      <c r="U117" s="20">
        <f>ROUND(U116+IF(AND(E117=20,F117&lt;&gt;"ASTM A416"),L117,0),3)</f>
        <v/>
      </c>
      <c r="V117" s="20">
        <f>ROUND(V116+IF(AND(E117=22,F117&lt;&gt;"ASTM A416"),L117,0),3)</f>
        <v/>
      </c>
      <c r="W117" s="20">
        <f>ROUND(W116+IF(AND(E117=25,F117&lt;&gt;"ASTM A416"),L117,0),3)</f>
        <v/>
      </c>
      <c r="X117" s="20">
        <f>ROUND(X116+IF(AND(E117=28,F117&lt;&gt;"ASTM A416"),L117,0),3)</f>
        <v/>
      </c>
      <c r="Y117" s="20">
        <f>ROUND(Y116+IF(AND(E117=32,F117&lt;&gt;"ASTM A416"),L117,0),3)</f>
        <v/>
      </c>
      <c r="Z117" s="20">
        <f>ROUND(Z116+IF(F117="ASTM A416",L117,0),3)</f>
        <v/>
      </c>
      <c r="AA117" s="11">
        <f>IF(ROUNDUP(P117/20,0)&gt;ROUNDUP(P116/20,0),"Lần " &amp; ROUNDUP(P117/20,0),"")</f>
        <v/>
      </c>
      <c r="AB117" s="11">
        <f>IF(ROUNDUP(Q117/20,0)&gt;ROUNDUP(Q116/20,0),"Lần " &amp; ROUNDUP(Q117/20,0),"")</f>
        <v/>
      </c>
      <c r="AC117" s="11">
        <f>IF(ROUNDUP(R117/20,0)&gt;ROUNDUP(R116/20,0),"Lần " &amp; ROUNDUP(R117/20,0),"")</f>
        <v/>
      </c>
      <c r="AD117" s="11">
        <f>IF(ROUNDUP(S117/20,0)&gt;ROUNDUP(S116/20,0),"Lần " &amp; ROUNDUP(S117/20,0),"")</f>
        <v/>
      </c>
      <c r="AE117" s="11">
        <f>IF(ROUNDUP(T117/20,0)&gt;ROUNDUP(T116/20,0),"Lần " &amp; ROUNDUP(T117/20,0),"")</f>
        <v/>
      </c>
      <c r="AF117" s="11">
        <f>IF(ROUNDUP(U117/20,0)&gt;ROUNDUP(U116/20,0),"Lần " &amp; ROUNDUP(U117/20,0),"")</f>
        <v/>
      </c>
      <c r="AG117" s="11">
        <f>IF(ROUNDUP(V117/20,0)&gt;ROUNDUP(V116/20,0),"Lần " &amp; ROUNDUP(V117/20,0),"")</f>
        <v/>
      </c>
      <c r="AH117" s="11">
        <f>IF(ROUNDUP(W117/20,0)&gt;ROUNDUP(W116/20,0),"Lần " &amp; ROUNDUP(W117/20,0),"")</f>
        <v/>
      </c>
      <c r="AI117" s="11">
        <f>IF(ROUNDUP(X117/20,0)&gt;ROUNDUP(X116/20,0),"Lần " &amp; ROUNDUP(X117/20,0),"")</f>
        <v/>
      </c>
      <c r="AJ117" s="11">
        <f>IF(ROUNDUP(Y117/20,0)&gt;ROUNDUP(Y116/20,0),"Lần " &amp; ROUNDUP(Y117/20,0),"")</f>
        <v/>
      </c>
      <c r="AK117" s="11">
        <f>IF(ROUNDUP(Z117/20,0)&gt;ROUNDUP(Z116/20,0),"Lần " &amp; ROUNDUP(Z117/20,0),"")</f>
        <v/>
      </c>
      <c r="AL117" s="6" t="n"/>
      <c r="AN117" t="inlineStr">
        <is>
          <t>Than</t>
        </is>
      </c>
      <c r="AO117" t="n">
        <v>54</v>
      </c>
    </row>
    <row r="118" ht="19" customHeight="1">
      <c r="A118" s="6" t="n">
        <v>114</v>
      </c>
      <c r="B118" s="7" t="inlineStr">
        <is>
          <t>Mố M2</t>
        </is>
      </c>
      <c r="C118" s="7" t="inlineStr">
        <is>
          <t>Mố M2 (tr.40)</t>
        </is>
      </c>
      <c r="D118" s="18" t="inlineStr">
        <is>
          <t>W7(T)</t>
        </is>
      </c>
      <c r="E118" s="19" t="n">
        <v>14</v>
      </c>
      <c r="F118" s="6" t="inlineStr">
        <is>
          <t>CB400-V</t>
        </is>
      </c>
      <c r="G118" s="7" t="inlineStr"/>
      <c r="H118" s="20" t="n">
        <v>0.585</v>
      </c>
      <c r="I118" s="21" t="n">
        <v>69</v>
      </c>
      <c r="J118" s="22" t="n">
        <v>1.208</v>
      </c>
      <c r="K118" s="9">
        <f>ROUND(H118*I118*J118, 2)</f>
        <v/>
      </c>
      <c r="L118" s="23">
        <f>ROUND(K118/1000, 3)</f>
        <v/>
      </c>
      <c r="M118" s="8">
        <f>IF(AO118="","",IF(INDEX(Theo_Doi_Tan_Suat_Be_Tong!$C:$C,AO118)="","",INDEX(Theo_Doi_Tan_Suat_Be_Tong!$C:$C,AO118)-VLOOKUP(AN118,$AQ$2:$AR$7,2,FALSE)))</f>
        <v/>
      </c>
      <c r="N118" s="6" t="n"/>
      <c r="O118" s="24">
        <f>IF(ROUNDUP(R118/20,0)&gt;ROUNDUP(R117/20,0),"TN Ø14 (Lần " &amp; ROUNDUP(R118/20,0) &amp; ")","")</f>
        <v/>
      </c>
      <c r="P118" s="20">
        <f>ROUND(P117+IF(AND(E118&lt;=10,F118&lt;&gt;"ASTM A416"),L118,0),3)</f>
        <v/>
      </c>
      <c r="Q118" s="20">
        <f>ROUND(Q117+IF(AND(E118=12,F118&lt;&gt;"ASTM A416"),L118,0),3)</f>
        <v/>
      </c>
      <c r="R118" s="20">
        <f>ROUND(R117+IF(AND(E118=14,F118&lt;&gt;"ASTM A416"),L118,0),3)</f>
        <v/>
      </c>
      <c r="S118" s="20">
        <f>ROUND(S117+IF(AND(E118=16,F118&lt;&gt;"ASTM A416"),L118,0),3)</f>
        <v/>
      </c>
      <c r="T118" s="20">
        <f>ROUND(T117+IF(AND(E118=18,F118&lt;&gt;"ASTM A416"),L118,0),3)</f>
        <v/>
      </c>
      <c r="U118" s="20">
        <f>ROUND(U117+IF(AND(E118=20,F118&lt;&gt;"ASTM A416"),L118,0),3)</f>
        <v/>
      </c>
      <c r="V118" s="20">
        <f>ROUND(V117+IF(AND(E118=22,F118&lt;&gt;"ASTM A416"),L118,0),3)</f>
        <v/>
      </c>
      <c r="W118" s="20">
        <f>ROUND(W117+IF(AND(E118=25,F118&lt;&gt;"ASTM A416"),L118,0),3)</f>
        <v/>
      </c>
      <c r="X118" s="20">
        <f>ROUND(X117+IF(AND(E118=28,F118&lt;&gt;"ASTM A416"),L118,0),3)</f>
        <v/>
      </c>
      <c r="Y118" s="20">
        <f>ROUND(Y117+IF(AND(E118=32,F118&lt;&gt;"ASTM A416"),L118,0),3)</f>
        <v/>
      </c>
      <c r="Z118" s="20">
        <f>ROUND(Z117+IF(F118="ASTM A416",L118,0),3)</f>
        <v/>
      </c>
      <c r="AA118" s="11">
        <f>IF(ROUNDUP(P118/20,0)&gt;ROUNDUP(P117/20,0),"Lần " &amp; ROUNDUP(P118/20,0),"")</f>
        <v/>
      </c>
      <c r="AB118" s="11">
        <f>IF(ROUNDUP(Q118/20,0)&gt;ROUNDUP(Q117/20,0),"Lần " &amp; ROUNDUP(Q118/20,0),"")</f>
        <v/>
      </c>
      <c r="AC118" s="11">
        <f>IF(ROUNDUP(R118/20,0)&gt;ROUNDUP(R117/20,0),"Lần " &amp; ROUNDUP(R118/20,0),"")</f>
        <v/>
      </c>
      <c r="AD118" s="11">
        <f>IF(ROUNDUP(S118/20,0)&gt;ROUNDUP(S117/20,0),"Lần " &amp; ROUNDUP(S118/20,0),"")</f>
        <v/>
      </c>
      <c r="AE118" s="11">
        <f>IF(ROUNDUP(T118/20,0)&gt;ROUNDUP(T117/20,0),"Lần " &amp; ROUNDUP(T118/20,0),"")</f>
        <v/>
      </c>
      <c r="AF118" s="11">
        <f>IF(ROUNDUP(U118/20,0)&gt;ROUNDUP(U117/20,0),"Lần " &amp; ROUNDUP(U118/20,0),"")</f>
        <v/>
      </c>
      <c r="AG118" s="11">
        <f>IF(ROUNDUP(V118/20,0)&gt;ROUNDUP(V117/20,0),"Lần " &amp; ROUNDUP(V118/20,0),"")</f>
        <v/>
      </c>
      <c r="AH118" s="11">
        <f>IF(ROUNDUP(W118/20,0)&gt;ROUNDUP(W117/20,0),"Lần " &amp; ROUNDUP(W118/20,0),"")</f>
        <v/>
      </c>
      <c r="AI118" s="11">
        <f>IF(ROUNDUP(X118/20,0)&gt;ROUNDUP(X117/20,0),"Lần " &amp; ROUNDUP(X118/20,0),"")</f>
        <v/>
      </c>
      <c r="AJ118" s="11">
        <f>IF(ROUNDUP(Y118/20,0)&gt;ROUNDUP(Y117/20,0),"Lần " &amp; ROUNDUP(Y118/20,0),"")</f>
        <v/>
      </c>
      <c r="AK118" s="11">
        <f>IF(ROUNDUP(Z118/20,0)&gt;ROUNDUP(Z117/20,0),"Lần " &amp; ROUNDUP(Z118/20,0),"")</f>
        <v/>
      </c>
      <c r="AL118" s="6" t="n"/>
      <c r="AN118" t="inlineStr">
        <is>
          <t>Than</t>
        </is>
      </c>
      <c r="AO118" t="n">
        <v>54</v>
      </c>
    </row>
    <row r="119" ht="19" customHeight="1">
      <c r="A119" s="6" t="n">
        <v>115</v>
      </c>
      <c r="B119" s="7" t="inlineStr">
        <is>
          <t>Mố M2</t>
        </is>
      </c>
      <c r="C119" s="7" t="inlineStr">
        <is>
          <t>Mố M2 (tr.40)</t>
        </is>
      </c>
      <c r="D119" s="18" t="inlineStr">
        <is>
          <t>W8(T)</t>
        </is>
      </c>
      <c r="E119" s="19" t="n">
        <v>16</v>
      </c>
      <c r="F119" s="6" t="inlineStr">
        <is>
          <t>CB400-V</t>
        </is>
      </c>
      <c r="G119" s="7" t="inlineStr">
        <is>
          <t>S02</t>
        </is>
      </c>
      <c r="H119" s="20" t="n">
        <v>9.571</v>
      </c>
      <c r="I119" s="21" t="n">
        <v>2</v>
      </c>
      <c r="J119" s="22" t="n">
        <v>1.578</v>
      </c>
      <c r="K119" s="9">
        <f>ROUND(H119*I119*J119, 2)</f>
        <v/>
      </c>
      <c r="L119" s="23">
        <f>ROUND(K119/1000, 3)</f>
        <v/>
      </c>
      <c r="M119" s="8">
        <f>IF(AO119="","",IF(INDEX(Theo_Doi_Tan_Suat_Be_Tong!$C:$C,AO119)="","",INDEX(Theo_Doi_Tan_Suat_Be_Tong!$C:$C,AO119)-VLOOKUP(AN119,$AQ$2:$AR$7,2,FALSE)))</f>
        <v/>
      </c>
      <c r="N119" s="6" t="n"/>
      <c r="O119" s="24">
        <f>IF(ROUNDUP(S119/20,0)&gt;ROUNDUP(S118/20,0),"TN Ø16 (Lần " &amp; ROUNDUP(S119/20,0) &amp; ")","")</f>
        <v/>
      </c>
      <c r="P119" s="20">
        <f>ROUND(P118+IF(AND(E119&lt;=10,F119&lt;&gt;"ASTM A416"),L119,0),3)</f>
        <v/>
      </c>
      <c r="Q119" s="20">
        <f>ROUND(Q118+IF(AND(E119=12,F119&lt;&gt;"ASTM A416"),L119,0),3)</f>
        <v/>
      </c>
      <c r="R119" s="20">
        <f>ROUND(R118+IF(AND(E119=14,F119&lt;&gt;"ASTM A416"),L119,0),3)</f>
        <v/>
      </c>
      <c r="S119" s="20">
        <f>ROUND(S118+IF(AND(E119=16,F119&lt;&gt;"ASTM A416"),L119,0),3)</f>
        <v/>
      </c>
      <c r="T119" s="20">
        <f>ROUND(T118+IF(AND(E119=18,F119&lt;&gt;"ASTM A416"),L119,0),3)</f>
        <v/>
      </c>
      <c r="U119" s="20">
        <f>ROUND(U118+IF(AND(E119=20,F119&lt;&gt;"ASTM A416"),L119,0),3)</f>
        <v/>
      </c>
      <c r="V119" s="20">
        <f>ROUND(V118+IF(AND(E119=22,F119&lt;&gt;"ASTM A416"),L119,0),3)</f>
        <v/>
      </c>
      <c r="W119" s="20">
        <f>ROUND(W118+IF(AND(E119=25,F119&lt;&gt;"ASTM A416"),L119,0),3)</f>
        <v/>
      </c>
      <c r="X119" s="20">
        <f>ROUND(X118+IF(AND(E119=28,F119&lt;&gt;"ASTM A416"),L119,0),3)</f>
        <v/>
      </c>
      <c r="Y119" s="20">
        <f>ROUND(Y118+IF(AND(E119=32,F119&lt;&gt;"ASTM A416"),L119,0),3)</f>
        <v/>
      </c>
      <c r="Z119" s="20">
        <f>ROUND(Z118+IF(F119="ASTM A416",L119,0),3)</f>
        <v/>
      </c>
      <c r="AA119" s="11">
        <f>IF(ROUNDUP(P119/20,0)&gt;ROUNDUP(P118/20,0),"Lần " &amp; ROUNDUP(P119/20,0),"")</f>
        <v/>
      </c>
      <c r="AB119" s="11">
        <f>IF(ROUNDUP(Q119/20,0)&gt;ROUNDUP(Q118/20,0),"Lần " &amp; ROUNDUP(Q119/20,0),"")</f>
        <v/>
      </c>
      <c r="AC119" s="11">
        <f>IF(ROUNDUP(R119/20,0)&gt;ROUNDUP(R118/20,0),"Lần " &amp; ROUNDUP(R119/20,0),"")</f>
        <v/>
      </c>
      <c r="AD119" s="11">
        <f>IF(ROUNDUP(S119/20,0)&gt;ROUNDUP(S118/20,0),"Lần " &amp; ROUNDUP(S119/20,0),"")</f>
        <v/>
      </c>
      <c r="AE119" s="11">
        <f>IF(ROUNDUP(T119/20,0)&gt;ROUNDUP(T118/20,0),"Lần " &amp; ROUNDUP(T119/20,0),"")</f>
        <v/>
      </c>
      <c r="AF119" s="11">
        <f>IF(ROUNDUP(U119/20,0)&gt;ROUNDUP(U118/20,0),"Lần " &amp; ROUNDUP(U119/20,0),"")</f>
        <v/>
      </c>
      <c r="AG119" s="11">
        <f>IF(ROUNDUP(V119/20,0)&gt;ROUNDUP(V118/20,0),"Lần " &amp; ROUNDUP(V119/20,0),"")</f>
        <v/>
      </c>
      <c r="AH119" s="11">
        <f>IF(ROUNDUP(W119/20,0)&gt;ROUNDUP(W118/20,0),"Lần " &amp; ROUNDUP(W119/20,0),"")</f>
        <v/>
      </c>
      <c r="AI119" s="11">
        <f>IF(ROUNDUP(X119/20,0)&gt;ROUNDUP(X118/20,0),"Lần " &amp; ROUNDUP(X119/20,0),"")</f>
        <v/>
      </c>
      <c r="AJ119" s="11">
        <f>IF(ROUNDUP(Y119/20,0)&gt;ROUNDUP(Y118/20,0),"Lần " &amp; ROUNDUP(Y119/20,0),"")</f>
        <v/>
      </c>
      <c r="AK119" s="11">
        <f>IF(ROUNDUP(Z119/20,0)&gt;ROUNDUP(Z118/20,0),"Lần " &amp; ROUNDUP(Z119/20,0),"")</f>
        <v/>
      </c>
      <c r="AL119" s="6" t="n"/>
      <c r="AN119" t="inlineStr">
        <is>
          <t>Than</t>
        </is>
      </c>
      <c r="AO119" t="n">
        <v>54</v>
      </c>
    </row>
    <row r="120" ht="19" customHeight="1">
      <c r="A120" s="6" t="n">
        <v>116</v>
      </c>
      <c r="B120" s="7" t="inlineStr">
        <is>
          <t>Mố M2</t>
        </is>
      </c>
      <c r="C120" s="7" t="inlineStr">
        <is>
          <t>Mố M2 (tr.40)</t>
        </is>
      </c>
      <c r="D120" s="18" t="inlineStr">
        <is>
          <t>W9(T)</t>
        </is>
      </c>
      <c r="E120" s="19" t="n">
        <v>16</v>
      </c>
      <c r="F120" s="6" t="inlineStr">
        <is>
          <t>CB400-V</t>
        </is>
      </c>
      <c r="G120" s="7" t="inlineStr"/>
      <c r="H120" s="20" t="n">
        <v>1.881</v>
      </c>
      <c r="I120" s="21" t="n">
        <v>46</v>
      </c>
      <c r="J120" s="22" t="n">
        <v>1.578</v>
      </c>
      <c r="K120" s="9">
        <f>ROUND(H120*I120*J120, 2)</f>
        <v/>
      </c>
      <c r="L120" s="23">
        <f>ROUND(K120/1000, 3)</f>
        <v/>
      </c>
      <c r="M120" s="8">
        <f>IF(AO120="","",IF(INDEX(Theo_Doi_Tan_Suat_Be_Tong!$C:$C,AO120)="","",INDEX(Theo_Doi_Tan_Suat_Be_Tong!$C:$C,AO120)-VLOOKUP(AN120,$AQ$2:$AR$7,2,FALSE)))</f>
        <v/>
      </c>
      <c r="N120" s="6" t="n"/>
      <c r="O120" s="24">
        <f>IF(ROUNDUP(S120/20,0)&gt;ROUNDUP(S119/20,0),"TN Ø16 (Lần " &amp; ROUNDUP(S120/20,0) &amp; ")","")</f>
        <v/>
      </c>
      <c r="P120" s="20">
        <f>ROUND(P119+IF(AND(E120&lt;=10,F120&lt;&gt;"ASTM A416"),L120,0),3)</f>
        <v/>
      </c>
      <c r="Q120" s="20">
        <f>ROUND(Q119+IF(AND(E120=12,F120&lt;&gt;"ASTM A416"),L120,0),3)</f>
        <v/>
      </c>
      <c r="R120" s="20">
        <f>ROUND(R119+IF(AND(E120=14,F120&lt;&gt;"ASTM A416"),L120,0),3)</f>
        <v/>
      </c>
      <c r="S120" s="20">
        <f>ROUND(S119+IF(AND(E120=16,F120&lt;&gt;"ASTM A416"),L120,0),3)</f>
        <v/>
      </c>
      <c r="T120" s="20">
        <f>ROUND(T119+IF(AND(E120=18,F120&lt;&gt;"ASTM A416"),L120,0),3)</f>
        <v/>
      </c>
      <c r="U120" s="20">
        <f>ROUND(U119+IF(AND(E120=20,F120&lt;&gt;"ASTM A416"),L120,0),3)</f>
        <v/>
      </c>
      <c r="V120" s="20">
        <f>ROUND(V119+IF(AND(E120=22,F120&lt;&gt;"ASTM A416"),L120,0),3)</f>
        <v/>
      </c>
      <c r="W120" s="20">
        <f>ROUND(W119+IF(AND(E120=25,F120&lt;&gt;"ASTM A416"),L120,0),3)</f>
        <v/>
      </c>
      <c r="X120" s="20">
        <f>ROUND(X119+IF(AND(E120=28,F120&lt;&gt;"ASTM A416"),L120,0),3)</f>
        <v/>
      </c>
      <c r="Y120" s="20">
        <f>ROUND(Y119+IF(AND(E120=32,F120&lt;&gt;"ASTM A416"),L120,0),3)</f>
        <v/>
      </c>
      <c r="Z120" s="20">
        <f>ROUND(Z119+IF(F120="ASTM A416",L120,0),3)</f>
        <v/>
      </c>
      <c r="AA120" s="11">
        <f>IF(ROUNDUP(P120/20,0)&gt;ROUNDUP(P119/20,0),"Lần " &amp; ROUNDUP(P120/20,0),"")</f>
        <v/>
      </c>
      <c r="AB120" s="11">
        <f>IF(ROUNDUP(Q120/20,0)&gt;ROUNDUP(Q119/20,0),"Lần " &amp; ROUNDUP(Q120/20,0),"")</f>
        <v/>
      </c>
      <c r="AC120" s="11">
        <f>IF(ROUNDUP(R120/20,0)&gt;ROUNDUP(R119/20,0),"Lần " &amp; ROUNDUP(R120/20,0),"")</f>
        <v/>
      </c>
      <c r="AD120" s="11">
        <f>IF(ROUNDUP(S120/20,0)&gt;ROUNDUP(S119/20,0),"Lần " &amp; ROUNDUP(S120/20,0),"")</f>
        <v/>
      </c>
      <c r="AE120" s="11">
        <f>IF(ROUNDUP(T120/20,0)&gt;ROUNDUP(T119/20,0),"Lần " &amp; ROUNDUP(T120/20,0),"")</f>
        <v/>
      </c>
      <c r="AF120" s="11">
        <f>IF(ROUNDUP(U120/20,0)&gt;ROUNDUP(U119/20,0),"Lần " &amp; ROUNDUP(U120/20,0),"")</f>
        <v/>
      </c>
      <c r="AG120" s="11">
        <f>IF(ROUNDUP(V120/20,0)&gt;ROUNDUP(V119/20,0),"Lần " &amp; ROUNDUP(V120/20,0),"")</f>
        <v/>
      </c>
      <c r="AH120" s="11">
        <f>IF(ROUNDUP(W120/20,0)&gt;ROUNDUP(W119/20,0),"Lần " &amp; ROUNDUP(W120/20,0),"")</f>
        <v/>
      </c>
      <c r="AI120" s="11">
        <f>IF(ROUNDUP(X120/20,0)&gt;ROUNDUP(X119/20,0),"Lần " &amp; ROUNDUP(X120/20,0),"")</f>
        <v/>
      </c>
      <c r="AJ120" s="11">
        <f>IF(ROUNDUP(Y120/20,0)&gt;ROUNDUP(Y119/20,0),"Lần " &amp; ROUNDUP(Y120/20,0),"")</f>
        <v/>
      </c>
      <c r="AK120" s="11">
        <f>IF(ROUNDUP(Z120/20,0)&gt;ROUNDUP(Z119/20,0),"Lần " &amp; ROUNDUP(Z120/20,0),"")</f>
        <v/>
      </c>
      <c r="AL120" s="6" t="n"/>
      <c r="AN120" t="inlineStr">
        <is>
          <t>Than</t>
        </is>
      </c>
      <c r="AO120" t="n">
        <v>54</v>
      </c>
    </row>
    <row r="121" ht="19" customHeight="1">
      <c r="A121" s="6" t="n">
        <v>117</v>
      </c>
      <c r="B121" s="7" t="inlineStr">
        <is>
          <t>Mố M2</t>
        </is>
      </c>
      <c r="C121" s="7" t="inlineStr">
        <is>
          <t>Mố M2 (tr.40)</t>
        </is>
      </c>
      <c r="D121" s="18" t="inlineStr">
        <is>
          <t>U1</t>
        </is>
      </c>
      <c r="E121" s="19" t="n">
        <v>16</v>
      </c>
      <c r="F121" s="6" t="inlineStr">
        <is>
          <t>CB400-V</t>
        </is>
      </c>
      <c r="G121" s="7" t="inlineStr">
        <is>
          <t>S06</t>
        </is>
      </c>
      <c r="H121" s="20" t="n">
        <v>4.192</v>
      </c>
      <c r="I121" s="21" t="n">
        <v>8</v>
      </c>
      <c r="J121" s="22" t="n">
        <v>1.578</v>
      </c>
      <c r="K121" s="9">
        <f>ROUND(H121*I121*J121, 2)</f>
        <v/>
      </c>
      <c r="L121" s="23">
        <f>ROUND(K121/1000, 3)</f>
        <v/>
      </c>
      <c r="M121" s="8">
        <f>IF(AO121="","",IF(INDEX(Theo_Doi_Tan_Suat_Be_Tong!$C:$C,AO121)="","",INDEX(Theo_Doi_Tan_Suat_Be_Tong!$C:$C,AO121)-VLOOKUP(AN121,$AQ$2:$AR$7,2,FALSE)))</f>
        <v/>
      </c>
      <c r="N121" s="6" t="n"/>
      <c r="O121" s="24">
        <f>IF(ROUNDUP(S121/20,0)&gt;ROUNDUP(S120/20,0),"TN Ø16 (Lần " &amp; ROUNDUP(S121/20,0) &amp; ")","")</f>
        <v/>
      </c>
      <c r="P121" s="20">
        <f>ROUND(P120+IF(AND(E121&lt;=10,F121&lt;&gt;"ASTM A416"),L121,0),3)</f>
        <v/>
      </c>
      <c r="Q121" s="20">
        <f>ROUND(Q120+IF(AND(E121=12,F121&lt;&gt;"ASTM A416"),L121,0),3)</f>
        <v/>
      </c>
      <c r="R121" s="20">
        <f>ROUND(R120+IF(AND(E121=14,F121&lt;&gt;"ASTM A416"),L121,0),3)</f>
        <v/>
      </c>
      <c r="S121" s="20">
        <f>ROUND(S120+IF(AND(E121=16,F121&lt;&gt;"ASTM A416"),L121,0),3)</f>
        <v/>
      </c>
      <c r="T121" s="20">
        <f>ROUND(T120+IF(AND(E121=18,F121&lt;&gt;"ASTM A416"),L121,0),3)</f>
        <v/>
      </c>
      <c r="U121" s="20">
        <f>ROUND(U120+IF(AND(E121=20,F121&lt;&gt;"ASTM A416"),L121,0),3)</f>
        <v/>
      </c>
      <c r="V121" s="20">
        <f>ROUND(V120+IF(AND(E121=22,F121&lt;&gt;"ASTM A416"),L121,0),3)</f>
        <v/>
      </c>
      <c r="W121" s="20">
        <f>ROUND(W120+IF(AND(E121=25,F121&lt;&gt;"ASTM A416"),L121,0),3)</f>
        <v/>
      </c>
      <c r="X121" s="20">
        <f>ROUND(X120+IF(AND(E121=28,F121&lt;&gt;"ASTM A416"),L121,0),3)</f>
        <v/>
      </c>
      <c r="Y121" s="20">
        <f>ROUND(Y120+IF(AND(E121=32,F121&lt;&gt;"ASTM A416"),L121,0),3)</f>
        <v/>
      </c>
      <c r="Z121" s="20">
        <f>ROUND(Z120+IF(F121="ASTM A416",L121,0),3)</f>
        <v/>
      </c>
      <c r="AA121" s="11">
        <f>IF(ROUNDUP(P121/20,0)&gt;ROUNDUP(P120/20,0),"Lần " &amp; ROUNDUP(P121/20,0),"")</f>
        <v/>
      </c>
      <c r="AB121" s="11">
        <f>IF(ROUNDUP(Q121/20,0)&gt;ROUNDUP(Q120/20,0),"Lần " &amp; ROUNDUP(Q121/20,0),"")</f>
        <v/>
      </c>
      <c r="AC121" s="11">
        <f>IF(ROUNDUP(R121/20,0)&gt;ROUNDUP(R120/20,0),"Lần " &amp; ROUNDUP(R121/20,0),"")</f>
        <v/>
      </c>
      <c r="AD121" s="11">
        <f>IF(ROUNDUP(S121/20,0)&gt;ROUNDUP(S120/20,0),"Lần " &amp; ROUNDUP(S121/20,0),"")</f>
        <v/>
      </c>
      <c r="AE121" s="11">
        <f>IF(ROUNDUP(T121/20,0)&gt;ROUNDUP(T120/20,0),"Lần " &amp; ROUNDUP(T121/20,0),"")</f>
        <v/>
      </c>
      <c r="AF121" s="11">
        <f>IF(ROUNDUP(U121/20,0)&gt;ROUNDUP(U120/20,0),"Lần " &amp; ROUNDUP(U121/20,0),"")</f>
        <v/>
      </c>
      <c r="AG121" s="11">
        <f>IF(ROUNDUP(V121/20,0)&gt;ROUNDUP(V120/20,0),"Lần " &amp; ROUNDUP(V121/20,0),"")</f>
        <v/>
      </c>
      <c r="AH121" s="11">
        <f>IF(ROUNDUP(W121/20,0)&gt;ROUNDUP(W120/20,0),"Lần " &amp; ROUNDUP(W121/20,0),"")</f>
        <v/>
      </c>
      <c r="AI121" s="11">
        <f>IF(ROUNDUP(X121/20,0)&gt;ROUNDUP(X120/20,0),"Lần " &amp; ROUNDUP(X121/20,0),"")</f>
        <v/>
      </c>
      <c r="AJ121" s="11">
        <f>IF(ROUNDUP(Y121/20,0)&gt;ROUNDUP(Y120/20,0),"Lần " &amp; ROUNDUP(Y121/20,0),"")</f>
        <v/>
      </c>
      <c r="AK121" s="11">
        <f>IF(ROUNDUP(Z121/20,0)&gt;ROUNDUP(Z120/20,0),"Lần " &amp; ROUNDUP(Z121/20,0),"")</f>
        <v/>
      </c>
      <c r="AL121" s="6" t="n"/>
      <c r="AN121" t="inlineStr">
        <is>
          <t>Than</t>
        </is>
      </c>
      <c r="AO121" t="n">
        <v>54</v>
      </c>
    </row>
    <row r="122" ht="19" customHeight="1">
      <c r="A122" s="6" t="n">
        <v>118</v>
      </c>
      <c r="B122" s="7" t="inlineStr">
        <is>
          <t>Mố M2</t>
        </is>
      </c>
      <c r="C122" s="7" t="inlineStr">
        <is>
          <t>Mố M2 (tr.40)</t>
        </is>
      </c>
      <c r="D122" s="18" t="inlineStr">
        <is>
          <t>U2</t>
        </is>
      </c>
      <c r="E122" s="19" t="n">
        <v>16</v>
      </c>
      <c r="F122" s="6" t="inlineStr">
        <is>
          <t>CB400-V</t>
        </is>
      </c>
      <c r="G122" s="7" t="inlineStr">
        <is>
          <t>S06</t>
        </is>
      </c>
      <c r="H122" s="20" t="n">
        <v>3.892</v>
      </c>
      <c r="I122" s="21" t="n">
        <v>14</v>
      </c>
      <c r="J122" s="22" t="n">
        <v>1.578</v>
      </c>
      <c r="K122" s="9">
        <f>ROUND(H122*I122*J122, 2)</f>
        <v/>
      </c>
      <c r="L122" s="23">
        <f>ROUND(K122/1000, 3)</f>
        <v/>
      </c>
      <c r="M122" s="8">
        <f>IF(AO122="","",IF(INDEX(Theo_Doi_Tan_Suat_Be_Tong!$C:$C,AO122)="","",INDEX(Theo_Doi_Tan_Suat_Be_Tong!$C:$C,AO122)-VLOOKUP(AN122,$AQ$2:$AR$7,2,FALSE)))</f>
        <v/>
      </c>
      <c r="N122" s="6" t="n"/>
      <c r="O122" s="24">
        <f>IF(ROUNDUP(S122/20,0)&gt;ROUNDUP(S121/20,0),"TN Ø16 (Lần " &amp; ROUNDUP(S122/20,0) &amp; ")","")</f>
        <v/>
      </c>
      <c r="P122" s="20">
        <f>ROUND(P121+IF(AND(E122&lt;=10,F122&lt;&gt;"ASTM A416"),L122,0),3)</f>
        <v/>
      </c>
      <c r="Q122" s="20">
        <f>ROUND(Q121+IF(AND(E122=12,F122&lt;&gt;"ASTM A416"),L122,0),3)</f>
        <v/>
      </c>
      <c r="R122" s="20">
        <f>ROUND(R121+IF(AND(E122=14,F122&lt;&gt;"ASTM A416"),L122,0),3)</f>
        <v/>
      </c>
      <c r="S122" s="20">
        <f>ROUND(S121+IF(AND(E122=16,F122&lt;&gt;"ASTM A416"),L122,0),3)</f>
        <v/>
      </c>
      <c r="T122" s="20">
        <f>ROUND(T121+IF(AND(E122=18,F122&lt;&gt;"ASTM A416"),L122,0),3)</f>
        <v/>
      </c>
      <c r="U122" s="20">
        <f>ROUND(U121+IF(AND(E122=20,F122&lt;&gt;"ASTM A416"),L122,0),3)</f>
        <v/>
      </c>
      <c r="V122" s="20">
        <f>ROUND(V121+IF(AND(E122=22,F122&lt;&gt;"ASTM A416"),L122,0),3)</f>
        <v/>
      </c>
      <c r="W122" s="20">
        <f>ROUND(W121+IF(AND(E122=25,F122&lt;&gt;"ASTM A416"),L122,0),3)</f>
        <v/>
      </c>
      <c r="X122" s="20">
        <f>ROUND(X121+IF(AND(E122=28,F122&lt;&gt;"ASTM A416"),L122,0),3)</f>
        <v/>
      </c>
      <c r="Y122" s="20">
        <f>ROUND(Y121+IF(AND(E122=32,F122&lt;&gt;"ASTM A416"),L122,0),3)</f>
        <v/>
      </c>
      <c r="Z122" s="20">
        <f>ROUND(Z121+IF(F122="ASTM A416",L122,0),3)</f>
        <v/>
      </c>
      <c r="AA122" s="11">
        <f>IF(ROUNDUP(P122/20,0)&gt;ROUNDUP(P121/20,0),"Lần " &amp; ROUNDUP(P122/20,0),"")</f>
        <v/>
      </c>
      <c r="AB122" s="11">
        <f>IF(ROUNDUP(Q122/20,0)&gt;ROUNDUP(Q121/20,0),"Lần " &amp; ROUNDUP(Q122/20,0),"")</f>
        <v/>
      </c>
      <c r="AC122" s="11">
        <f>IF(ROUNDUP(R122/20,0)&gt;ROUNDUP(R121/20,0),"Lần " &amp; ROUNDUP(R122/20,0),"")</f>
        <v/>
      </c>
      <c r="AD122" s="11">
        <f>IF(ROUNDUP(S122/20,0)&gt;ROUNDUP(S121/20,0),"Lần " &amp; ROUNDUP(S122/20,0),"")</f>
        <v/>
      </c>
      <c r="AE122" s="11">
        <f>IF(ROUNDUP(T122/20,0)&gt;ROUNDUP(T121/20,0),"Lần " &amp; ROUNDUP(T122/20,0),"")</f>
        <v/>
      </c>
      <c r="AF122" s="11">
        <f>IF(ROUNDUP(U122/20,0)&gt;ROUNDUP(U121/20,0),"Lần " &amp; ROUNDUP(U122/20,0),"")</f>
        <v/>
      </c>
      <c r="AG122" s="11">
        <f>IF(ROUNDUP(V122/20,0)&gt;ROUNDUP(V121/20,0),"Lần " &amp; ROUNDUP(V122/20,0),"")</f>
        <v/>
      </c>
      <c r="AH122" s="11">
        <f>IF(ROUNDUP(W122/20,0)&gt;ROUNDUP(W121/20,0),"Lần " &amp; ROUNDUP(W122/20,0),"")</f>
        <v/>
      </c>
      <c r="AI122" s="11">
        <f>IF(ROUNDUP(X122/20,0)&gt;ROUNDUP(X121/20,0),"Lần " &amp; ROUNDUP(X122/20,0),"")</f>
        <v/>
      </c>
      <c r="AJ122" s="11">
        <f>IF(ROUNDUP(Y122/20,0)&gt;ROUNDUP(Y121/20,0),"Lần " &amp; ROUNDUP(Y122/20,0),"")</f>
        <v/>
      </c>
      <c r="AK122" s="11">
        <f>IF(ROUNDUP(Z122/20,0)&gt;ROUNDUP(Z121/20,0),"Lần " &amp; ROUNDUP(Z122/20,0),"")</f>
        <v/>
      </c>
      <c r="AL122" s="6" t="n"/>
      <c r="AN122" t="inlineStr">
        <is>
          <t>Than</t>
        </is>
      </c>
      <c r="AO122" t="n">
        <v>54</v>
      </c>
    </row>
    <row r="123" ht="19" customHeight="1">
      <c r="A123" s="6" t="n">
        <v>119</v>
      </c>
      <c r="B123" s="7" t="inlineStr">
        <is>
          <t>Mố M2</t>
        </is>
      </c>
      <c r="C123" s="7" t="inlineStr">
        <is>
          <t>Mố M2 (tr.40)</t>
        </is>
      </c>
      <c r="D123" s="18" t="inlineStr">
        <is>
          <t>U3</t>
        </is>
      </c>
      <c r="E123" s="19" t="n">
        <v>16</v>
      </c>
      <c r="F123" s="6" t="inlineStr">
        <is>
          <t>CB400-V</t>
        </is>
      </c>
      <c r="G123" s="7" t="inlineStr">
        <is>
          <t>S51</t>
        </is>
      </c>
      <c r="H123" s="20" t="n">
        <v>3.256</v>
      </c>
      <c r="I123" s="21" t="n">
        <v>24</v>
      </c>
      <c r="J123" s="22" t="n">
        <v>1.578</v>
      </c>
      <c r="K123" s="9">
        <f>ROUND(H123*I123*J123, 2)</f>
        <v/>
      </c>
      <c r="L123" s="23">
        <f>ROUND(K123/1000, 3)</f>
        <v/>
      </c>
      <c r="M123" s="8">
        <f>IF(AO123="","",IF(INDEX(Theo_Doi_Tan_Suat_Be_Tong!$C:$C,AO123)="","",INDEX(Theo_Doi_Tan_Suat_Be_Tong!$C:$C,AO123)-VLOOKUP(AN123,$AQ$2:$AR$7,2,FALSE)))</f>
        <v/>
      </c>
      <c r="N123" s="6" t="n"/>
      <c r="O123" s="24">
        <f>IF(ROUNDUP(S123/20,0)&gt;ROUNDUP(S122/20,0),"TN Ø16 (Lần " &amp; ROUNDUP(S123/20,0) &amp; ")","")</f>
        <v/>
      </c>
      <c r="P123" s="20">
        <f>ROUND(P122+IF(AND(E123&lt;=10,F123&lt;&gt;"ASTM A416"),L123,0),3)</f>
        <v/>
      </c>
      <c r="Q123" s="20">
        <f>ROUND(Q122+IF(AND(E123=12,F123&lt;&gt;"ASTM A416"),L123,0),3)</f>
        <v/>
      </c>
      <c r="R123" s="20">
        <f>ROUND(R122+IF(AND(E123=14,F123&lt;&gt;"ASTM A416"),L123,0),3)</f>
        <v/>
      </c>
      <c r="S123" s="20">
        <f>ROUND(S122+IF(AND(E123=16,F123&lt;&gt;"ASTM A416"),L123,0),3)</f>
        <v/>
      </c>
      <c r="T123" s="20">
        <f>ROUND(T122+IF(AND(E123=18,F123&lt;&gt;"ASTM A416"),L123,0),3)</f>
        <v/>
      </c>
      <c r="U123" s="20">
        <f>ROUND(U122+IF(AND(E123=20,F123&lt;&gt;"ASTM A416"),L123,0),3)</f>
        <v/>
      </c>
      <c r="V123" s="20">
        <f>ROUND(V122+IF(AND(E123=22,F123&lt;&gt;"ASTM A416"),L123,0),3)</f>
        <v/>
      </c>
      <c r="W123" s="20">
        <f>ROUND(W122+IF(AND(E123=25,F123&lt;&gt;"ASTM A416"),L123,0),3)</f>
        <v/>
      </c>
      <c r="X123" s="20">
        <f>ROUND(X122+IF(AND(E123=28,F123&lt;&gt;"ASTM A416"),L123,0),3)</f>
        <v/>
      </c>
      <c r="Y123" s="20">
        <f>ROUND(Y122+IF(AND(E123=32,F123&lt;&gt;"ASTM A416"),L123,0),3)</f>
        <v/>
      </c>
      <c r="Z123" s="20">
        <f>ROUND(Z122+IF(F123="ASTM A416",L123,0),3)</f>
        <v/>
      </c>
      <c r="AA123" s="11">
        <f>IF(ROUNDUP(P123/20,0)&gt;ROUNDUP(P122/20,0),"Lần " &amp; ROUNDUP(P123/20,0),"")</f>
        <v/>
      </c>
      <c r="AB123" s="11">
        <f>IF(ROUNDUP(Q123/20,0)&gt;ROUNDUP(Q122/20,0),"Lần " &amp; ROUNDUP(Q123/20,0),"")</f>
        <v/>
      </c>
      <c r="AC123" s="11">
        <f>IF(ROUNDUP(R123/20,0)&gt;ROUNDUP(R122/20,0),"Lần " &amp; ROUNDUP(R123/20,0),"")</f>
        <v/>
      </c>
      <c r="AD123" s="11">
        <f>IF(ROUNDUP(S123/20,0)&gt;ROUNDUP(S122/20,0),"Lần " &amp; ROUNDUP(S123/20,0),"")</f>
        <v/>
      </c>
      <c r="AE123" s="11">
        <f>IF(ROUNDUP(T123/20,0)&gt;ROUNDUP(T122/20,0),"Lần " &amp; ROUNDUP(T123/20,0),"")</f>
        <v/>
      </c>
      <c r="AF123" s="11">
        <f>IF(ROUNDUP(U123/20,0)&gt;ROUNDUP(U122/20,0),"Lần " &amp; ROUNDUP(U123/20,0),"")</f>
        <v/>
      </c>
      <c r="AG123" s="11">
        <f>IF(ROUNDUP(V123/20,0)&gt;ROUNDUP(V122/20,0),"Lần " &amp; ROUNDUP(V123/20,0),"")</f>
        <v/>
      </c>
      <c r="AH123" s="11">
        <f>IF(ROUNDUP(W123/20,0)&gt;ROUNDUP(W122/20,0),"Lần " &amp; ROUNDUP(W123/20,0),"")</f>
        <v/>
      </c>
      <c r="AI123" s="11">
        <f>IF(ROUNDUP(X123/20,0)&gt;ROUNDUP(X122/20,0),"Lần " &amp; ROUNDUP(X123/20,0),"")</f>
        <v/>
      </c>
      <c r="AJ123" s="11">
        <f>IF(ROUNDUP(Y123/20,0)&gt;ROUNDUP(Y122/20,0),"Lần " &amp; ROUNDUP(Y123/20,0),"")</f>
        <v/>
      </c>
      <c r="AK123" s="11">
        <f>IF(ROUNDUP(Z123/20,0)&gt;ROUNDUP(Z122/20,0),"Lần " &amp; ROUNDUP(Z123/20,0),"")</f>
        <v/>
      </c>
      <c r="AL123" s="6" t="n"/>
      <c r="AN123" t="inlineStr">
        <is>
          <t>Than</t>
        </is>
      </c>
      <c r="AO123" t="n">
        <v>54</v>
      </c>
    </row>
    <row r="124" ht="19" customHeight="1">
      <c r="A124" s="6" t="n">
        <v>120</v>
      </c>
      <c r="B124" s="7" t="inlineStr">
        <is>
          <t>Mố M2</t>
        </is>
      </c>
      <c r="C124" s="7" t="inlineStr">
        <is>
          <t>Mố M2 (tr.40)</t>
        </is>
      </c>
      <c r="D124" s="18" t="inlineStr">
        <is>
          <t>n</t>
        </is>
      </c>
      <c r="E124" s="19" t="n">
        <v>16</v>
      </c>
      <c r="F124" s="6" t="inlineStr">
        <is>
          <t>CB400-V</t>
        </is>
      </c>
      <c r="G124" s="7" t="inlineStr"/>
      <c r="H124" s="20" t="n">
        <v>1.64</v>
      </c>
      <c r="I124" s="21" t="n">
        <v>4</v>
      </c>
      <c r="J124" s="22" t="n">
        <v>1.578</v>
      </c>
      <c r="K124" s="9">
        <f>ROUND(H124*I124*J124, 2)</f>
        <v/>
      </c>
      <c r="L124" s="23">
        <f>ROUND(K124/1000, 3)</f>
        <v/>
      </c>
      <c r="M124" s="8">
        <f>IF(AO124="","",IF(INDEX(Theo_Doi_Tan_Suat_Be_Tong!$C:$C,AO124)="","",INDEX(Theo_Doi_Tan_Suat_Be_Tong!$C:$C,AO124)-VLOOKUP(AN124,$AQ$2:$AR$7,2,FALSE)))</f>
        <v/>
      </c>
      <c r="N124" s="6" t="n"/>
      <c r="O124" s="24">
        <f>IF(ROUNDUP(S124/20,0)&gt;ROUNDUP(S123/20,0),"TN Ø16 (Lần " &amp; ROUNDUP(S124/20,0) &amp; ")","")</f>
        <v/>
      </c>
      <c r="P124" s="20">
        <f>ROUND(P123+IF(AND(E124&lt;=10,F124&lt;&gt;"ASTM A416"),L124,0),3)</f>
        <v/>
      </c>
      <c r="Q124" s="20">
        <f>ROUND(Q123+IF(AND(E124=12,F124&lt;&gt;"ASTM A416"),L124,0),3)</f>
        <v/>
      </c>
      <c r="R124" s="20">
        <f>ROUND(R123+IF(AND(E124=14,F124&lt;&gt;"ASTM A416"),L124,0),3)</f>
        <v/>
      </c>
      <c r="S124" s="20">
        <f>ROUND(S123+IF(AND(E124=16,F124&lt;&gt;"ASTM A416"),L124,0),3)</f>
        <v/>
      </c>
      <c r="T124" s="20">
        <f>ROUND(T123+IF(AND(E124=18,F124&lt;&gt;"ASTM A416"),L124,0),3)</f>
        <v/>
      </c>
      <c r="U124" s="20">
        <f>ROUND(U123+IF(AND(E124=20,F124&lt;&gt;"ASTM A416"),L124,0),3)</f>
        <v/>
      </c>
      <c r="V124" s="20">
        <f>ROUND(V123+IF(AND(E124=22,F124&lt;&gt;"ASTM A416"),L124,0),3)</f>
        <v/>
      </c>
      <c r="W124" s="20">
        <f>ROUND(W123+IF(AND(E124=25,F124&lt;&gt;"ASTM A416"),L124,0),3)</f>
        <v/>
      </c>
      <c r="X124" s="20">
        <f>ROUND(X123+IF(AND(E124=28,F124&lt;&gt;"ASTM A416"),L124,0),3)</f>
        <v/>
      </c>
      <c r="Y124" s="20">
        <f>ROUND(Y123+IF(AND(E124=32,F124&lt;&gt;"ASTM A416"),L124,0),3)</f>
        <v/>
      </c>
      <c r="Z124" s="20">
        <f>ROUND(Z123+IF(F124="ASTM A416",L124,0),3)</f>
        <v/>
      </c>
      <c r="AA124" s="11">
        <f>IF(ROUNDUP(P124/20,0)&gt;ROUNDUP(P123/20,0),"Lần " &amp; ROUNDUP(P124/20,0),"")</f>
        <v/>
      </c>
      <c r="AB124" s="11">
        <f>IF(ROUNDUP(Q124/20,0)&gt;ROUNDUP(Q123/20,0),"Lần " &amp; ROUNDUP(Q124/20,0),"")</f>
        <v/>
      </c>
      <c r="AC124" s="11">
        <f>IF(ROUNDUP(R124/20,0)&gt;ROUNDUP(R123/20,0),"Lần " &amp; ROUNDUP(R124/20,0),"")</f>
        <v/>
      </c>
      <c r="AD124" s="11">
        <f>IF(ROUNDUP(S124/20,0)&gt;ROUNDUP(S123/20,0),"Lần " &amp; ROUNDUP(S124/20,0),"")</f>
        <v/>
      </c>
      <c r="AE124" s="11">
        <f>IF(ROUNDUP(T124/20,0)&gt;ROUNDUP(T123/20,0),"Lần " &amp; ROUNDUP(T124/20,0),"")</f>
        <v/>
      </c>
      <c r="AF124" s="11">
        <f>IF(ROUNDUP(U124/20,0)&gt;ROUNDUP(U123/20,0),"Lần " &amp; ROUNDUP(U124/20,0),"")</f>
        <v/>
      </c>
      <c r="AG124" s="11">
        <f>IF(ROUNDUP(V124/20,0)&gt;ROUNDUP(V123/20,0),"Lần " &amp; ROUNDUP(V124/20,0),"")</f>
        <v/>
      </c>
      <c r="AH124" s="11">
        <f>IF(ROUNDUP(W124/20,0)&gt;ROUNDUP(W123/20,0),"Lần " &amp; ROUNDUP(W124/20,0),"")</f>
        <v/>
      </c>
      <c r="AI124" s="11">
        <f>IF(ROUNDUP(X124/20,0)&gt;ROUNDUP(X123/20,0),"Lần " &amp; ROUNDUP(X124/20,0),"")</f>
        <v/>
      </c>
      <c r="AJ124" s="11">
        <f>IF(ROUNDUP(Y124/20,0)&gt;ROUNDUP(Y123/20,0),"Lần " &amp; ROUNDUP(Y124/20,0),"")</f>
        <v/>
      </c>
      <c r="AK124" s="11">
        <f>IF(ROUNDUP(Z124/20,0)&gt;ROUNDUP(Z123/20,0),"Lần " &amp; ROUNDUP(Z124/20,0),"")</f>
        <v/>
      </c>
      <c r="AL124" s="6" t="n"/>
      <c r="AN124" t="inlineStr">
        <is>
          <t>Than</t>
        </is>
      </c>
      <c r="AO124" t="n">
        <v>54</v>
      </c>
    </row>
    <row r="125" ht="19" customHeight="1">
      <c r="A125" s="6" t="n">
        <v>121</v>
      </c>
      <c r="B125" s="7" t="inlineStr">
        <is>
          <t>Mố M2</t>
        </is>
      </c>
      <c r="C125" s="7" t="inlineStr">
        <is>
          <t>Mố M2 (tr.40)</t>
        </is>
      </c>
      <c r="D125" s="18" t="inlineStr">
        <is>
          <t>B1</t>
        </is>
      </c>
      <c r="E125" s="19" t="n">
        <v>8</v>
      </c>
      <c r="F125" s="6" t="inlineStr">
        <is>
          <t>CB240-T</t>
        </is>
      </c>
      <c r="G125" s="7" t="inlineStr">
        <is>
          <t>S01</t>
        </is>
      </c>
      <c r="H125" s="20" t="n">
        <v>0.64</v>
      </c>
      <c r="I125" s="21" t="n">
        <v>50</v>
      </c>
      <c r="J125" s="22" t="n">
        <v>0.395</v>
      </c>
      <c r="K125" s="9">
        <f>ROUND(H125*I125*J125, 2)</f>
        <v/>
      </c>
      <c r="L125" s="23">
        <f>ROUND(K125/1000, 3)</f>
        <v/>
      </c>
      <c r="M125" s="8">
        <f>IF(AO125="","",IF(INDEX(Theo_Doi_Tan_Suat_Be_Tong!$C:$C,AO125)="","",INDEX(Theo_Doi_Tan_Suat_Be_Tong!$C:$C,AO125)-VLOOKUP(AN125,$AQ$2:$AR$7,2,FALSE)))</f>
        <v/>
      </c>
      <c r="N125" s="6" t="n"/>
      <c r="O125" s="24">
        <f>IF(ROUNDUP(P125/20,0)&gt;ROUNDUP(P124/20,0),"TN Ø10 (Lần " &amp; ROUNDUP(P125/20,0) &amp; ")","")</f>
        <v/>
      </c>
      <c r="P125" s="20">
        <f>ROUND(P124+IF(AND(E125&lt;=10,F125&lt;&gt;"ASTM A416"),L125,0),3)</f>
        <v/>
      </c>
      <c r="Q125" s="20">
        <f>ROUND(Q124+IF(AND(E125=12,F125&lt;&gt;"ASTM A416"),L125,0),3)</f>
        <v/>
      </c>
      <c r="R125" s="20">
        <f>ROUND(R124+IF(AND(E125=14,F125&lt;&gt;"ASTM A416"),L125,0),3)</f>
        <v/>
      </c>
      <c r="S125" s="20">
        <f>ROUND(S124+IF(AND(E125=16,F125&lt;&gt;"ASTM A416"),L125,0),3)</f>
        <v/>
      </c>
      <c r="T125" s="20">
        <f>ROUND(T124+IF(AND(E125=18,F125&lt;&gt;"ASTM A416"),L125,0),3)</f>
        <v/>
      </c>
      <c r="U125" s="20">
        <f>ROUND(U124+IF(AND(E125=20,F125&lt;&gt;"ASTM A416"),L125,0),3)</f>
        <v/>
      </c>
      <c r="V125" s="20">
        <f>ROUND(V124+IF(AND(E125=22,F125&lt;&gt;"ASTM A416"),L125,0),3)</f>
        <v/>
      </c>
      <c r="W125" s="20">
        <f>ROUND(W124+IF(AND(E125=25,F125&lt;&gt;"ASTM A416"),L125,0),3)</f>
        <v/>
      </c>
      <c r="X125" s="20">
        <f>ROUND(X124+IF(AND(E125=28,F125&lt;&gt;"ASTM A416"),L125,0),3)</f>
        <v/>
      </c>
      <c r="Y125" s="20">
        <f>ROUND(Y124+IF(AND(E125=32,F125&lt;&gt;"ASTM A416"),L125,0),3)</f>
        <v/>
      </c>
      <c r="Z125" s="20">
        <f>ROUND(Z124+IF(F125="ASTM A416",L125,0),3)</f>
        <v/>
      </c>
      <c r="AA125" s="11">
        <f>IF(ROUNDUP(P125/20,0)&gt;ROUNDUP(P124/20,0),"Lần " &amp; ROUNDUP(P125/20,0),"")</f>
        <v/>
      </c>
      <c r="AB125" s="11">
        <f>IF(ROUNDUP(Q125/20,0)&gt;ROUNDUP(Q124/20,0),"Lần " &amp; ROUNDUP(Q125/20,0),"")</f>
        <v/>
      </c>
      <c r="AC125" s="11">
        <f>IF(ROUNDUP(R125/20,0)&gt;ROUNDUP(R124/20,0),"Lần " &amp; ROUNDUP(R125/20,0),"")</f>
        <v/>
      </c>
      <c r="AD125" s="11">
        <f>IF(ROUNDUP(S125/20,0)&gt;ROUNDUP(S124/20,0),"Lần " &amp; ROUNDUP(S125/20,0),"")</f>
        <v/>
      </c>
      <c r="AE125" s="11">
        <f>IF(ROUNDUP(T125/20,0)&gt;ROUNDUP(T124/20,0),"Lần " &amp; ROUNDUP(T125/20,0),"")</f>
        <v/>
      </c>
      <c r="AF125" s="11">
        <f>IF(ROUNDUP(U125/20,0)&gt;ROUNDUP(U124/20,0),"Lần " &amp; ROUNDUP(U125/20,0),"")</f>
        <v/>
      </c>
      <c r="AG125" s="11">
        <f>IF(ROUNDUP(V125/20,0)&gt;ROUNDUP(V124/20,0),"Lần " &amp; ROUNDUP(V125/20,0),"")</f>
        <v/>
      </c>
      <c r="AH125" s="11">
        <f>IF(ROUNDUP(W125/20,0)&gt;ROUNDUP(W124/20,0),"Lần " &amp; ROUNDUP(W125/20,0),"")</f>
        <v/>
      </c>
      <c r="AI125" s="11">
        <f>IF(ROUNDUP(X125/20,0)&gt;ROUNDUP(X124/20,0),"Lần " &amp; ROUNDUP(X125/20,0),"")</f>
        <v/>
      </c>
      <c r="AJ125" s="11">
        <f>IF(ROUNDUP(Y125/20,0)&gt;ROUNDUP(Y124/20,0),"Lần " &amp; ROUNDUP(Y125/20,0),"")</f>
        <v/>
      </c>
      <c r="AK125" s="11">
        <f>IF(ROUNDUP(Z125/20,0)&gt;ROUNDUP(Z124/20,0),"Lần " &amp; ROUNDUP(Z125/20,0),"")</f>
        <v/>
      </c>
      <c r="AL125" s="6" t="n"/>
      <c r="AN125" t="inlineStr">
        <is>
          <t>Than</t>
        </is>
      </c>
      <c r="AO125" t="n">
        <v>54</v>
      </c>
    </row>
    <row r="126" ht="19" customHeight="1">
      <c r="A126" s="6" t="n">
        <v>122</v>
      </c>
      <c r="B126" s="7" t="inlineStr">
        <is>
          <t>Mố M2</t>
        </is>
      </c>
      <c r="C126" s="7" t="inlineStr">
        <is>
          <t>Mố M2 (tr.40)</t>
        </is>
      </c>
      <c r="D126" s="18" t="inlineStr">
        <is>
          <t>B2</t>
        </is>
      </c>
      <c r="E126" s="19" t="n">
        <v>8</v>
      </c>
      <c r="F126" s="6" t="inlineStr">
        <is>
          <t>CB240-T</t>
        </is>
      </c>
      <c r="G126" s="7" t="inlineStr">
        <is>
          <t>S01</t>
        </is>
      </c>
      <c r="H126" s="20" t="n">
        <v>0.48</v>
      </c>
      <c r="I126" s="21" t="n">
        <v>65</v>
      </c>
      <c r="J126" s="22" t="n">
        <v>0.395</v>
      </c>
      <c r="K126" s="9">
        <f>ROUND(H126*I126*J126, 2)</f>
        <v/>
      </c>
      <c r="L126" s="23">
        <f>ROUND(K126/1000, 3)</f>
        <v/>
      </c>
      <c r="M126" s="8">
        <f>IF(AO126="","",IF(INDEX(Theo_Doi_Tan_Suat_Be_Tong!$C:$C,AO126)="","",INDEX(Theo_Doi_Tan_Suat_Be_Tong!$C:$C,AO126)-VLOOKUP(AN126,$AQ$2:$AR$7,2,FALSE)))</f>
        <v/>
      </c>
      <c r="N126" s="6" t="n"/>
      <c r="O126" s="24">
        <f>IF(ROUNDUP(P126/20,0)&gt;ROUNDUP(P125/20,0),"TN Ø10 (Lần " &amp; ROUNDUP(P126/20,0) &amp; ")","")</f>
        <v/>
      </c>
      <c r="P126" s="20">
        <f>ROUND(P125+IF(AND(E126&lt;=10,F126&lt;&gt;"ASTM A416"),L126,0),3)</f>
        <v/>
      </c>
      <c r="Q126" s="20">
        <f>ROUND(Q125+IF(AND(E126=12,F126&lt;&gt;"ASTM A416"),L126,0),3)</f>
        <v/>
      </c>
      <c r="R126" s="20">
        <f>ROUND(R125+IF(AND(E126=14,F126&lt;&gt;"ASTM A416"),L126,0),3)</f>
        <v/>
      </c>
      <c r="S126" s="20">
        <f>ROUND(S125+IF(AND(E126=16,F126&lt;&gt;"ASTM A416"),L126,0),3)</f>
        <v/>
      </c>
      <c r="T126" s="20">
        <f>ROUND(T125+IF(AND(E126=18,F126&lt;&gt;"ASTM A416"),L126,0),3)</f>
        <v/>
      </c>
      <c r="U126" s="20">
        <f>ROUND(U125+IF(AND(E126=20,F126&lt;&gt;"ASTM A416"),L126,0),3)</f>
        <v/>
      </c>
      <c r="V126" s="20">
        <f>ROUND(V125+IF(AND(E126=22,F126&lt;&gt;"ASTM A416"),L126,0),3)</f>
        <v/>
      </c>
      <c r="W126" s="20">
        <f>ROUND(W125+IF(AND(E126=25,F126&lt;&gt;"ASTM A416"),L126,0),3)</f>
        <v/>
      </c>
      <c r="X126" s="20">
        <f>ROUND(X125+IF(AND(E126=28,F126&lt;&gt;"ASTM A416"),L126,0),3)</f>
        <v/>
      </c>
      <c r="Y126" s="20">
        <f>ROUND(Y125+IF(AND(E126=32,F126&lt;&gt;"ASTM A416"),L126,0),3)</f>
        <v/>
      </c>
      <c r="Z126" s="20">
        <f>ROUND(Z125+IF(F126="ASTM A416",L126,0),3)</f>
        <v/>
      </c>
      <c r="AA126" s="11">
        <f>IF(ROUNDUP(P126/20,0)&gt;ROUNDUP(P125/20,0),"Lần " &amp; ROUNDUP(P126/20,0),"")</f>
        <v/>
      </c>
      <c r="AB126" s="11">
        <f>IF(ROUNDUP(Q126/20,0)&gt;ROUNDUP(Q125/20,0),"Lần " &amp; ROUNDUP(Q126/20,0),"")</f>
        <v/>
      </c>
      <c r="AC126" s="11">
        <f>IF(ROUNDUP(R126/20,0)&gt;ROUNDUP(R125/20,0),"Lần " &amp; ROUNDUP(R126/20,0),"")</f>
        <v/>
      </c>
      <c r="AD126" s="11">
        <f>IF(ROUNDUP(S126/20,0)&gt;ROUNDUP(S125/20,0),"Lần " &amp; ROUNDUP(S126/20,0),"")</f>
        <v/>
      </c>
      <c r="AE126" s="11">
        <f>IF(ROUNDUP(T126/20,0)&gt;ROUNDUP(T125/20,0),"Lần " &amp; ROUNDUP(T126/20,0),"")</f>
        <v/>
      </c>
      <c r="AF126" s="11">
        <f>IF(ROUNDUP(U126/20,0)&gt;ROUNDUP(U125/20,0),"Lần " &amp; ROUNDUP(U126/20,0),"")</f>
        <v/>
      </c>
      <c r="AG126" s="11">
        <f>IF(ROUNDUP(V126/20,0)&gt;ROUNDUP(V125/20,0),"Lần " &amp; ROUNDUP(V126/20,0),"")</f>
        <v/>
      </c>
      <c r="AH126" s="11">
        <f>IF(ROUNDUP(W126/20,0)&gt;ROUNDUP(W125/20,0),"Lần " &amp; ROUNDUP(W126/20,0),"")</f>
        <v/>
      </c>
      <c r="AI126" s="11">
        <f>IF(ROUNDUP(X126/20,0)&gt;ROUNDUP(X125/20,0),"Lần " &amp; ROUNDUP(X126/20,0),"")</f>
        <v/>
      </c>
      <c r="AJ126" s="11">
        <f>IF(ROUNDUP(Y126/20,0)&gt;ROUNDUP(Y125/20,0),"Lần " &amp; ROUNDUP(Y126/20,0),"")</f>
        <v/>
      </c>
      <c r="AK126" s="11">
        <f>IF(ROUNDUP(Z126/20,0)&gt;ROUNDUP(Z125/20,0),"Lần " &amp; ROUNDUP(Z126/20,0),"")</f>
        <v/>
      </c>
      <c r="AL126" s="6" t="n"/>
      <c r="AN126" t="inlineStr">
        <is>
          <t>Than</t>
        </is>
      </c>
      <c r="AO126" t="n">
        <v>54</v>
      </c>
    </row>
    <row r="127" ht="19" customHeight="1">
      <c r="A127" s="6" t="n">
        <v>123</v>
      </c>
      <c r="B127" s="7" t="inlineStr">
        <is>
          <t>Mố M2</t>
        </is>
      </c>
      <c r="C127" s="7" t="inlineStr">
        <is>
          <t>Mố M2 (tr.40)</t>
        </is>
      </c>
      <c r="D127" s="18" t="inlineStr">
        <is>
          <t>T1</t>
        </is>
      </c>
      <c r="E127" s="19" t="n">
        <v>16</v>
      </c>
      <c r="F127" s="6" t="inlineStr">
        <is>
          <t>CB400-V</t>
        </is>
      </c>
      <c r="G127" s="7" t="inlineStr">
        <is>
          <t>S01</t>
        </is>
      </c>
      <c r="H127" s="20" t="n">
        <v>1.89</v>
      </c>
      <c r="I127" s="21" t="n">
        <v>7</v>
      </c>
      <c r="J127" s="22" t="n">
        <v>1.578</v>
      </c>
      <c r="K127" s="9">
        <f>ROUND(H127*I127*J127, 2)</f>
        <v/>
      </c>
      <c r="L127" s="23">
        <f>ROUND(K127/1000, 3)</f>
        <v/>
      </c>
      <c r="M127" s="8">
        <f>IF(AO127="","",IF(INDEX(Theo_Doi_Tan_Suat_Be_Tong!$C:$C,AO127)="","",INDEX(Theo_Doi_Tan_Suat_Be_Tong!$C:$C,AO127)-VLOOKUP(AN127,$AQ$2:$AR$7,2,FALSE)))</f>
        <v/>
      </c>
      <c r="N127" s="6" t="n"/>
      <c r="O127" s="24">
        <f>IF(ROUNDUP(S127/20,0)&gt;ROUNDUP(S126/20,0),"TN Ø16 (Lần " &amp; ROUNDUP(S127/20,0) &amp; ")","")</f>
        <v/>
      </c>
      <c r="P127" s="20">
        <f>ROUND(P126+IF(AND(E127&lt;=10,F127&lt;&gt;"ASTM A416"),L127,0),3)</f>
        <v/>
      </c>
      <c r="Q127" s="20">
        <f>ROUND(Q126+IF(AND(E127=12,F127&lt;&gt;"ASTM A416"),L127,0),3)</f>
        <v/>
      </c>
      <c r="R127" s="20">
        <f>ROUND(R126+IF(AND(E127=14,F127&lt;&gt;"ASTM A416"),L127,0),3)</f>
        <v/>
      </c>
      <c r="S127" s="20">
        <f>ROUND(S126+IF(AND(E127=16,F127&lt;&gt;"ASTM A416"),L127,0),3)</f>
        <v/>
      </c>
      <c r="T127" s="20">
        <f>ROUND(T126+IF(AND(E127=18,F127&lt;&gt;"ASTM A416"),L127,0),3)</f>
        <v/>
      </c>
      <c r="U127" s="20">
        <f>ROUND(U126+IF(AND(E127=20,F127&lt;&gt;"ASTM A416"),L127,0),3)</f>
        <v/>
      </c>
      <c r="V127" s="20">
        <f>ROUND(V126+IF(AND(E127=22,F127&lt;&gt;"ASTM A416"),L127,0),3)</f>
        <v/>
      </c>
      <c r="W127" s="20">
        <f>ROUND(W126+IF(AND(E127=25,F127&lt;&gt;"ASTM A416"),L127,0),3)</f>
        <v/>
      </c>
      <c r="X127" s="20">
        <f>ROUND(X126+IF(AND(E127=28,F127&lt;&gt;"ASTM A416"),L127,0),3)</f>
        <v/>
      </c>
      <c r="Y127" s="20">
        <f>ROUND(Y126+IF(AND(E127=32,F127&lt;&gt;"ASTM A416"),L127,0),3)</f>
        <v/>
      </c>
      <c r="Z127" s="20">
        <f>ROUND(Z126+IF(F127="ASTM A416",L127,0),3)</f>
        <v/>
      </c>
      <c r="AA127" s="11">
        <f>IF(ROUNDUP(P127/20,0)&gt;ROUNDUP(P126/20,0),"Lần " &amp; ROUNDUP(P127/20,0),"")</f>
        <v/>
      </c>
      <c r="AB127" s="11">
        <f>IF(ROUNDUP(Q127/20,0)&gt;ROUNDUP(Q126/20,0),"Lần " &amp; ROUNDUP(Q127/20,0),"")</f>
        <v/>
      </c>
      <c r="AC127" s="11">
        <f>IF(ROUNDUP(R127/20,0)&gt;ROUNDUP(R126/20,0),"Lần " &amp; ROUNDUP(R127/20,0),"")</f>
        <v/>
      </c>
      <c r="AD127" s="11">
        <f>IF(ROUNDUP(S127/20,0)&gt;ROUNDUP(S126/20,0),"Lần " &amp; ROUNDUP(S127/20,0),"")</f>
        <v/>
      </c>
      <c r="AE127" s="11">
        <f>IF(ROUNDUP(T127/20,0)&gt;ROUNDUP(T126/20,0),"Lần " &amp; ROUNDUP(T127/20,0),"")</f>
        <v/>
      </c>
      <c r="AF127" s="11">
        <f>IF(ROUNDUP(U127/20,0)&gt;ROUNDUP(U126/20,0),"Lần " &amp; ROUNDUP(U127/20,0),"")</f>
        <v/>
      </c>
      <c r="AG127" s="11">
        <f>IF(ROUNDUP(V127/20,0)&gt;ROUNDUP(V126/20,0),"Lần " &amp; ROUNDUP(V127/20,0),"")</f>
        <v/>
      </c>
      <c r="AH127" s="11">
        <f>IF(ROUNDUP(W127/20,0)&gt;ROUNDUP(W126/20,0),"Lần " &amp; ROUNDUP(W127/20,0),"")</f>
        <v/>
      </c>
      <c r="AI127" s="11">
        <f>IF(ROUNDUP(X127/20,0)&gt;ROUNDUP(X126/20,0),"Lần " &amp; ROUNDUP(X127/20,0),"")</f>
        <v/>
      </c>
      <c r="AJ127" s="11">
        <f>IF(ROUNDUP(Y127/20,0)&gt;ROUNDUP(Y126/20,0),"Lần " &amp; ROUNDUP(Y127/20,0),"")</f>
        <v/>
      </c>
      <c r="AK127" s="11">
        <f>IF(ROUNDUP(Z127/20,0)&gt;ROUNDUP(Z126/20,0),"Lần " &amp; ROUNDUP(Z127/20,0),"")</f>
        <v/>
      </c>
      <c r="AL127" s="6" t="n"/>
      <c r="AN127" t="inlineStr">
        <is>
          <t>Than</t>
        </is>
      </c>
      <c r="AO127" t="n">
        <v>54</v>
      </c>
    </row>
    <row r="128" ht="19" customHeight="1">
      <c r="A128" s="6" t="n">
        <v>124</v>
      </c>
      <c r="B128" s="7" t="inlineStr">
        <is>
          <t>Mố M2</t>
        </is>
      </c>
      <c r="C128" s="7" t="inlineStr">
        <is>
          <t>Mố M2 (tr.40)</t>
        </is>
      </c>
      <c r="D128" s="18" t="inlineStr">
        <is>
          <t>T2</t>
        </is>
      </c>
      <c r="E128" s="19" t="n">
        <v>16</v>
      </c>
      <c r="F128" s="6" t="inlineStr">
        <is>
          <t>CB400-V</t>
        </is>
      </c>
      <c r="G128" s="7" t="inlineStr">
        <is>
          <t>S01</t>
        </is>
      </c>
      <c r="H128" s="20" t="n">
        <v>1.59</v>
      </c>
      <c r="I128" s="21" t="n">
        <v>9</v>
      </c>
      <c r="J128" s="22" t="n">
        <v>1.578</v>
      </c>
      <c r="K128" s="9">
        <f>ROUND(H128*I128*J128, 2)</f>
        <v/>
      </c>
      <c r="L128" s="23">
        <f>ROUND(K128/1000, 3)</f>
        <v/>
      </c>
      <c r="M128" s="8">
        <f>IF(AO128="","",IF(INDEX(Theo_Doi_Tan_Suat_Be_Tong!$C:$C,AO128)="","",INDEX(Theo_Doi_Tan_Suat_Be_Tong!$C:$C,AO128)-VLOOKUP(AN128,$AQ$2:$AR$7,2,FALSE)))</f>
        <v/>
      </c>
      <c r="N128" s="6" t="n"/>
      <c r="O128" s="24">
        <f>IF(ROUNDUP(S128/20,0)&gt;ROUNDUP(S127/20,0),"TN Ø16 (Lần " &amp; ROUNDUP(S128/20,0) &amp; ")","")</f>
        <v/>
      </c>
      <c r="P128" s="20">
        <f>ROUND(P127+IF(AND(E128&lt;=10,F128&lt;&gt;"ASTM A416"),L128,0),3)</f>
        <v/>
      </c>
      <c r="Q128" s="20">
        <f>ROUND(Q127+IF(AND(E128=12,F128&lt;&gt;"ASTM A416"),L128,0),3)</f>
        <v/>
      </c>
      <c r="R128" s="20">
        <f>ROUND(R127+IF(AND(E128=14,F128&lt;&gt;"ASTM A416"),L128,0),3)</f>
        <v/>
      </c>
      <c r="S128" s="20">
        <f>ROUND(S127+IF(AND(E128=16,F128&lt;&gt;"ASTM A416"),L128,0),3)</f>
        <v/>
      </c>
      <c r="T128" s="20">
        <f>ROUND(T127+IF(AND(E128=18,F128&lt;&gt;"ASTM A416"),L128,0),3)</f>
        <v/>
      </c>
      <c r="U128" s="20">
        <f>ROUND(U127+IF(AND(E128=20,F128&lt;&gt;"ASTM A416"),L128,0),3)</f>
        <v/>
      </c>
      <c r="V128" s="20">
        <f>ROUND(V127+IF(AND(E128=22,F128&lt;&gt;"ASTM A416"),L128,0),3)</f>
        <v/>
      </c>
      <c r="W128" s="20">
        <f>ROUND(W127+IF(AND(E128=25,F128&lt;&gt;"ASTM A416"),L128,0),3)</f>
        <v/>
      </c>
      <c r="X128" s="20">
        <f>ROUND(X127+IF(AND(E128=28,F128&lt;&gt;"ASTM A416"),L128,0),3)</f>
        <v/>
      </c>
      <c r="Y128" s="20">
        <f>ROUND(Y127+IF(AND(E128=32,F128&lt;&gt;"ASTM A416"),L128,0),3)</f>
        <v/>
      </c>
      <c r="Z128" s="20">
        <f>ROUND(Z127+IF(F128="ASTM A416",L128,0),3)</f>
        <v/>
      </c>
      <c r="AA128" s="11">
        <f>IF(ROUNDUP(P128/20,0)&gt;ROUNDUP(P127/20,0),"Lần " &amp; ROUNDUP(P128/20,0),"")</f>
        <v/>
      </c>
      <c r="AB128" s="11">
        <f>IF(ROUNDUP(Q128/20,0)&gt;ROUNDUP(Q127/20,0),"Lần " &amp; ROUNDUP(Q128/20,0),"")</f>
        <v/>
      </c>
      <c r="AC128" s="11">
        <f>IF(ROUNDUP(R128/20,0)&gt;ROUNDUP(R127/20,0),"Lần " &amp; ROUNDUP(R128/20,0),"")</f>
        <v/>
      </c>
      <c r="AD128" s="11">
        <f>IF(ROUNDUP(S128/20,0)&gt;ROUNDUP(S127/20,0),"Lần " &amp; ROUNDUP(S128/20,0),"")</f>
        <v/>
      </c>
      <c r="AE128" s="11">
        <f>IF(ROUNDUP(T128/20,0)&gt;ROUNDUP(T127/20,0),"Lần " &amp; ROUNDUP(T128/20,0),"")</f>
        <v/>
      </c>
      <c r="AF128" s="11">
        <f>IF(ROUNDUP(U128/20,0)&gt;ROUNDUP(U127/20,0),"Lần " &amp; ROUNDUP(U128/20,0),"")</f>
        <v/>
      </c>
      <c r="AG128" s="11">
        <f>IF(ROUNDUP(V128/20,0)&gt;ROUNDUP(V127/20,0),"Lần " &amp; ROUNDUP(V128/20,0),"")</f>
        <v/>
      </c>
      <c r="AH128" s="11">
        <f>IF(ROUNDUP(W128/20,0)&gt;ROUNDUP(W127/20,0),"Lần " &amp; ROUNDUP(W128/20,0),"")</f>
        <v/>
      </c>
      <c r="AI128" s="11">
        <f>IF(ROUNDUP(X128/20,0)&gt;ROUNDUP(X127/20,0),"Lần " &amp; ROUNDUP(X128/20,0),"")</f>
        <v/>
      </c>
      <c r="AJ128" s="11">
        <f>IF(ROUNDUP(Y128/20,0)&gt;ROUNDUP(Y127/20,0),"Lần " &amp; ROUNDUP(Y128/20,0),"")</f>
        <v/>
      </c>
      <c r="AK128" s="11">
        <f>IF(ROUNDUP(Z128/20,0)&gt;ROUNDUP(Z127/20,0),"Lần " &amp; ROUNDUP(Z128/20,0),"")</f>
        <v/>
      </c>
      <c r="AL128" s="6" t="n"/>
      <c r="AN128" t="inlineStr">
        <is>
          <t>Than</t>
        </is>
      </c>
      <c r="AO128" t="n">
        <v>54</v>
      </c>
    </row>
    <row r="129" ht="20" customHeight="1">
      <c r="A129" s="17" t="inlineStr">
        <is>
          <t>--- TRỤ T1, T2 (BỆ MÓNG) ---</t>
        </is>
      </c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 t="n"/>
      <c r="AF129" s="35" t="n"/>
      <c r="AG129" s="35" t="n"/>
      <c r="AH129" s="35" t="n"/>
      <c r="AI129" s="35" t="n"/>
      <c r="AJ129" s="35" t="n"/>
      <c r="AK129" s="35" t="n"/>
      <c r="AL129" s="34" t="n"/>
    </row>
    <row r="130" ht="19" customHeight="1">
      <c r="A130" s="6" t="n">
        <v>125</v>
      </c>
      <c r="B130" s="7" t="inlineStr">
        <is>
          <t>Trụ T1, T2 (Bệ móng)</t>
        </is>
      </c>
      <c r="C130" s="7" t="inlineStr">
        <is>
          <t>Bệ trụ T1 (tr.44)</t>
        </is>
      </c>
      <c r="D130" s="18" t="inlineStr">
        <is>
          <t>B1</t>
        </is>
      </c>
      <c r="E130" s="19" t="n">
        <v>32</v>
      </c>
      <c r="F130" s="6" t="inlineStr">
        <is>
          <t>CB400-V</t>
        </is>
      </c>
      <c r="G130" s="7" t="inlineStr"/>
      <c r="H130" s="20" t="n">
        <v>13.512</v>
      </c>
      <c r="I130" s="21" t="n">
        <v>53</v>
      </c>
      <c r="J130" s="22" t="n">
        <v>6.313</v>
      </c>
      <c r="K130" s="9">
        <f>ROUND(H130*I130*J130, 2)</f>
        <v/>
      </c>
      <c r="L130" s="23">
        <f>ROUND(K130/1000, 3)</f>
        <v/>
      </c>
      <c r="M130" s="8">
        <f>IF(AO130="","",IF(INDEX(Theo_Doi_Tan_Suat_Be_Tong!$C:$C,AO130)="","",INDEX(Theo_Doi_Tan_Suat_Be_Tong!$C:$C,AO130)-VLOOKUP(AN130,$AQ$2:$AR$7,2,FALSE)))</f>
        <v/>
      </c>
      <c r="N130" s="6" t="n"/>
      <c r="O130" s="24">
        <f>IF(ROUNDUP(Y130/20,0)&gt;ROUNDUP(Y128/20,0),"TN Ø32 (Lần " &amp; ROUNDUP(Y130/20,0) &amp; ")","")</f>
        <v/>
      </c>
      <c r="P130" s="20">
        <f>ROUND(P128+IF(AND(E130&lt;=10,F130&lt;&gt;"ASTM A416"),L130,0),3)</f>
        <v/>
      </c>
      <c r="Q130" s="20">
        <f>ROUND(Q128+IF(AND(E130=12,F130&lt;&gt;"ASTM A416"),L130,0),3)</f>
        <v/>
      </c>
      <c r="R130" s="20">
        <f>ROUND(R128+IF(AND(E130=14,F130&lt;&gt;"ASTM A416"),L130,0),3)</f>
        <v/>
      </c>
      <c r="S130" s="20">
        <f>ROUND(S128+IF(AND(E130=16,F130&lt;&gt;"ASTM A416"),L130,0),3)</f>
        <v/>
      </c>
      <c r="T130" s="20">
        <f>ROUND(T128+IF(AND(E130=18,F130&lt;&gt;"ASTM A416"),L130,0),3)</f>
        <v/>
      </c>
      <c r="U130" s="20">
        <f>ROUND(U128+IF(AND(E130=20,F130&lt;&gt;"ASTM A416"),L130,0),3)</f>
        <v/>
      </c>
      <c r="V130" s="20">
        <f>ROUND(V128+IF(AND(E130=22,F130&lt;&gt;"ASTM A416"),L130,0),3)</f>
        <v/>
      </c>
      <c r="W130" s="20">
        <f>ROUND(W128+IF(AND(E130=25,F130&lt;&gt;"ASTM A416"),L130,0),3)</f>
        <v/>
      </c>
      <c r="X130" s="20">
        <f>ROUND(X128+IF(AND(E130=28,F130&lt;&gt;"ASTM A416"),L130,0),3)</f>
        <v/>
      </c>
      <c r="Y130" s="20">
        <f>ROUND(Y128+IF(AND(E130=32,F130&lt;&gt;"ASTM A416"),L130,0),3)</f>
        <v/>
      </c>
      <c r="Z130" s="20">
        <f>ROUND(Z128+IF(F130="ASTM A416",L130,0),3)</f>
        <v/>
      </c>
      <c r="AA130" s="11">
        <f>IF(ROUNDUP(P130/20,0)&gt;ROUNDUP(P128/20,0),"Lần " &amp; ROUNDUP(P130/20,0),"")</f>
        <v/>
      </c>
      <c r="AB130" s="11">
        <f>IF(ROUNDUP(Q130/20,0)&gt;ROUNDUP(Q128/20,0),"Lần " &amp; ROUNDUP(Q130/20,0),"")</f>
        <v/>
      </c>
      <c r="AC130" s="11">
        <f>IF(ROUNDUP(R130/20,0)&gt;ROUNDUP(R128/20,0),"Lần " &amp; ROUNDUP(R130/20,0),"")</f>
        <v/>
      </c>
      <c r="AD130" s="11">
        <f>IF(ROUNDUP(S130/20,0)&gt;ROUNDUP(S128/20,0),"Lần " &amp; ROUNDUP(S130/20,0),"")</f>
        <v/>
      </c>
      <c r="AE130" s="11">
        <f>IF(ROUNDUP(T130/20,0)&gt;ROUNDUP(T128/20,0),"Lần " &amp; ROUNDUP(T130/20,0),"")</f>
        <v/>
      </c>
      <c r="AF130" s="11">
        <f>IF(ROUNDUP(U130/20,0)&gt;ROUNDUP(U128/20,0),"Lần " &amp; ROUNDUP(U130/20,0),"")</f>
        <v/>
      </c>
      <c r="AG130" s="11">
        <f>IF(ROUNDUP(V130/20,0)&gt;ROUNDUP(V128/20,0),"Lần " &amp; ROUNDUP(V130/20,0),"")</f>
        <v/>
      </c>
      <c r="AH130" s="11">
        <f>IF(ROUNDUP(W130/20,0)&gt;ROUNDUP(W128/20,0),"Lần " &amp; ROUNDUP(W130/20,0),"")</f>
        <v/>
      </c>
      <c r="AI130" s="11">
        <f>IF(ROUNDUP(X130/20,0)&gt;ROUNDUP(X128/20,0),"Lần " &amp; ROUNDUP(X130/20,0),"")</f>
        <v/>
      </c>
      <c r="AJ130" s="11">
        <f>IF(ROUNDUP(Y130/20,0)&gt;ROUNDUP(Y128/20,0),"Lần " &amp; ROUNDUP(Y130/20,0),"")</f>
        <v/>
      </c>
      <c r="AK130" s="11">
        <f>IF(ROUNDUP(Z130/20,0)&gt;ROUNDUP(Z128/20,0),"Lần " &amp; ROUNDUP(Z130/20,0),"")</f>
        <v/>
      </c>
      <c r="AL130" s="6" t="n"/>
      <c r="AN130" t="inlineStr">
        <is>
          <t>Be</t>
        </is>
      </c>
      <c r="AO130" t="n">
        <v>34</v>
      </c>
    </row>
    <row r="131" ht="19" customHeight="1">
      <c r="A131" s="6" t="n">
        <v>126</v>
      </c>
      <c r="B131" s="7" t="inlineStr">
        <is>
          <t>Trụ T1, T2 (Bệ móng)</t>
        </is>
      </c>
      <c r="C131" s="7" t="inlineStr">
        <is>
          <t>Bệ trụ T1 (tr.44)</t>
        </is>
      </c>
      <c r="D131" s="18" t="inlineStr">
        <is>
          <t>B2</t>
        </is>
      </c>
      <c r="E131" s="19" t="n">
        <v>18</v>
      </c>
      <c r="F131" s="6" t="inlineStr">
        <is>
          <t>CB400-V</t>
        </is>
      </c>
      <c r="G131" s="7" t="inlineStr"/>
      <c r="H131" s="20" t="n">
        <v>12.606</v>
      </c>
      <c r="I131" s="21" t="n">
        <v>53</v>
      </c>
      <c r="J131" s="22" t="n">
        <v>1.998</v>
      </c>
      <c r="K131" s="9">
        <f>ROUND(H131*I131*J131, 2)</f>
        <v/>
      </c>
      <c r="L131" s="23">
        <f>ROUND(K131/1000, 3)</f>
        <v/>
      </c>
      <c r="M131" s="8">
        <f>IF(AO131="","",IF(INDEX(Theo_Doi_Tan_Suat_Be_Tong!$C:$C,AO131)="","",INDEX(Theo_Doi_Tan_Suat_Be_Tong!$C:$C,AO131)-VLOOKUP(AN131,$AQ$2:$AR$7,2,FALSE)))</f>
        <v/>
      </c>
      <c r="N131" s="6" t="n"/>
      <c r="O131" s="24">
        <f>IF(ROUNDUP(T131/20,0)&gt;ROUNDUP(T130/20,0),"TN Ø18 (Lần " &amp; ROUNDUP(T131/20,0) &amp; ")","")</f>
        <v/>
      </c>
      <c r="P131" s="20">
        <f>ROUND(P130+IF(AND(E131&lt;=10,F131&lt;&gt;"ASTM A416"),L131,0),3)</f>
        <v/>
      </c>
      <c r="Q131" s="20">
        <f>ROUND(Q130+IF(AND(E131=12,F131&lt;&gt;"ASTM A416"),L131,0),3)</f>
        <v/>
      </c>
      <c r="R131" s="20">
        <f>ROUND(R130+IF(AND(E131=14,F131&lt;&gt;"ASTM A416"),L131,0),3)</f>
        <v/>
      </c>
      <c r="S131" s="20">
        <f>ROUND(S130+IF(AND(E131=16,F131&lt;&gt;"ASTM A416"),L131,0),3)</f>
        <v/>
      </c>
      <c r="T131" s="20">
        <f>ROUND(T130+IF(AND(E131=18,F131&lt;&gt;"ASTM A416"),L131,0),3)</f>
        <v/>
      </c>
      <c r="U131" s="20">
        <f>ROUND(U130+IF(AND(E131=20,F131&lt;&gt;"ASTM A416"),L131,0),3)</f>
        <v/>
      </c>
      <c r="V131" s="20">
        <f>ROUND(V130+IF(AND(E131=22,F131&lt;&gt;"ASTM A416"),L131,0),3)</f>
        <v/>
      </c>
      <c r="W131" s="20">
        <f>ROUND(W130+IF(AND(E131=25,F131&lt;&gt;"ASTM A416"),L131,0),3)</f>
        <v/>
      </c>
      <c r="X131" s="20">
        <f>ROUND(X130+IF(AND(E131=28,F131&lt;&gt;"ASTM A416"),L131,0),3)</f>
        <v/>
      </c>
      <c r="Y131" s="20">
        <f>ROUND(Y130+IF(AND(E131=32,F131&lt;&gt;"ASTM A416"),L131,0),3)</f>
        <v/>
      </c>
      <c r="Z131" s="20">
        <f>ROUND(Z130+IF(F131="ASTM A416",L131,0),3)</f>
        <v/>
      </c>
      <c r="AA131" s="11">
        <f>IF(ROUNDUP(P131/20,0)&gt;ROUNDUP(P130/20,0),"Lần " &amp; ROUNDUP(P131/20,0),"")</f>
        <v/>
      </c>
      <c r="AB131" s="11">
        <f>IF(ROUNDUP(Q131/20,0)&gt;ROUNDUP(Q130/20,0),"Lần " &amp; ROUNDUP(Q131/20,0),"")</f>
        <v/>
      </c>
      <c r="AC131" s="11">
        <f>IF(ROUNDUP(R131/20,0)&gt;ROUNDUP(R130/20,0),"Lần " &amp; ROUNDUP(R131/20,0),"")</f>
        <v/>
      </c>
      <c r="AD131" s="11">
        <f>IF(ROUNDUP(S131/20,0)&gt;ROUNDUP(S130/20,0),"Lần " &amp; ROUNDUP(S131/20,0),"")</f>
        <v/>
      </c>
      <c r="AE131" s="11">
        <f>IF(ROUNDUP(T131/20,0)&gt;ROUNDUP(T130/20,0),"Lần " &amp; ROUNDUP(T131/20,0),"")</f>
        <v/>
      </c>
      <c r="AF131" s="11">
        <f>IF(ROUNDUP(U131/20,0)&gt;ROUNDUP(U130/20,0),"Lần " &amp; ROUNDUP(U131/20,0),"")</f>
        <v/>
      </c>
      <c r="AG131" s="11">
        <f>IF(ROUNDUP(V131/20,0)&gt;ROUNDUP(V130/20,0),"Lần " &amp; ROUNDUP(V131/20,0),"")</f>
        <v/>
      </c>
      <c r="AH131" s="11">
        <f>IF(ROUNDUP(W131/20,0)&gt;ROUNDUP(W130/20,0),"Lần " &amp; ROUNDUP(W131/20,0),"")</f>
        <v/>
      </c>
      <c r="AI131" s="11">
        <f>IF(ROUNDUP(X131/20,0)&gt;ROUNDUP(X130/20,0),"Lần " &amp; ROUNDUP(X131/20,0),"")</f>
        <v/>
      </c>
      <c r="AJ131" s="11">
        <f>IF(ROUNDUP(Y131/20,0)&gt;ROUNDUP(Y130/20,0),"Lần " &amp; ROUNDUP(Y131/20,0),"")</f>
        <v/>
      </c>
      <c r="AK131" s="11">
        <f>IF(ROUNDUP(Z131/20,0)&gt;ROUNDUP(Z130/20,0),"Lần " &amp; ROUNDUP(Z131/20,0),"")</f>
        <v/>
      </c>
      <c r="AL131" s="6" t="n"/>
      <c r="AN131" t="inlineStr">
        <is>
          <t>Be</t>
        </is>
      </c>
      <c r="AO131" t="n">
        <v>34</v>
      </c>
    </row>
    <row r="132" ht="19" customHeight="1">
      <c r="A132" s="6" t="n">
        <v>127</v>
      </c>
      <c r="B132" s="7" t="inlineStr">
        <is>
          <t>Trụ T1, T2 (Bệ móng)</t>
        </is>
      </c>
      <c r="C132" s="7" t="inlineStr">
        <is>
          <t>Bệ trụ T1 (tr.44)</t>
        </is>
      </c>
      <c r="D132" s="18" t="inlineStr">
        <is>
          <t>B3</t>
        </is>
      </c>
      <c r="E132" s="19" t="n">
        <v>32</v>
      </c>
      <c r="F132" s="6" t="inlineStr">
        <is>
          <t>CB400-V</t>
        </is>
      </c>
      <c r="G132" s="7" t="inlineStr"/>
      <c r="H132" s="20" t="n">
        <v>8.632</v>
      </c>
      <c r="I132" s="21" t="n">
        <v>116</v>
      </c>
      <c r="J132" s="22" t="n">
        <v>6.313</v>
      </c>
      <c r="K132" s="9">
        <f>ROUND(H132*I132*J132, 2)</f>
        <v/>
      </c>
      <c r="L132" s="23">
        <f>ROUND(K132/1000, 3)</f>
        <v/>
      </c>
      <c r="M132" s="8">
        <f>IF(AO132="","",IF(INDEX(Theo_Doi_Tan_Suat_Be_Tong!$C:$C,AO132)="","",INDEX(Theo_Doi_Tan_Suat_Be_Tong!$C:$C,AO132)-VLOOKUP(AN132,$AQ$2:$AR$7,2,FALSE)))</f>
        <v/>
      </c>
      <c r="N132" s="6" t="n"/>
      <c r="O132" s="24">
        <f>IF(ROUNDUP(Y132/20,0)&gt;ROUNDUP(Y131/20,0),"TN Ø32 (Lần " &amp; ROUNDUP(Y132/20,0) &amp; ")","")</f>
        <v/>
      </c>
      <c r="P132" s="20">
        <f>ROUND(P131+IF(AND(E132&lt;=10,F132&lt;&gt;"ASTM A416"),L132,0),3)</f>
        <v/>
      </c>
      <c r="Q132" s="20">
        <f>ROUND(Q131+IF(AND(E132=12,F132&lt;&gt;"ASTM A416"),L132,0),3)</f>
        <v/>
      </c>
      <c r="R132" s="20">
        <f>ROUND(R131+IF(AND(E132=14,F132&lt;&gt;"ASTM A416"),L132,0),3)</f>
        <v/>
      </c>
      <c r="S132" s="20">
        <f>ROUND(S131+IF(AND(E132=16,F132&lt;&gt;"ASTM A416"),L132,0),3)</f>
        <v/>
      </c>
      <c r="T132" s="20">
        <f>ROUND(T131+IF(AND(E132=18,F132&lt;&gt;"ASTM A416"),L132,0),3)</f>
        <v/>
      </c>
      <c r="U132" s="20">
        <f>ROUND(U131+IF(AND(E132=20,F132&lt;&gt;"ASTM A416"),L132,0),3)</f>
        <v/>
      </c>
      <c r="V132" s="20">
        <f>ROUND(V131+IF(AND(E132=22,F132&lt;&gt;"ASTM A416"),L132,0),3)</f>
        <v/>
      </c>
      <c r="W132" s="20">
        <f>ROUND(W131+IF(AND(E132=25,F132&lt;&gt;"ASTM A416"),L132,0),3)</f>
        <v/>
      </c>
      <c r="X132" s="20">
        <f>ROUND(X131+IF(AND(E132=28,F132&lt;&gt;"ASTM A416"),L132,0),3)</f>
        <v/>
      </c>
      <c r="Y132" s="20">
        <f>ROUND(Y131+IF(AND(E132=32,F132&lt;&gt;"ASTM A416"),L132,0),3)</f>
        <v/>
      </c>
      <c r="Z132" s="20">
        <f>ROUND(Z131+IF(F132="ASTM A416",L132,0),3)</f>
        <v/>
      </c>
      <c r="AA132" s="11">
        <f>IF(ROUNDUP(P132/20,0)&gt;ROUNDUP(P131/20,0),"Lần " &amp; ROUNDUP(P132/20,0),"")</f>
        <v/>
      </c>
      <c r="AB132" s="11">
        <f>IF(ROUNDUP(Q132/20,0)&gt;ROUNDUP(Q131/20,0),"Lần " &amp; ROUNDUP(Q132/20,0),"")</f>
        <v/>
      </c>
      <c r="AC132" s="11">
        <f>IF(ROUNDUP(R132/20,0)&gt;ROUNDUP(R131/20,0),"Lần " &amp; ROUNDUP(R132/20,0),"")</f>
        <v/>
      </c>
      <c r="AD132" s="11">
        <f>IF(ROUNDUP(S132/20,0)&gt;ROUNDUP(S131/20,0),"Lần " &amp; ROUNDUP(S132/20,0),"")</f>
        <v/>
      </c>
      <c r="AE132" s="11">
        <f>IF(ROUNDUP(T132/20,0)&gt;ROUNDUP(T131/20,0),"Lần " &amp; ROUNDUP(T132/20,0),"")</f>
        <v/>
      </c>
      <c r="AF132" s="11">
        <f>IF(ROUNDUP(U132/20,0)&gt;ROUNDUP(U131/20,0),"Lần " &amp; ROUNDUP(U132/20,0),"")</f>
        <v/>
      </c>
      <c r="AG132" s="11">
        <f>IF(ROUNDUP(V132/20,0)&gt;ROUNDUP(V131/20,0),"Lần " &amp; ROUNDUP(V132/20,0),"")</f>
        <v/>
      </c>
      <c r="AH132" s="11">
        <f>IF(ROUNDUP(W132/20,0)&gt;ROUNDUP(W131/20,0),"Lần " &amp; ROUNDUP(W132/20,0),"")</f>
        <v/>
      </c>
      <c r="AI132" s="11">
        <f>IF(ROUNDUP(X132/20,0)&gt;ROUNDUP(X131/20,0),"Lần " &amp; ROUNDUP(X132/20,0),"")</f>
        <v/>
      </c>
      <c r="AJ132" s="11">
        <f>IF(ROUNDUP(Y132/20,0)&gt;ROUNDUP(Y131/20,0),"Lần " &amp; ROUNDUP(Y132/20,0),"")</f>
        <v/>
      </c>
      <c r="AK132" s="11">
        <f>IF(ROUNDUP(Z132/20,0)&gt;ROUNDUP(Z131/20,0),"Lần " &amp; ROUNDUP(Z132/20,0),"")</f>
        <v/>
      </c>
      <c r="AL132" s="6" t="n"/>
      <c r="AN132" t="inlineStr">
        <is>
          <t>Be</t>
        </is>
      </c>
      <c r="AO132" t="n">
        <v>34</v>
      </c>
    </row>
    <row r="133" ht="19" customHeight="1">
      <c r="A133" s="6" t="n">
        <v>128</v>
      </c>
      <c r="B133" s="7" t="inlineStr">
        <is>
          <t>Trụ T1, T2 (Bệ móng)</t>
        </is>
      </c>
      <c r="C133" s="7" t="inlineStr">
        <is>
          <t>Bệ trụ T1 (tr.44)</t>
        </is>
      </c>
      <c r="D133" s="18" t="inlineStr">
        <is>
          <t>(?)</t>
        </is>
      </c>
      <c r="E133" s="19" t="n">
        <v>18</v>
      </c>
      <c r="F133" s="6" t="inlineStr">
        <is>
          <t>CB400-V</t>
        </is>
      </c>
      <c r="G133" s="7" t="inlineStr"/>
      <c r="H133" s="20" t="n">
        <v>8.286</v>
      </c>
      <c r="I133" s="21" t="n">
        <v>77</v>
      </c>
      <c r="J133" s="22" t="n">
        <v>1.998</v>
      </c>
      <c r="K133" s="9">
        <f>ROUND(H133*I133*J133, 2)</f>
        <v/>
      </c>
      <c r="L133" s="23">
        <f>ROUND(K133/1000, 3)</f>
        <v/>
      </c>
      <c r="M133" s="8">
        <f>IF(AO133="","",IF(INDEX(Theo_Doi_Tan_Suat_Be_Tong!$C:$C,AO133)="","",INDEX(Theo_Doi_Tan_Suat_Be_Tong!$C:$C,AO133)-VLOOKUP(AN133,$AQ$2:$AR$7,2,FALSE)))</f>
        <v/>
      </c>
      <c r="N133" s="6" t="n"/>
      <c r="O133" s="24">
        <f>IF(ROUNDUP(T133/20,0)&gt;ROUNDUP(T132/20,0),"TN Ø18 (Lần " &amp; ROUNDUP(T133/20,0) &amp; ")","")</f>
        <v/>
      </c>
      <c r="P133" s="20">
        <f>ROUND(P132+IF(AND(E133&lt;=10,F133&lt;&gt;"ASTM A416"),L133,0),3)</f>
        <v/>
      </c>
      <c r="Q133" s="20">
        <f>ROUND(Q132+IF(AND(E133=12,F133&lt;&gt;"ASTM A416"),L133,0),3)</f>
        <v/>
      </c>
      <c r="R133" s="20">
        <f>ROUND(R132+IF(AND(E133=14,F133&lt;&gt;"ASTM A416"),L133,0),3)</f>
        <v/>
      </c>
      <c r="S133" s="20">
        <f>ROUND(S132+IF(AND(E133=16,F133&lt;&gt;"ASTM A416"),L133,0),3)</f>
        <v/>
      </c>
      <c r="T133" s="20">
        <f>ROUND(T132+IF(AND(E133=18,F133&lt;&gt;"ASTM A416"),L133,0),3)</f>
        <v/>
      </c>
      <c r="U133" s="20">
        <f>ROUND(U132+IF(AND(E133=20,F133&lt;&gt;"ASTM A416"),L133,0),3)</f>
        <v/>
      </c>
      <c r="V133" s="20">
        <f>ROUND(V132+IF(AND(E133=22,F133&lt;&gt;"ASTM A416"),L133,0),3)</f>
        <v/>
      </c>
      <c r="W133" s="20">
        <f>ROUND(W132+IF(AND(E133=25,F133&lt;&gt;"ASTM A416"),L133,0),3)</f>
        <v/>
      </c>
      <c r="X133" s="20">
        <f>ROUND(X132+IF(AND(E133=28,F133&lt;&gt;"ASTM A416"),L133,0),3)</f>
        <v/>
      </c>
      <c r="Y133" s="20">
        <f>ROUND(Y132+IF(AND(E133=32,F133&lt;&gt;"ASTM A416"),L133,0),3)</f>
        <v/>
      </c>
      <c r="Z133" s="20">
        <f>ROUND(Z132+IF(F133="ASTM A416",L133,0),3)</f>
        <v/>
      </c>
      <c r="AA133" s="11">
        <f>IF(ROUNDUP(P133/20,0)&gt;ROUNDUP(P132/20,0),"Lần " &amp; ROUNDUP(P133/20,0),"")</f>
        <v/>
      </c>
      <c r="AB133" s="11">
        <f>IF(ROUNDUP(Q133/20,0)&gt;ROUNDUP(Q132/20,0),"Lần " &amp; ROUNDUP(Q133/20,0),"")</f>
        <v/>
      </c>
      <c r="AC133" s="11">
        <f>IF(ROUNDUP(R133/20,0)&gt;ROUNDUP(R132/20,0),"Lần " &amp; ROUNDUP(R133/20,0),"")</f>
        <v/>
      </c>
      <c r="AD133" s="11">
        <f>IF(ROUNDUP(S133/20,0)&gt;ROUNDUP(S132/20,0),"Lần " &amp; ROUNDUP(S133/20,0),"")</f>
        <v/>
      </c>
      <c r="AE133" s="11">
        <f>IF(ROUNDUP(T133/20,0)&gt;ROUNDUP(T132/20,0),"Lần " &amp; ROUNDUP(T133/20,0),"")</f>
        <v/>
      </c>
      <c r="AF133" s="11">
        <f>IF(ROUNDUP(U133/20,0)&gt;ROUNDUP(U132/20,0),"Lần " &amp; ROUNDUP(U133/20,0),"")</f>
        <v/>
      </c>
      <c r="AG133" s="11">
        <f>IF(ROUNDUP(V133/20,0)&gt;ROUNDUP(V132/20,0),"Lần " &amp; ROUNDUP(V133/20,0),"")</f>
        <v/>
      </c>
      <c r="AH133" s="11">
        <f>IF(ROUNDUP(W133/20,0)&gt;ROUNDUP(W132/20,0),"Lần " &amp; ROUNDUP(W133/20,0),"")</f>
        <v/>
      </c>
      <c r="AI133" s="11">
        <f>IF(ROUNDUP(X133/20,0)&gt;ROUNDUP(X132/20,0),"Lần " &amp; ROUNDUP(X133/20,0),"")</f>
        <v/>
      </c>
      <c r="AJ133" s="11">
        <f>IF(ROUNDUP(Y133/20,0)&gt;ROUNDUP(Y132/20,0),"Lần " &amp; ROUNDUP(Y133/20,0),"")</f>
        <v/>
      </c>
      <c r="AK133" s="11">
        <f>IF(ROUNDUP(Z133/20,0)&gt;ROUNDUP(Z132/20,0),"Lần " &amp; ROUNDUP(Z133/20,0),"")</f>
        <v/>
      </c>
      <c r="AL133" s="6" t="n"/>
      <c r="AN133" t="inlineStr">
        <is>
          <t>Be</t>
        </is>
      </c>
      <c r="AO133" t="n">
        <v>34</v>
      </c>
    </row>
    <row r="134" ht="19" customHeight="1">
      <c r="A134" s="6" t="n">
        <v>129</v>
      </c>
      <c r="B134" s="7" t="inlineStr">
        <is>
          <t>Trụ T1, T2 (Bệ móng)</t>
        </is>
      </c>
      <c r="C134" s="7" t="inlineStr">
        <is>
          <t>Bệ trụ T1 (tr.44)</t>
        </is>
      </c>
      <c r="D134" s="18" t="inlineStr">
        <is>
          <t>B5</t>
        </is>
      </c>
      <c r="E134" s="19" t="n">
        <v>16</v>
      </c>
      <c r="F134" s="6" t="inlineStr">
        <is>
          <t>CB400-V</t>
        </is>
      </c>
      <c r="G134" s="7" t="inlineStr">
        <is>
          <t>S06</t>
        </is>
      </c>
      <c r="H134" s="20" t="n">
        <v>1.99</v>
      </c>
      <c r="I134" s="21" t="n">
        <v>338</v>
      </c>
      <c r="J134" s="22" t="n">
        <v>1.578</v>
      </c>
      <c r="K134" s="9">
        <f>ROUND(H134*I134*J134, 2)</f>
        <v/>
      </c>
      <c r="L134" s="23">
        <f>ROUND(K134/1000, 3)</f>
        <v/>
      </c>
      <c r="M134" s="8">
        <f>IF(AO134="","",IF(INDEX(Theo_Doi_Tan_Suat_Be_Tong!$C:$C,AO134)="","",INDEX(Theo_Doi_Tan_Suat_Be_Tong!$C:$C,AO134)-VLOOKUP(AN134,$AQ$2:$AR$7,2,FALSE)))</f>
        <v/>
      </c>
      <c r="N134" s="6" t="n"/>
      <c r="O134" s="24">
        <f>IF(ROUNDUP(S134/20,0)&gt;ROUNDUP(S133/20,0),"TN Ø16 (Lần " &amp; ROUNDUP(S134/20,0) &amp; ")","")</f>
        <v/>
      </c>
      <c r="P134" s="20">
        <f>ROUND(P133+IF(AND(E134&lt;=10,F134&lt;&gt;"ASTM A416"),L134,0),3)</f>
        <v/>
      </c>
      <c r="Q134" s="20">
        <f>ROUND(Q133+IF(AND(E134=12,F134&lt;&gt;"ASTM A416"),L134,0),3)</f>
        <v/>
      </c>
      <c r="R134" s="20">
        <f>ROUND(R133+IF(AND(E134=14,F134&lt;&gt;"ASTM A416"),L134,0),3)</f>
        <v/>
      </c>
      <c r="S134" s="20">
        <f>ROUND(S133+IF(AND(E134=16,F134&lt;&gt;"ASTM A416"),L134,0),3)</f>
        <v/>
      </c>
      <c r="T134" s="20">
        <f>ROUND(T133+IF(AND(E134=18,F134&lt;&gt;"ASTM A416"),L134,0),3)</f>
        <v/>
      </c>
      <c r="U134" s="20">
        <f>ROUND(U133+IF(AND(E134=20,F134&lt;&gt;"ASTM A416"),L134,0),3)</f>
        <v/>
      </c>
      <c r="V134" s="20">
        <f>ROUND(V133+IF(AND(E134=22,F134&lt;&gt;"ASTM A416"),L134,0),3)</f>
        <v/>
      </c>
      <c r="W134" s="20">
        <f>ROUND(W133+IF(AND(E134=25,F134&lt;&gt;"ASTM A416"),L134,0),3)</f>
        <v/>
      </c>
      <c r="X134" s="20">
        <f>ROUND(X133+IF(AND(E134=28,F134&lt;&gt;"ASTM A416"),L134,0),3)</f>
        <v/>
      </c>
      <c r="Y134" s="20">
        <f>ROUND(Y133+IF(AND(E134=32,F134&lt;&gt;"ASTM A416"),L134,0),3)</f>
        <v/>
      </c>
      <c r="Z134" s="20">
        <f>ROUND(Z133+IF(F134="ASTM A416",L134,0),3)</f>
        <v/>
      </c>
      <c r="AA134" s="11">
        <f>IF(ROUNDUP(P134/20,0)&gt;ROUNDUP(P133/20,0),"Lần " &amp; ROUNDUP(P134/20,0),"")</f>
        <v/>
      </c>
      <c r="AB134" s="11">
        <f>IF(ROUNDUP(Q134/20,0)&gt;ROUNDUP(Q133/20,0),"Lần " &amp; ROUNDUP(Q134/20,0),"")</f>
        <v/>
      </c>
      <c r="AC134" s="11">
        <f>IF(ROUNDUP(R134/20,0)&gt;ROUNDUP(R133/20,0),"Lần " &amp; ROUNDUP(R134/20,0),"")</f>
        <v/>
      </c>
      <c r="AD134" s="11">
        <f>IF(ROUNDUP(S134/20,0)&gt;ROUNDUP(S133/20,0),"Lần " &amp; ROUNDUP(S134/20,0),"")</f>
        <v/>
      </c>
      <c r="AE134" s="11">
        <f>IF(ROUNDUP(T134/20,0)&gt;ROUNDUP(T133/20,0),"Lần " &amp; ROUNDUP(T134/20,0),"")</f>
        <v/>
      </c>
      <c r="AF134" s="11">
        <f>IF(ROUNDUP(U134/20,0)&gt;ROUNDUP(U133/20,0),"Lần " &amp; ROUNDUP(U134/20,0),"")</f>
        <v/>
      </c>
      <c r="AG134" s="11">
        <f>IF(ROUNDUP(V134/20,0)&gt;ROUNDUP(V133/20,0),"Lần " &amp; ROUNDUP(V134/20,0),"")</f>
        <v/>
      </c>
      <c r="AH134" s="11">
        <f>IF(ROUNDUP(W134/20,0)&gt;ROUNDUP(W133/20,0),"Lần " &amp; ROUNDUP(W134/20,0),"")</f>
        <v/>
      </c>
      <c r="AI134" s="11">
        <f>IF(ROUNDUP(X134/20,0)&gt;ROUNDUP(X133/20,0),"Lần " &amp; ROUNDUP(X134/20,0),"")</f>
        <v/>
      </c>
      <c r="AJ134" s="11">
        <f>IF(ROUNDUP(Y134/20,0)&gt;ROUNDUP(Y133/20,0),"Lần " &amp; ROUNDUP(Y134/20,0),"")</f>
        <v/>
      </c>
      <c r="AK134" s="11">
        <f>IF(ROUNDUP(Z134/20,0)&gt;ROUNDUP(Z133/20,0),"Lần " &amp; ROUNDUP(Z134/20,0),"")</f>
        <v/>
      </c>
      <c r="AL134" s="6" t="n"/>
      <c r="AN134" t="inlineStr">
        <is>
          <t>Be</t>
        </is>
      </c>
      <c r="AO134" t="n">
        <v>34</v>
      </c>
    </row>
    <row r="135" ht="19" customHeight="1">
      <c r="A135" s="6" t="n">
        <v>130</v>
      </c>
      <c r="B135" s="7" t="inlineStr">
        <is>
          <t>Trụ T1, T2 (Bệ móng)</t>
        </is>
      </c>
      <c r="C135" s="7" t="inlineStr">
        <is>
          <t>Bệ trụ T1 (tr.44)</t>
        </is>
      </c>
      <c r="D135" s="18" t="inlineStr">
        <is>
          <t>B6</t>
        </is>
      </c>
      <c r="E135" s="19" t="n">
        <v>16</v>
      </c>
      <c r="F135" s="6" t="inlineStr">
        <is>
          <t>CB400-V</t>
        </is>
      </c>
      <c r="G135" s="7" t="inlineStr"/>
      <c r="H135" s="20" t="n">
        <v>7.8</v>
      </c>
      <c r="I135" s="21" t="n">
        <v>20</v>
      </c>
      <c r="J135" s="22" t="n">
        <v>1.578</v>
      </c>
      <c r="K135" s="9">
        <f>ROUND(H135*I135*J135, 2)</f>
        <v/>
      </c>
      <c r="L135" s="23">
        <f>ROUND(K135/1000, 3)</f>
        <v/>
      </c>
      <c r="M135" s="8">
        <f>IF(AO135="","",IF(INDEX(Theo_Doi_Tan_Suat_Be_Tong!$C:$C,AO135)="","",INDEX(Theo_Doi_Tan_Suat_Be_Tong!$C:$C,AO135)-VLOOKUP(AN135,$AQ$2:$AR$7,2,FALSE)))</f>
        <v/>
      </c>
      <c r="N135" s="6" t="n"/>
      <c r="O135" s="24">
        <f>IF(ROUNDUP(S135/20,0)&gt;ROUNDUP(S134/20,0),"TN Ø16 (Lần " &amp; ROUNDUP(S135/20,0) &amp; ")","")</f>
        <v/>
      </c>
      <c r="P135" s="20">
        <f>ROUND(P134+IF(AND(E135&lt;=10,F135&lt;&gt;"ASTM A416"),L135,0),3)</f>
        <v/>
      </c>
      <c r="Q135" s="20">
        <f>ROUND(Q134+IF(AND(E135=12,F135&lt;&gt;"ASTM A416"),L135,0),3)</f>
        <v/>
      </c>
      <c r="R135" s="20">
        <f>ROUND(R134+IF(AND(E135=14,F135&lt;&gt;"ASTM A416"),L135,0),3)</f>
        <v/>
      </c>
      <c r="S135" s="20">
        <f>ROUND(S134+IF(AND(E135=16,F135&lt;&gt;"ASTM A416"),L135,0),3)</f>
        <v/>
      </c>
      <c r="T135" s="20">
        <f>ROUND(T134+IF(AND(E135=18,F135&lt;&gt;"ASTM A416"),L135,0),3)</f>
        <v/>
      </c>
      <c r="U135" s="20">
        <f>ROUND(U134+IF(AND(E135=20,F135&lt;&gt;"ASTM A416"),L135,0),3)</f>
        <v/>
      </c>
      <c r="V135" s="20">
        <f>ROUND(V134+IF(AND(E135=22,F135&lt;&gt;"ASTM A416"),L135,0),3)</f>
        <v/>
      </c>
      <c r="W135" s="20">
        <f>ROUND(W134+IF(AND(E135=25,F135&lt;&gt;"ASTM A416"),L135,0),3)</f>
        <v/>
      </c>
      <c r="X135" s="20">
        <f>ROUND(X134+IF(AND(E135=28,F135&lt;&gt;"ASTM A416"),L135,0),3)</f>
        <v/>
      </c>
      <c r="Y135" s="20">
        <f>ROUND(Y134+IF(AND(E135=32,F135&lt;&gt;"ASTM A416"),L135,0),3)</f>
        <v/>
      </c>
      <c r="Z135" s="20">
        <f>ROUND(Z134+IF(F135="ASTM A416",L135,0),3)</f>
        <v/>
      </c>
      <c r="AA135" s="11">
        <f>IF(ROUNDUP(P135/20,0)&gt;ROUNDUP(P134/20,0),"Lần " &amp; ROUNDUP(P135/20,0),"")</f>
        <v/>
      </c>
      <c r="AB135" s="11">
        <f>IF(ROUNDUP(Q135/20,0)&gt;ROUNDUP(Q134/20,0),"Lần " &amp; ROUNDUP(Q135/20,0),"")</f>
        <v/>
      </c>
      <c r="AC135" s="11">
        <f>IF(ROUNDUP(R135/20,0)&gt;ROUNDUP(R134/20,0),"Lần " &amp; ROUNDUP(R135/20,0),"")</f>
        <v/>
      </c>
      <c r="AD135" s="11">
        <f>IF(ROUNDUP(S135/20,0)&gt;ROUNDUP(S134/20,0),"Lần " &amp; ROUNDUP(S135/20,0),"")</f>
        <v/>
      </c>
      <c r="AE135" s="11">
        <f>IF(ROUNDUP(T135/20,0)&gt;ROUNDUP(T134/20,0),"Lần " &amp; ROUNDUP(T135/20,0),"")</f>
        <v/>
      </c>
      <c r="AF135" s="11">
        <f>IF(ROUNDUP(U135/20,0)&gt;ROUNDUP(U134/20,0),"Lần " &amp; ROUNDUP(U135/20,0),"")</f>
        <v/>
      </c>
      <c r="AG135" s="11">
        <f>IF(ROUNDUP(V135/20,0)&gt;ROUNDUP(V134/20,0),"Lần " &amp; ROUNDUP(V135/20,0),"")</f>
        <v/>
      </c>
      <c r="AH135" s="11">
        <f>IF(ROUNDUP(W135/20,0)&gt;ROUNDUP(W134/20,0),"Lần " &amp; ROUNDUP(W135/20,0),"")</f>
        <v/>
      </c>
      <c r="AI135" s="11">
        <f>IF(ROUNDUP(X135/20,0)&gt;ROUNDUP(X134/20,0),"Lần " &amp; ROUNDUP(X135/20,0),"")</f>
        <v/>
      </c>
      <c r="AJ135" s="11">
        <f>IF(ROUNDUP(Y135/20,0)&gt;ROUNDUP(Y134/20,0),"Lần " &amp; ROUNDUP(Y135/20,0),"")</f>
        <v/>
      </c>
      <c r="AK135" s="11">
        <f>IF(ROUNDUP(Z135/20,0)&gt;ROUNDUP(Z134/20,0),"Lần " &amp; ROUNDUP(Z135/20,0),"")</f>
        <v/>
      </c>
      <c r="AL135" s="6" t="n"/>
      <c r="AN135" t="inlineStr">
        <is>
          <t>Be</t>
        </is>
      </c>
      <c r="AO135" t="n">
        <v>34</v>
      </c>
    </row>
    <row r="136" ht="19" customHeight="1">
      <c r="A136" s="6" t="n">
        <v>131</v>
      </c>
      <c r="B136" s="7" t="inlineStr">
        <is>
          <t>Trụ T1, T2 (Bệ móng)</t>
        </is>
      </c>
      <c r="C136" s="7" t="inlineStr">
        <is>
          <t>Bệ trụ T1 (tr.44)</t>
        </is>
      </c>
      <c r="D136" s="18" t="inlineStr">
        <is>
          <t>B7</t>
        </is>
      </c>
      <c r="E136" s="19" t="n">
        <v>16</v>
      </c>
      <c r="F136" s="6" t="inlineStr">
        <is>
          <t>CB400-V</t>
        </is>
      </c>
      <c r="G136" s="7" t="inlineStr"/>
      <c r="H136" s="20" t="n">
        <v>11.4</v>
      </c>
      <c r="I136" s="21" t="n">
        <v>20</v>
      </c>
      <c r="J136" s="22" t="n">
        <v>1.578</v>
      </c>
      <c r="K136" s="9">
        <f>ROUND(H136*I136*J136, 2)</f>
        <v/>
      </c>
      <c r="L136" s="23">
        <f>ROUND(K136/1000, 3)</f>
        <v/>
      </c>
      <c r="M136" s="8">
        <f>IF(AO136="","",IF(INDEX(Theo_Doi_Tan_Suat_Be_Tong!$C:$C,AO136)="","",INDEX(Theo_Doi_Tan_Suat_Be_Tong!$C:$C,AO136)-VLOOKUP(AN136,$AQ$2:$AR$7,2,FALSE)))</f>
        <v/>
      </c>
      <c r="N136" s="6" t="n"/>
      <c r="O136" s="24">
        <f>IF(ROUNDUP(S136/20,0)&gt;ROUNDUP(S135/20,0),"TN Ø16 (Lần " &amp; ROUNDUP(S136/20,0) &amp; ")","")</f>
        <v/>
      </c>
      <c r="P136" s="20">
        <f>ROUND(P135+IF(AND(E136&lt;=10,F136&lt;&gt;"ASTM A416"),L136,0),3)</f>
        <v/>
      </c>
      <c r="Q136" s="20">
        <f>ROUND(Q135+IF(AND(E136=12,F136&lt;&gt;"ASTM A416"),L136,0),3)</f>
        <v/>
      </c>
      <c r="R136" s="20">
        <f>ROUND(R135+IF(AND(E136=14,F136&lt;&gt;"ASTM A416"),L136,0),3)</f>
        <v/>
      </c>
      <c r="S136" s="20">
        <f>ROUND(S135+IF(AND(E136=16,F136&lt;&gt;"ASTM A416"),L136,0),3)</f>
        <v/>
      </c>
      <c r="T136" s="20">
        <f>ROUND(T135+IF(AND(E136=18,F136&lt;&gt;"ASTM A416"),L136,0),3)</f>
        <v/>
      </c>
      <c r="U136" s="20">
        <f>ROUND(U135+IF(AND(E136=20,F136&lt;&gt;"ASTM A416"),L136,0),3)</f>
        <v/>
      </c>
      <c r="V136" s="20">
        <f>ROUND(V135+IF(AND(E136=22,F136&lt;&gt;"ASTM A416"),L136,0),3)</f>
        <v/>
      </c>
      <c r="W136" s="20">
        <f>ROUND(W135+IF(AND(E136=25,F136&lt;&gt;"ASTM A416"),L136,0),3)</f>
        <v/>
      </c>
      <c r="X136" s="20">
        <f>ROUND(X135+IF(AND(E136=28,F136&lt;&gt;"ASTM A416"),L136,0),3)</f>
        <v/>
      </c>
      <c r="Y136" s="20">
        <f>ROUND(Y135+IF(AND(E136=32,F136&lt;&gt;"ASTM A416"),L136,0),3)</f>
        <v/>
      </c>
      <c r="Z136" s="20">
        <f>ROUND(Z135+IF(F136="ASTM A416",L136,0),3)</f>
        <v/>
      </c>
      <c r="AA136" s="11">
        <f>IF(ROUNDUP(P136/20,0)&gt;ROUNDUP(P135/20,0),"Lần " &amp; ROUNDUP(P136/20,0),"")</f>
        <v/>
      </c>
      <c r="AB136" s="11">
        <f>IF(ROUNDUP(Q136/20,0)&gt;ROUNDUP(Q135/20,0),"Lần " &amp; ROUNDUP(Q136/20,0),"")</f>
        <v/>
      </c>
      <c r="AC136" s="11">
        <f>IF(ROUNDUP(R136/20,0)&gt;ROUNDUP(R135/20,0),"Lần " &amp; ROUNDUP(R136/20,0),"")</f>
        <v/>
      </c>
      <c r="AD136" s="11">
        <f>IF(ROUNDUP(S136/20,0)&gt;ROUNDUP(S135/20,0),"Lần " &amp; ROUNDUP(S136/20,0),"")</f>
        <v/>
      </c>
      <c r="AE136" s="11">
        <f>IF(ROUNDUP(T136/20,0)&gt;ROUNDUP(T135/20,0),"Lần " &amp; ROUNDUP(T136/20,0),"")</f>
        <v/>
      </c>
      <c r="AF136" s="11">
        <f>IF(ROUNDUP(U136/20,0)&gt;ROUNDUP(U135/20,0),"Lần " &amp; ROUNDUP(U136/20,0),"")</f>
        <v/>
      </c>
      <c r="AG136" s="11">
        <f>IF(ROUNDUP(V136/20,0)&gt;ROUNDUP(V135/20,0),"Lần " &amp; ROUNDUP(V136/20,0),"")</f>
        <v/>
      </c>
      <c r="AH136" s="11">
        <f>IF(ROUNDUP(W136/20,0)&gt;ROUNDUP(W135/20,0),"Lần " &amp; ROUNDUP(W136/20,0),"")</f>
        <v/>
      </c>
      <c r="AI136" s="11">
        <f>IF(ROUNDUP(X136/20,0)&gt;ROUNDUP(X135/20,0),"Lần " &amp; ROUNDUP(X136/20,0),"")</f>
        <v/>
      </c>
      <c r="AJ136" s="11">
        <f>IF(ROUNDUP(Y136/20,0)&gt;ROUNDUP(Y135/20,0),"Lần " &amp; ROUNDUP(Y136/20,0),"")</f>
        <v/>
      </c>
      <c r="AK136" s="11">
        <f>IF(ROUNDUP(Z136/20,0)&gt;ROUNDUP(Z135/20,0),"Lần " &amp; ROUNDUP(Z136/20,0),"")</f>
        <v/>
      </c>
      <c r="AL136" s="6" t="n"/>
      <c r="AN136" t="inlineStr">
        <is>
          <t>Be</t>
        </is>
      </c>
      <c r="AO136" t="n">
        <v>34</v>
      </c>
    </row>
    <row r="137" ht="19" customHeight="1">
      <c r="A137" s="6" t="n">
        <v>132</v>
      </c>
      <c r="B137" s="7" t="inlineStr">
        <is>
          <t>Trụ T1, T2 (Bệ móng)</t>
        </is>
      </c>
      <c r="C137" s="7" t="inlineStr">
        <is>
          <t>Bệ trụ T1 (tr.44)</t>
        </is>
      </c>
      <c r="D137" s="18" t="inlineStr">
        <is>
          <t>B8</t>
        </is>
      </c>
      <c r="E137" s="19" t="n">
        <v>16</v>
      </c>
      <c r="F137" s="6" t="inlineStr">
        <is>
          <t>CB400-V</t>
        </is>
      </c>
      <c r="G137" s="7" t="inlineStr">
        <is>
          <t>S06</t>
        </is>
      </c>
      <c r="H137" s="20" t="n">
        <v>1.926</v>
      </c>
      <c r="I137" s="21" t="n">
        <v>348</v>
      </c>
      <c r="J137" s="22" t="n">
        <v>1.578</v>
      </c>
      <c r="K137" s="9">
        <f>ROUND(H137*I137*J137, 2)</f>
        <v/>
      </c>
      <c r="L137" s="23">
        <f>ROUND(K137/1000, 3)</f>
        <v/>
      </c>
      <c r="M137" s="8">
        <f>IF(AO137="","",IF(INDEX(Theo_Doi_Tan_Suat_Be_Tong!$C:$C,AO137)="","",INDEX(Theo_Doi_Tan_Suat_Be_Tong!$C:$C,AO137)-VLOOKUP(AN137,$AQ$2:$AR$7,2,FALSE)))</f>
        <v/>
      </c>
      <c r="N137" s="6" t="n"/>
      <c r="O137" s="24">
        <f>IF(ROUNDUP(S137/20,0)&gt;ROUNDUP(S136/20,0),"TN Ø16 (Lần " &amp; ROUNDUP(S137/20,0) &amp; ")","")</f>
        <v/>
      </c>
      <c r="P137" s="20">
        <f>ROUND(P136+IF(AND(E137&lt;=10,F137&lt;&gt;"ASTM A416"),L137,0),3)</f>
        <v/>
      </c>
      <c r="Q137" s="20">
        <f>ROUND(Q136+IF(AND(E137=12,F137&lt;&gt;"ASTM A416"),L137,0),3)</f>
        <v/>
      </c>
      <c r="R137" s="20">
        <f>ROUND(R136+IF(AND(E137=14,F137&lt;&gt;"ASTM A416"),L137,0),3)</f>
        <v/>
      </c>
      <c r="S137" s="20">
        <f>ROUND(S136+IF(AND(E137=16,F137&lt;&gt;"ASTM A416"),L137,0),3)</f>
        <v/>
      </c>
      <c r="T137" s="20">
        <f>ROUND(T136+IF(AND(E137=18,F137&lt;&gt;"ASTM A416"),L137,0),3)</f>
        <v/>
      </c>
      <c r="U137" s="20">
        <f>ROUND(U136+IF(AND(E137=20,F137&lt;&gt;"ASTM A416"),L137,0),3)</f>
        <v/>
      </c>
      <c r="V137" s="20">
        <f>ROUND(V136+IF(AND(E137=22,F137&lt;&gt;"ASTM A416"),L137,0),3)</f>
        <v/>
      </c>
      <c r="W137" s="20">
        <f>ROUND(W136+IF(AND(E137=25,F137&lt;&gt;"ASTM A416"),L137,0),3)</f>
        <v/>
      </c>
      <c r="X137" s="20">
        <f>ROUND(X136+IF(AND(E137=28,F137&lt;&gt;"ASTM A416"),L137,0),3)</f>
        <v/>
      </c>
      <c r="Y137" s="20">
        <f>ROUND(Y136+IF(AND(E137=32,F137&lt;&gt;"ASTM A416"),L137,0),3)</f>
        <v/>
      </c>
      <c r="Z137" s="20">
        <f>ROUND(Z136+IF(F137="ASTM A416",L137,0),3)</f>
        <v/>
      </c>
      <c r="AA137" s="11">
        <f>IF(ROUNDUP(P137/20,0)&gt;ROUNDUP(P136/20,0),"Lần " &amp; ROUNDUP(P137/20,0),"")</f>
        <v/>
      </c>
      <c r="AB137" s="11">
        <f>IF(ROUNDUP(Q137/20,0)&gt;ROUNDUP(Q136/20,0),"Lần " &amp; ROUNDUP(Q137/20,0),"")</f>
        <v/>
      </c>
      <c r="AC137" s="11">
        <f>IF(ROUNDUP(R137/20,0)&gt;ROUNDUP(R136/20,0),"Lần " &amp; ROUNDUP(R137/20,0),"")</f>
        <v/>
      </c>
      <c r="AD137" s="11">
        <f>IF(ROUNDUP(S137/20,0)&gt;ROUNDUP(S136/20,0),"Lần " &amp; ROUNDUP(S137/20,0),"")</f>
        <v/>
      </c>
      <c r="AE137" s="11">
        <f>IF(ROUNDUP(T137/20,0)&gt;ROUNDUP(T136/20,0),"Lần " &amp; ROUNDUP(T137/20,0),"")</f>
        <v/>
      </c>
      <c r="AF137" s="11">
        <f>IF(ROUNDUP(U137/20,0)&gt;ROUNDUP(U136/20,0),"Lần " &amp; ROUNDUP(U137/20,0),"")</f>
        <v/>
      </c>
      <c r="AG137" s="11">
        <f>IF(ROUNDUP(V137/20,0)&gt;ROUNDUP(V136/20,0),"Lần " &amp; ROUNDUP(V137/20,0),"")</f>
        <v/>
      </c>
      <c r="AH137" s="11">
        <f>IF(ROUNDUP(W137/20,0)&gt;ROUNDUP(W136/20,0),"Lần " &amp; ROUNDUP(W137/20,0),"")</f>
        <v/>
      </c>
      <c r="AI137" s="11">
        <f>IF(ROUNDUP(X137/20,0)&gt;ROUNDUP(X136/20,0),"Lần " &amp; ROUNDUP(X137/20,0),"")</f>
        <v/>
      </c>
      <c r="AJ137" s="11">
        <f>IF(ROUNDUP(Y137/20,0)&gt;ROUNDUP(Y136/20,0),"Lần " &amp; ROUNDUP(Y137/20,0),"")</f>
        <v/>
      </c>
      <c r="AK137" s="11">
        <f>IF(ROUNDUP(Z137/20,0)&gt;ROUNDUP(Z136/20,0),"Lần " &amp; ROUNDUP(Z137/20,0),"")</f>
        <v/>
      </c>
      <c r="AL137" s="6" t="n"/>
      <c r="AN137" t="inlineStr">
        <is>
          <t>Be</t>
        </is>
      </c>
      <c r="AO137" t="n">
        <v>34</v>
      </c>
    </row>
    <row r="138" ht="19" customHeight="1">
      <c r="A138" s="6" t="n">
        <v>133</v>
      </c>
      <c r="B138" s="7" t="inlineStr">
        <is>
          <t>Trụ T1, T2 (Bệ móng)</t>
        </is>
      </c>
      <c r="C138" s="7" t="inlineStr">
        <is>
          <t>Bệ trụ T2 (tr.55)</t>
        </is>
      </c>
      <c r="D138" s="18" t="inlineStr">
        <is>
          <t>B1</t>
        </is>
      </c>
      <c r="E138" s="19" t="n">
        <v>32</v>
      </c>
      <c r="F138" s="6" t="inlineStr">
        <is>
          <t>CB400-V</t>
        </is>
      </c>
      <c r="G138" s="7" t="inlineStr"/>
      <c r="H138" s="20" t="n">
        <v>13.512</v>
      </c>
      <c r="I138" s="21" t="n">
        <v>53</v>
      </c>
      <c r="J138" s="22" t="n">
        <v>6.313</v>
      </c>
      <c r="K138" s="9">
        <f>ROUND(H138*I138*J138, 2)</f>
        <v/>
      </c>
      <c r="L138" s="23">
        <f>ROUND(K138/1000, 3)</f>
        <v/>
      </c>
      <c r="M138" s="8">
        <f>IF(AO138="","",IF(INDEX(Theo_Doi_Tan_Suat_Be_Tong!$C:$C,AO138)="","",INDEX(Theo_Doi_Tan_Suat_Be_Tong!$C:$C,AO138)-VLOOKUP(AN138,$AQ$2:$AR$7,2,FALSE)))</f>
        <v/>
      </c>
      <c r="N138" s="6" t="n"/>
      <c r="O138" s="24">
        <f>IF(ROUNDUP(Y138/20,0)&gt;ROUNDUP(Y137/20,0),"TN Ø32 (Lần " &amp; ROUNDUP(Y138/20,0) &amp; ")","")</f>
        <v/>
      </c>
      <c r="P138" s="20">
        <f>ROUND(P137+IF(AND(E138&lt;=10,F138&lt;&gt;"ASTM A416"),L138,0),3)</f>
        <v/>
      </c>
      <c r="Q138" s="20">
        <f>ROUND(Q137+IF(AND(E138=12,F138&lt;&gt;"ASTM A416"),L138,0),3)</f>
        <v/>
      </c>
      <c r="R138" s="20">
        <f>ROUND(R137+IF(AND(E138=14,F138&lt;&gt;"ASTM A416"),L138,0),3)</f>
        <v/>
      </c>
      <c r="S138" s="20">
        <f>ROUND(S137+IF(AND(E138=16,F138&lt;&gt;"ASTM A416"),L138,0),3)</f>
        <v/>
      </c>
      <c r="T138" s="20">
        <f>ROUND(T137+IF(AND(E138=18,F138&lt;&gt;"ASTM A416"),L138,0),3)</f>
        <v/>
      </c>
      <c r="U138" s="20">
        <f>ROUND(U137+IF(AND(E138=20,F138&lt;&gt;"ASTM A416"),L138,0),3)</f>
        <v/>
      </c>
      <c r="V138" s="20">
        <f>ROUND(V137+IF(AND(E138=22,F138&lt;&gt;"ASTM A416"),L138,0),3)</f>
        <v/>
      </c>
      <c r="W138" s="20">
        <f>ROUND(W137+IF(AND(E138=25,F138&lt;&gt;"ASTM A416"),L138,0),3)</f>
        <v/>
      </c>
      <c r="X138" s="20">
        <f>ROUND(X137+IF(AND(E138=28,F138&lt;&gt;"ASTM A416"),L138,0),3)</f>
        <v/>
      </c>
      <c r="Y138" s="20">
        <f>ROUND(Y137+IF(AND(E138=32,F138&lt;&gt;"ASTM A416"),L138,0),3)</f>
        <v/>
      </c>
      <c r="Z138" s="20">
        <f>ROUND(Z137+IF(F138="ASTM A416",L138,0),3)</f>
        <v/>
      </c>
      <c r="AA138" s="11">
        <f>IF(ROUNDUP(P138/20,0)&gt;ROUNDUP(P137/20,0),"Lần " &amp; ROUNDUP(P138/20,0),"")</f>
        <v/>
      </c>
      <c r="AB138" s="11">
        <f>IF(ROUNDUP(Q138/20,0)&gt;ROUNDUP(Q137/20,0),"Lần " &amp; ROUNDUP(Q138/20,0),"")</f>
        <v/>
      </c>
      <c r="AC138" s="11">
        <f>IF(ROUNDUP(R138/20,0)&gt;ROUNDUP(R137/20,0),"Lần " &amp; ROUNDUP(R138/20,0),"")</f>
        <v/>
      </c>
      <c r="AD138" s="11">
        <f>IF(ROUNDUP(S138/20,0)&gt;ROUNDUP(S137/20,0),"Lần " &amp; ROUNDUP(S138/20,0),"")</f>
        <v/>
      </c>
      <c r="AE138" s="11">
        <f>IF(ROUNDUP(T138/20,0)&gt;ROUNDUP(T137/20,0),"Lần " &amp; ROUNDUP(T138/20,0),"")</f>
        <v/>
      </c>
      <c r="AF138" s="11">
        <f>IF(ROUNDUP(U138/20,0)&gt;ROUNDUP(U137/20,0),"Lần " &amp; ROUNDUP(U138/20,0),"")</f>
        <v/>
      </c>
      <c r="AG138" s="11">
        <f>IF(ROUNDUP(V138/20,0)&gt;ROUNDUP(V137/20,0),"Lần " &amp; ROUNDUP(V138/20,0),"")</f>
        <v/>
      </c>
      <c r="AH138" s="11">
        <f>IF(ROUNDUP(W138/20,0)&gt;ROUNDUP(W137/20,0),"Lần " &amp; ROUNDUP(W138/20,0),"")</f>
        <v/>
      </c>
      <c r="AI138" s="11">
        <f>IF(ROUNDUP(X138/20,0)&gt;ROUNDUP(X137/20,0),"Lần " &amp; ROUNDUP(X138/20,0),"")</f>
        <v/>
      </c>
      <c r="AJ138" s="11">
        <f>IF(ROUNDUP(Y138/20,0)&gt;ROUNDUP(Y137/20,0),"Lần " &amp; ROUNDUP(Y138/20,0),"")</f>
        <v/>
      </c>
      <c r="AK138" s="11">
        <f>IF(ROUNDUP(Z138/20,0)&gt;ROUNDUP(Z137/20,0),"Lần " &amp; ROUNDUP(Z138/20,0),"")</f>
        <v/>
      </c>
      <c r="AL138" s="6" t="n"/>
      <c r="AN138" t="inlineStr">
        <is>
          <t>Be</t>
        </is>
      </c>
      <c r="AO138" t="n">
        <v>37</v>
      </c>
    </row>
    <row r="139" ht="19" customHeight="1">
      <c r="A139" s="6" t="n">
        <v>134</v>
      </c>
      <c r="B139" s="7" t="inlineStr">
        <is>
          <t>Trụ T1, T2 (Bệ móng)</t>
        </is>
      </c>
      <c r="C139" s="7" t="inlineStr">
        <is>
          <t>Bệ trụ T2 (tr.55)</t>
        </is>
      </c>
      <c r="D139" s="18" t="inlineStr">
        <is>
          <t>B2</t>
        </is>
      </c>
      <c r="E139" s="19" t="n">
        <v>18</v>
      </c>
      <c r="F139" s="6" t="inlineStr">
        <is>
          <t>CB400-V</t>
        </is>
      </c>
      <c r="G139" s="7" t="inlineStr"/>
      <c r="H139" s="20" t="n">
        <v>12.606</v>
      </c>
      <c r="I139" s="21" t="n">
        <v>53</v>
      </c>
      <c r="J139" s="22" t="n">
        <v>1.998</v>
      </c>
      <c r="K139" s="9">
        <f>ROUND(H139*I139*J139, 2)</f>
        <v/>
      </c>
      <c r="L139" s="23">
        <f>ROUND(K139/1000, 3)</f>
        <v/>
      </c>
      <c r="M139" s="8">
        <f>IF(AO139="","",IF(INDEX(Theo_Doi_Tan_Suat_Be_Tong!$C:$C,AO139)="","",INDEX(Theo_Doi_Tan_Suat_Be_Tong!$C:$C,AO139)-VLOOKUP(AN139,$AQ$2:$AR$7,2,FALSE)))</f>
        <v/>
      </c>
      <c r="N139" s="6" t="n"/>
      <c r="O139" s="24">
        <f>IF(ROUNDUP(T139/20,0)&gt;ROUNDUP(T138/20,0),"TN Ø18 (Lần " &amp; ROUNDUP(T139/20,0) &amp; ")","")</f>
        <v/>
      </c>
      <c r="P139" s="20">
        <f>ROUND(P138+IF(AND(E139&lt;=10,F139&lt;&gt;"ASTM A416"),L139,0),3)</f>
        <v/>
      </c>
      <c r="Q139" s="20">
        <f>ROUND(Q138+IF(AND(E139=12,F139&lt;&gt;"ASTM A416"),L139,0),3)</f>
        <v/>
      </c>
      <c r="R139" s="20">
        <f>ROUND(R138+IF(AND(E139=14,F139&lt;&gt;"ASTM A416"),L139,0),3)</f>
        <v/>
      </c>
      <c r="S139" s="20">
        <f>ROUND(S138+IF(AND(E139=16,F139&lt;&gt;"ASTM A416"),L139,0),3)</f>
        <v/>
      </c>
      <c r="T139" s="20">
        <f>ROUND(T138+IF(AND(E139=18,F139&lt;&gt;"ASTM A416"),L139,0),3)</f>
        <v/>
      </c>
      <c r="U139" s="20">
        <f>ROUND(U138+IF(AND(E139=20,F139&lt;&gt;"ASTM A416"),L139,0),3)</f>
        <v/>
      </c>
      <c r="V139" s="20">
        <f>ROUND(V138+IF(AND(E139=22,F139&lt;&gt;"ASTM A416"),L139,0),3)</f>
        <v/>
      </c>
      <c r="W139" s="20">
        <f>ROUND(W138+IF(AND(E139=25,F139&lt;&gt;"ASTM A416"),L139,0),3)</f>
        <v/>
      </c>
      <c r="X139" s="20">
        <f>ROUND(X138+IF(AND(E139=28,F139&lt;&gt;"ASTM A416"),L139,0),3)</f>
        <v/>
      </c>
      <c r="Y139" s="20">
        <f>ROUND(Y138+IF(AND(E139=32,F139&lt;&gt;"ASTM A416"),L139,0),3)</f>
        <v/>
      </c>
      <c r="Z139" s="20">
        <f>ROUND(Z138+IF(F139="ASTM A416",L139,0),3)</f>
        <v/>
      </c>
      <c r="AA139" s="11">
        <f>IF(ROUNDUP(P139/20,0)&gt;ROUNDUP(P138/20,0),"Lần " &amp; ROUNDUP(P139/20,0),"")</f>
        <v/>
      </c>
      <c r="AB139" s="11">
        <f>IF(ROUNDUP(Q139/20,0)&gt;ROUNDUP(Q138/20,0),"Lần " &amp; ROUNDUP(Q139/20,0),"")</f>
        <v/>
      </c>
      <c r="AC139" s="11">
        <f>IF(ROUNDUP(R139/20,0)&gt;ROUNDUP(R138/20,0),"Lần " &amp; ROUNDUP(R139/20,0),"")</f>
        <v/>
      </c>
      <c r="AD139" s="11">
        <f>IF(ROUNDUP(S139/20,0)&gt;ROUNDUP(S138/20,0),"Lần " &amp; ROUNDUP(S139/20,0),"")</f>
        <v/>
      </c>
      <c r="AE139" s="11">
        <f>IF(ROUNDUP(T139/20,0)&gt;ROUNDUP(T138/20,0),"Lần " &amp; ROUNDUP(T139/20,0),"")</f>
        <v/>
      </c>
      <c r="AF139" s="11">
        <f>IF(ROUNDUP(U139/20,0)&gt;ROUNDUP(U138/20,0),"Lần " &amp; ROUNDUP(U139/20,0),"")</f>
        <v/>
      </c>
      <c r="AG139" s="11">
        <f>IF(ROUNDUP(V139/20,0)&gt;ROUNDUP(V138/20,0),"Lần " &amp; ROUNDUP(V139/20,0),"")</f>
        <v/>
      </c>
      <c r="AH139" s="11">
        <f>IF(ROUNDUP(W139/20,0)&gt;ROUNDUP(W138/20,0),"Lần " &amp; ROUNDUP(W139/20,0),"")</f>
        <v/>
      </c>
      <c r="AI139" s="11">
        <f>IF(ROUNDUP(X139/20,0)&gt;ROUNDUP(X138/20,0),"Lần " &amp; ROUNDUP(X139/20,0),"")</f>
        <v/>
      </c>
      <c r="AJ139" s="11">
        <f>IF(ROUNDUP(Y139/20,0)&gt;ROUNDUP(Y138/20,0),"Lần " &amp; ROUNDUP(Y139/20,0),"")</f>
        <v/>
      </c>
      <c r="AK139" s="11">
        <f>IF(ROUNDUP(Z139/20,0)&gt;ROUNDUP(Z138/20,0),"Lần " &amp; ROUNDUP(Z139/20,0),"")</f>
        <v/>
      </c>
      <c r="AL139" s="6" t="n"/>
      <c r="AN139" t="inlineStr">
        <is>
          <t>Be</t>
        </is>
      </c>
      <c r="AO139" t="n">
        <v>37</v>
      </c>
    </row>
    <row r="140" ht="19" customHeight="1">
      <c r="A140" s="6" t="n">
        <v>135</v>
      </c>
      <c r="B140" s="7" t="inlineStr">
        <is>
          <t>Trụ T1, T2 (Bệ móng)</t>
        </is>
      </c>
      <c r="C140" s="7" t="inlineStr">
        <is>
          <t>Bệ trụ T2 (tr.55)</t>
        </is>
      </c>
      <c r="D140" s="18" t="inlineStr">
        <is>
          <t>B3</t>
        </is>
      </c>
      <c r="E140" s="19" t="n">
        <v>32</v>
      </c>
      <c r="F140" s="6" t="inlineStr">
        <is>
          <t>CB400-V</t>
        </is>
      </c>
      <c r="G140" s="7" t="inlineStr"/>
      <c r="H140" s="20" t="n">
        <v>8.632</v>
      </c>
      <c r="I140" s="21" t="n">
        <v>116</v>
      </c>
      <c r="J140" s="22" t="n">
        <v>6.313</v>
      </c>
      <c r="K140" s="9">
        <f>ROUND(H140*I140*J140, 2)</f>
        <v/>
      </c>
      <c r="L140" s="23">
        <f>ROUND(K140/1000, 3)</f>
        <v/>
      </c>
      <c r="M140" s="8">
        <f>IF(AO140="","",IF(INDEX(Theo_Doi_Tan_Suat_Be_Tong!$C:$C,AO140)="","",INDEX(Theo_Doi_Tan_Suat_Be_Tong!$C:$C,AO140)-VLOOKUP(AN140,$AQ$2:$AR$7,2,FALSE)))</f>
        <v/>
      </c>
      <c r="N140" s="6" t="n"/>
      <c r="O140" s="24">
        <f>IF(ROUNDUP(Y140/20,0)&gt;ROUNDUP(Y139/20,0),"TN Ø32 (Lần " &amp; ROUNDUP(Y140/20,0) &amp; ")","")</f>
        <v/>
      </c>
      <c r="P140" s="20">
        <f>ROUND(P139+IF(AND(E140&lt;=10,F140&lt;&gt;"ASTM A416"),L140,0),3)</f>
        <v/>
      </c>
      <c r="Q140" s="20">
        <f>ROUND(Q139+IF(AND(E140=12,F140&lt;&gt;"ASTM A416"),L140,0),3)</f>
        <v/>
      </c>
      <c r="R140" s="20">
        <f>ROUND(R139+IF(AND(E140=14,F140&lt;&gt;"ASTM A416"),L140,0),3)</f>
        <v/>
      </c>
      <c r="S140" s="20">
        <f>ROUND(S139+IF(AND(E140=16,F140&lt;&gt;"ASTM A416"),L140,0),3)</f>
        <v/>
      </c>
      <c r="T140" s="20">
        <f>ROUND(T139+IF(AND(E140=18,F140&lt;&gt;"ASTM A416"),L140,0),3)</f>
        <v/>
      </c>
      <c r="U140" s="20">
        <f>ROUND(U139+IF(AND(E140=20,F140&lt;&gt;"ASTM A416"),L140,0),3)</f>
        <v/>
      </c>
      <c r="V140" s="20">
        <f>ROUND(V139+IF(AND(E140=22,F140&lt;&gt;"ASTM A416"),L140,0),3)</f>
        <v/>
      </c>
      <c r="W140" s="20">
        <f>ROUND(W139+IF(AND(E140=25,F140&lt;&gt;"ASTM A416"),L140,0),3)</f>
        <v/>
      </c>
      <c r="X140" s="20">
        <f>ROUND(X139+IF(AND(E140=28,F140&lt;&gt;"ASTM A416"),L140,0),3)</f>
        <v/>
      </c>
      <c r="Y140" s="20">
        <f>ROUND(Y139+IF(AND(E140=32,F140&lt;&gt;"ASTM A416"),L140,0),3)</f>
        <v/>
      </c>
      <c r="Z140" s="20">
        <f>ROUND(Z139+IF(F140="ASTM A416",L140,0),3)</f>
        <v/>
      </c>
      <c r="AA140" s="11">
        <f>IF(ROUNDUP(P140/20,0)&gt;ROUNDUP(P139/20,0),"Lần " &amp; ROUNDUP(P140/20,0),"")</f>
        <v/>
      </c>
      <c r="AB140" s="11">
        <f>IF(ROUNDUP(Q140/20,0)&gt;ROUNDUP(Q139/20,0),"Lần " &amp; ROUNDUP(Q140/20,0),"")</f>
        <v/>
      </c>
      <c r="AC140" s="11">
        <f>IF(ROUNDUP(R140/20,0)&gt;ROUNDUP(R139/20,0),"Lần " &amp; ROUNDUP(R140/20,0),"")</f>
        <v/>
      </c>
      <c r="AD140" s="11">
        <f>IF(ROUNDUP(S140/20,0)&gt;ROUNDUP(S139/20,0),"Lần " &amp; ROUNDUP(S140/20,0),"")</f>
        <v/>
      </c>
      <c r="AE140" s="11">
        <f>IF(ROUNDUP(T140/20,0)&gt;ROUNDUP(T139/20,0),"Lần " &amp; ROUNDUP(T140/20,0),"")</f>
        <v/>
      </c>
      <c r="AF140" s="11">
        <f>IF(ROUNDUP(U140/20,0)&gt;ROUNDUP(U139/20,0),"Lần " &amp; ROUNDUP(U140/20,0),"")</f>
        <v/>
      </c>
      <c r="AG140" s="11">
        <f>IF(ROUNDUP(V140/20,0)&gt;ROUNDUP(V139/20,0),"Lần " &amp; ROUNDUP(V140/20,0),"")</f>
        <v/>
      </c>
      <c r="AH140" s="11">
        <f>IF(ROUNDUP(W140/20,0)&gt;ROUNDUP(W139/20,0),"Lần " &amp; ROUNDUP(W140/20,0),"")</f>
        <v/>
      </c>
      <c r="AI140" s="11">
        <f>IF(ROUNDUP(X140/20,0)&gt;ROUNDUP(X139/20,0),"Lần " &amp; ROUNDUP(X140/20,0),"")</f>
        <v/>
      </c>
      <c r="AJ140" s="11">
        <f>IF(ROUNDUP(Y140/20,0)&gt;ROUNDUP(Y139/20,0),"Lần " &amp; ROUNDUP(Y140/20,0),"")</f>
        <v/>
      </c>
      <c r="AK140" s="11">
        <f>IF(ROUNDUP(Z140/20,0)&gt;ROUNDUP(Z139/20,0),"Lần " &amp; ROUNDUP(Z140/20,0),"")</f>
        <v/>
      </c>
      <c r="AL140" s="6" t="n"/>
      <c r="AN140" t="inlineStr">
        <is>
          <t>Be</t>
        </is>
      </c>
      <c r="AO140" t="n">
        <v>37</v>
      </c>
    </row>
    <row r="141" ht="19" customHeight="1">
      <c r="A141" s="6" t="n">
        <v>136</v>
      </c>
      <c r="B141" s="7" t="inlineStr">
        <is>
          <t>Trụ T1, T2 (Bệ móng)</t>
        </is>
      </c>
      <c r="C141" s="7" t="inlineStr">
        <is>
          <t>Bệ trụ T2 (tr.55)</t>
        </is>
      </c>
      <c r="D141" s="18" t="inlineStr">
        <is>
          <t>B4</t>
        </is>
      </c>
      <c r="E141" s="19" t="n">
        <v>18</v>
      </c>
      <c r="F141" s="6" t="inlineStr">
        <is>
          <t>CB400-V</t>
        </is>
      </c>
      <c r="G141" s="7" t="inlineStr"/>
      <c r="H141" s="20" t="n">
        <v>8.286</v>
      </c>
      <c r="I141" s="21" t="n">
        <v>77</v>
      </c>
      <c r="J141" s="22" t="n">
        <v>1.998</v>
      </c>
      <c r="K141" s="9">
        <f>ROUND(H141*I141*J141, 2)</f>
        <v/>
      </c>
      <c r="L141" s="23">
        <f>ROUND(K141/1000, 3)</f>
        <v/>
      </c>
      <c r="M141" s="8">
        <f>IF(AO141="","",IF(INDEX(Theo_Doi_Tan_Suat_Be_Tong!$C:$C,AO141)="","",INDEX(Theo_Doi_Tan_Suat_Be_Tong!$C:$C,AO141)-VLOOKUP(AN141,$AQ$2:$AR$7,2,FALSE)))</f>
        <v/>
      </c>
      <c r="N141" s="6" t="n"/>
      <c r="O141" s="24">
        <f>IF(ROUNDUP(T141/20,0)&gt;ROUNDUP(T140/20,0),"TN Ø18 (Lần " &amp; ROUNDUP(T141/20,0) &amp; ")","")</f>
        <v/>
      </c>
      <c r="P141" s="20">
        <f>ROUND(P140+IF(AND(E141&lt;=10,F141&lt;&gt;"ASTM A416"),L141,0),3)</f>
        <v/>
      </c>
      <c r="Q141" s="20">
        <f>ROUND(Q140+IF(AND(E141=12,F141&lt;&gt;"ASTM A416"),L141,0),3)</f>
        <v/>
      </c>
      <c r="R141" s="20">
        <f>ROUND(R140+IF(AND(E141=14,F141&lt;&gt;"ASTM A416"),L141,0),3)</f>
        <v/>
      </c>
      <c r="S141" s="20">
        <f>ROUND(S140+IF(AND(E141=16,F141&lt;&gt;"ASTM A416"),L141,0),3)</f>
        <v/>
      </c>
      <c r="T141" s="20">
        <f>ROUND(T140+IF(AND(E141=18,F141&lt;&gt;"ASTM A416"),L141,0),3)</f>
        <v/>
      </c>
      <c r="U141" s="20">
        <f>ROUND(U140+IF(AND(E141=20,F141&lt;&gt;"ASTM A416"),L141,0),3)</f>
        <v/>
      </c>
      <c r="V141" s="20">
        <f>ROUND(V140+IF(AND(E141=22,F141&lt;&gt;"ASTM A416"),L141,0),3)</f>
        <v/>
      </c>
      <c r="W141" s="20">
        <f>ROUND(W140+IF(AND(E141=25,F141&lt;&gt;"ASTM A416"),L141,0),3)</f>
        <v/>
      </c>
      <c r="X141" s="20">
        <f>ROUND(X140+IF(AND(E141=28,F141&lt;&gt;"ASTM A416"),L141,0),3)</f>
        <v/>
      </c>
      <c r="Y141" s="20">
        <f>ROUND(Y140+IF(AND(E141=32,F141&lt;&gt;"ASTM A416"),L141,0),3)</f>
        <v/>
      </c>
      <c r="Z141" s="20">
        <f>ROUND(Z140+IF(F141="ASTM A416",L141,0),3)</f>
        <v/>
      </c>
      <c r="AA141" s="11">
        <f>IF(ROUNDUP(P141/20,0)&gt;ROUNDUP(P140/20,0),"Lần " &amp; ROUNDUP(P141/20,0),"")</f>
        <v/>
      </c>
      <c r="AB141" s="11">
        <f>IF(ROUNDUP(Q141/20,0)&gt;ROUNDUP(Q140/20,0),"Lần " &amp; ROUNDUP(Q141/20,0),"")</f>
        <v/>
      </c>
      <c r="AC141" s="11">
        <f>IF(ROUNDUP(R141/20,0)&gt;ROUNDUP(R140/20,0),"Lần " &amp; ROUNDUP(R141/20,0),"")</f>
        <v/>
      </c>
      <c r="AD141" s="11">
        <f>IF(ROUNDUP(S141/20,0)&gt;ROUNDUP(S140/20,0),"Lần " &amp; ROUNDUP(S141/20,0),"")</f>
        <v/>
      </c>
      <c r="AE141" s="11">
        <f>IF(ROUNDUP(T141/20,0)&gt;ROUNDUP(T140/20,0),"Lần " &amp; ROUNDUP(T141/20,0),"")</f>
        <v/>
      </c>
      <c r="AF141" s="11">
        <f>IF(ROUNDUP(U141/20,0)&gt;ROUNDUP(U140/20,0),"Lần " &amp; ROUNDUP(U141/20,0),"")</f>
        <v/>
      </c>
      <c r="AG141" s="11">
        <f>IF(ROUNDUP(V141/20,0)&gt;ROUNDUP(V140/20,0),"Lần " &amp; ROUNDUP(V141/20,0),"")</f>
        <v/>
      </c>
      <c r="AH141" s="11">
        <f>IF(ROUNDUP(W141/20,0)&gt;ROUNDUP(W140/20,0),"Lần " &amp; ROUNDUP(W141/20,0),"")</f>
        <v/>
      </c>
      <c r="AI141" s="11">
        <f>IF(ROUNDUP(X141/20,0)&gt;ROUNDUP(X140/20,0),"Lần " &amp; ROUNDUP(X141/20,0),"")</f>
        <v/>
      </c>
      <c r="AJ141" s="11">
        <f>IF(ROUNDUP(Y141/20,0)&gt;ROUNDUP(Y140/20,0),"Lần " &amp; ROUNDUP(Y141/20,0),"")</f>
        <v/>
      </c>
      <c r="AK141" s="11">
        <f>IF(ROUNDUP(Z141/20,0)&gt;ROUNDUP(Z140/20,0),"Lần " &amp; ROUNDUP(Z141/20,0),"")</f>
        <v/>
      </c>
      <c r="AL141" s="6" t="n"/>
      <c r="AN141" t="inlineStr">
        <is>
          <t>Be</t>
        </is>
      </c>
      <c r="AO141" t="n">
        <v>37</v>
      </c>
    </row>
    <row r="142" ht="19" customHeight="1">
      <c r="A142" s="6" t="n">
        <v>137</v>
      </c>
      <c r="B142" s="7" t="inlineStr">
        <is>
          <t>Trụ T1, T2 (Bệ móng)</t>
        </is>
      </c>
      <c r="C142" s="7" t="inlineStr">
        <is>
          <t>Bệ trụ T2 (tr.55)</t>
        </is>
      </c>
      <c r="D142" s="18" t="inlineStr">
        <is>
          <t>B5</t>
        </is>
      </c>
      <c r="E142" s="19" t="n">
        <v>16</v>
      </c>
      <c r="F142" s="6" t="inlineStr">
        <is>
          <t>CB400-V</t>
        </is>
      </c>
      <c r="G142" s="7" t="inlineStr">
        <is>
          <t>S06</t>
        </is>
      </c>
      <c r="H142" s="20" t="n">
        <v>1.99</v>
      </c>
      <c r="I142" s="21" t="n">
        <v>338</v>
      </c>
      <c r="J142" s="22" t="n">
        <v>1.578</v>
      </c>
      <c r="K142" s="9">
        <f>ROUND(H142*I142*J142, 2)</f>
        <v/>
      </c>
      <c r="L142" s="23">
        <f>ROUND(K142/1000, 3)</f>
        <v/>
      </c>
      <c r="M142" s="8">
        <f>IF(AO142="","",IF(INDEX(Theo_Doi_Tan_Suat_Be_Tong!$C:$C,AO142)="","",INDEX(Theo_Doi_Tan_Suat_Be_Tong!$C:$C,AO142)-VLOOKUP(AN142,$AQ$2:$AR$7,2,FALSE)))</f>
        <v/>
      </c>
      <c r="N142" s="6" t="n"/>
      <c r="O142" s="24">
        <f>IF(ROUNDUP(S142/20,0)&gt;ROUNDUP(S141/20,0),"TN Ø16 (Lần " &amp; ROUNDUP(S142/20,0) &amp; ")","")</f>
        <v/>
      </c>
      <c r="P142" s="20">
        <f>ROUND(P141+IF(AND(E142&lt;=10,F142&lt;&gt;"ASTM A416"),L142,0),3)</f>
        <v/>
      </c>
      <c r="Q142" s="20">
        <f>ROUND(Q141+IF(AND(E142=12,F142&lt;&gt;"ASTM A416"),L142,0),3)</f>
        <v/>
      </c>
      <c r="R142" s="20">
        <f>ROUND(R141+IF(AND(E142=14,F142&lt;&gt;"ASTM A416"),L142,0),3)</f>
        <v/>
      </c>
      <c r="S142" s="20">
        <f>ROUND(S141+IF(AND(E142=16,F142&lt;&gt;"ASTM A416"),L142,0),3)</f>
        <v/>
      </c>
      <c r="T142" s="20">
        <f>ROUND(T141+IF(AND(E142=18,F142&lt;&gt;"ASTM A416"),L142,0),3)</f>
        <v/>
      </c>
      <c r="U142" s="20">
        <f>ROUND(U141+IF(AND(E142=20,F142&lt;&gt;"ASTM A416"),L142,0),3)</f>
        <v/>
      </c>
      <c r="V142" s="20">
        <f>ROUND(V141+IF(AND(E142=22,F142&lt;&gt;"ASTM A416"),L142,0),3)</f>
        <v/>
      </c>
      <c r="W142" s="20">
        <f>ROUND(W141+IF(AND(E142=25,F142&lt;&gt;"ASTM A416"),L142,0),3)</f>
        <v/>
      </c>
      <c r="X142" s="20">
        <f>ROUND(X141+IF(AND(E142=28,F142&lt;&gt;"ASTM A416"),L142,0),3)</f>
        <v/>
      </c>
      <c r="Y142" s="20">
        <f>ROUND(Y141+IF(AND(E142=32,F142&lt;&gt;"ASTM A416"),L142,0),3)</f>
        <v/>
      </c>
      <c r="Z142" s="20">
        <f>ROUND(Z141+IF(F142="ASTM A416",L142,0),3)</f>
        <v/>
      </c>
      <c r="AA142" s="11">
        <f>IF(ROUNDUP(P142/20,0)&gt;ROUNDUP(P141/20,0),"Lần " &amp; ROUNDUP(P142/20,0),"")</f>
        <v/>
      </c>
      <c r="AB142" s="11">
        <f>IF(ROUNDUP(Q142/20,0)&gt;ROUNDUP(Q141/20,0),"Lần " &amp; ROUNDUP(Q142/20,0),"")</f>
        <v/>
      </c>
      <c r="AC142" s="11">
        <f>IF(ROUNDUP(R142/20,0)&gt;ROUNDUP(R141/20,0),"Lần " &amp; ROUNDUP(R142/20,0),"")</f>
        <v/>
      </c>
      <c r="AD142" s="11">
        <f>IF(ROUNDUP(S142/20,0)&gt;ROUNDUP(S141/20,0),"Lần " &amp; ROUNDUP(S142/20,0),"")</f>
        <v/>
      </c>
      <c r="AE142" s="11">
        <f>IF(ROUNDUP(T142/20,0)&gt;ROUNDUP(T141/20,0),"Lần " &amp; ROUNDUP(T142/20,0),"")</f>
        <v/>
      </c>
      <c r="AF142" s="11">
        <f>IF(ROUNDUP(U142/20,0)&gt;ROUNDUP(U141/20,0),"Lần " &amp; ROUNDUP(U142/20,0),"")</f>
        <v/>
      </c>
      <c r="AG142" s="11">
        <f>IF(ROUNDUP(V142/20,0)&gt;ROUNDUP(V141/20,0),"Lần " &amp; ROUNDUP(V142/20,0),"")</f>
        <v/>
      </c>
      <c r="AH142" s="11">
        <f>IF(ROUNDUP(W142/20,0)&gt;ROUNDUP(W141/20,0),"Lần " &amp; ROUNDUP(W142/20,0),"")</f>
        <v/>
      </c>
      <c r="AI142" s="11">
        <f>IF(ROUNDUP(X142/20,0)&gt;ROUNDUP(X141/20,0),"Lần " &amp; ROUNDUP(X142/20,0),"")</f>
        <v/>
      </c>
      <c r="AJ142" s="11">
        <f>IF(ROUNDUP(Y142/20,0)&gt;ROUNDUP(Y141/20,0),"Lần " &amp; ROUNDUP(Y142/20,0),"")</f>
        <v/>
      </c>
      <c r="AK142" s="11">
        <f>IF(ROUNDUP(Z142/20,0)&gt;ROUNDUP(Z141/20,0),"Lần " &amp; ROUNDUP(Z142/20,0),"")</f>
        <v/>
      </c>
      <c r="AL142" s="6" t="n"/>
      <c r="AN142" t="inlineStr">
        <is>
          <t>Be</t>
        </is>
      </c>
      <c r="AO142" t="n">
        <v>37</v>
      </c>
    </row>
    <row r="143" ht="19" customHeight="1">
      <c r="A143" s="6" t="n">
        <v>138</v>
      </c>
      <c r="B143" s="7" t="inlineStr">
        <is>
          <t>Trụ T1, T2 (Bệ móng)</t>
        </is>
      </c>
      <c r="C143" s="7" t="inlineStr">
        <is>
          <t>Bệ trụ T2 (tr.55)</t>
        </is>
      </c>
      <c r="D143" s="18" t="inlineStr">
        <is>
          <t>B6</t>
        </is>
      </c>
      <c r="E143" s="19" t="n">
        <v>16</v>
      </c>
      <c r="F143" s="6" t="inlineStr">
        <is>
          <t>CB400-V</t>
        </is>
      </c>
      <c r="G143" s="7" t="inlineStr"/>
      <c r="H143" s="20" t="n">
        <v>7.8</v>
      </c>
      <c r="I143" s="21" t="n">
        <v>20</v>
      </c>
      <c r="J143" s="22" t="n">
        <v>1.578</v>
      </c>
      <c r="K143" s="9">
        <f>ROUND(H143*I143*J143, 2)</f>
        <v/>
      </c>
      <c r="L143" s="23">
        <f>ROUND(K143/1000, 3)</f>
        <v/>
      </c>
      <c r="M143" s="8">
        <f>IF(AO143="","",IF(INDEX(Theo_Doi_Tan_Suat_Be_Tong!$C:$C,AO143)="","",INDEX(Theo_Doi_Tan_Suat_Be_Tong!$C:$C,AO143)-VLOOKUP(AN143,$AQ$2:$AR$7,2,FALSE)))</f>
        <v/>
      </c>
      <c r="N143" s="6" t="n"/>
      <c r="O143" s="24">
        <f>IF(ROUNDUP(S143/20,0)&gt;ROUNDUP(S142/20,0),"TN Ø16 (Lần " &amp; ROUNDUP(S143/20,0) &amp; ")","")</f>
        <v/>
      </c>
      <c r="P143" s="20">
        <f>ROUND(P142+IF(AND(E143&lt;=10,F143&lt;&gt;"ASTM A416"),L143,0),3)</f>
        <v/>
      </c>
      <c r="Q143" s="20">
        <f>ROUND(Q142+IF(AND(E143=12,F143&lt;&gt;"ASTM A416"),L143,0),3)</f>
        <v/>
      </c>
      <c r="R143" s="20">
        <f>ROUND(R142+IF(AND(E143=14,F143&lt;&gt;"ASTM A416"),L143,0),3)</f>
        <v/>
      </c>
      <c r="S143" s="20">
        <f>ROUND(S142+IF(AND(E143=16,F143&lt;&gt;"ASTM A416"),L143,0),3)</f>
        <v/>
      </c>
      <c r="T143" s="20">
        <f>ROUND(T142+IF(AND(E143=18,F143&lt;&gt;"ASTM A416"),L143,0),3)</f>
        <v/>
      </c>
      <c r="U143" s="20">
        <f>ROUND(U142+IF(AND(E143=20,F143&lt;&gt;"ASTM A416"),L143,0),3)</f>
        <v/>
      </c>
      <c r="V143" s="20">
        <f>ROUND(V142+IF(AND(E143=22,F143&lt;&gt;"ASTM A416"),L143,0),3)</f>
        <v/>
      </c>
      <c r="W143" s="20">
        <f>ROUND(W142+IF(AND(E143=25,F143&lt;&gt;"ASTM A416"),L143,0),3)</f>
        <v/>
      </c>
      <c r="X143" s="20">
        <f>ROUND(X142+IF(AND(E143=28,F143&lt;&gt;"ASTM A416"),L143,0),3)</f>
        <v/>
      </c>
      <c r="Y143" s="20">
        <f>ROUND(Y142+IF(AND(E143=32,F143&lt;&gt;"ASTM A416"),L143,0),3)</f>
        <v/>
      </c>
      <c r="Z143" s="20">
        <f>ROUND(Z142+IF(F143="ASTM A416",L143,0),3)</f>
        <v/>
      </c>
      <c r="AA143" s="11">
        <f>IF(ROUNDUP(P143/20,0)&gt;ROUNDUP(P142/20,0),"Lần " &amp; ROUNDUP(P143/20,0),"")</f>
        <v/>
      </c>
      <c r="AB143" s="11">
        <f>IF(ROUNDUP(Q143/20,0)&gt;ROUNDUP(Q142/20,0),"Lần " &amp; ROUNDUP(Q143/20,0),"")</f>
        <v/>
      </c>
      <c r="AC143" s="11">
        <f>IF(ROUNDUP(R143/20,0)&gt;ROUNDUP(R142/20,0),"Lần " &amp; ROUNDUP(R143/20,0),"")</f>
        <v/>
      </c>
      <c r="AD143" s="11">
        <f>IF(ROUNDUP(S143/20,0)&gt;ROUNDUP(S142/20,0),"Lần " &amp; ROUNDUP(S143/20,0),"")</f>
        <v/>
      </c>
      <c r="AE143" s="11">
        <f>IF(ROUNDUP(T143/20,0)&gt;ROUNDUP(T142/20,0),"Lần " &amp; ROUNDUP(T143/20,0),"")</f>
        <v/>
      </c>
      <c r="AF143" s="11">
        <f>IF(ROUNDUP(U143/20,0)&gt;ROUNDUP(U142/20,0),"Lần " &amp; ROUNDUP(U143/20,0),"")</f>
        <v/>
      </c>
      <c r="AG143" s="11">
        <f>IF(ROUNDUP(V143/20,0)&gt;ROUNDUP(V142/20,0),"Lần " &amp; ROUNDUP(V143/20,0),"")</f>
        <v/>
      </c>
      <c r="AH143" s="11">
        <f>IF(ROUNDUP(W143/20,0)&gt;ROUNDUP(W142/20,0),"Lần " &amp; ROUNDUP(W143/20,0),"")</f>
        <v/>
      </c>
      <c r="AI143" s="11">
        <f>IF(ROUNDUP(X143/20,0)&gt;ROUNDUP(X142/20,0),"Lần " &amp; ROUNDUP(X143/20,0),"")</f>
        <v/>
      </c>
      <c r="AJ143" s="11">
        <f>IF(ROUNDUP(Y143/20,0)&gt;ROUNDUP(Y142/20,0),"Lần " &amp; ROUNDUP(Y143/20,0),"")</f>
        <v/>
      </c>
      <c r="AK143" s="11">
        <f>IF(ROUNDUP(Z143/20,0)&gt;ROUNDUP(Z142/20,0),"Lần " &amp; ROUNDUP(Z143/20,0),"")</f>
        <v/>
      </c>
      <c r="AL143" s="6" t="n"/>
      <c r="AN143" t="inlineStr">
        <is>
          <t>Be</t>
        </is>
      </c>
      <c r="AO143" t="n">
        <v>37</v>
      </c>
    </row>
    <row r="144" ht="19" customHeight="1">
      <c r="A144" s="6" t="n">
        <v>139</v>
      </c>
      <c r="B144" s="7" t="inlineStr">
        <is>
          <t>Trụ T1, T2 (Bệ móng)</t>
        </is>
      </c>
      <c r="C144" s="7" t="inlineStr">
        <is>
          <t>Bệ trụ T2 (tr.55)</t>
        </is>
      </c>
      <c r="D144" s="18" t="inlineStr">
        <is>
          <t>B7</t>
        </is>
      </c>
      <c r="E144" s="19" t="n">
        <v>16</v>
      </c>
      <c r="F144" s="6" t="inlineStr">
        <is>
          <t>CB400-V</t>
        </is>
      </c>
      <c r="G144" s="7" t="inlineStr"/>
      <c r="H144" s="20" t="n">
        <v>11.4</v>
      </c>
      <c r="I144" s="21" t="n">
        <v>20</v>
      </c>
      <c r="J144" s="22" t="n">
        <v>1.578</v>
      </c>
      <c r="K144" s="9">
        <f>ROUND(H144*I144*J144, 2)</f>
        <v/>
      </c>
      <c r="L144" s="23">
        <f>ROUND(K144/1000, 3)</f>
        <v/>
      </c>
      <c r="M144" s="8">
        <f>IF(AO144="","",IF(INDEX(Theo_Doi_Tan_Suat_Be_Tong!$C:$C,AO144)="","",INDEX(Theo_Doi_Tan_Suat_Be_Tong!$C:$C,AO144)-VLOOKUP(AN144,$AQ$2:$AR$7,2,FALSE)))</f>
        <v/>
      </c>
      <c r="N144" s="6" t="n"/>
      <c r="O144" s="24">
        <f>IF(ROUNDUP(S144/20,0)&gt;ROUNDUP(S143/20,0),"TN Ø16 (Lần " &amp; ROUNDUP(S144/20,0) &amp; ")","")</f>
        <v/>
      </c>
      <c r="P144" s="20">
        <f>ROUND(P143+IF(AND(E144&lt;=10,F144&lt;&gt;"ASTM A416"),L144,0),3)</f>
        <v/>
      </c>
      <c r="Q144" s="20">
        <f>ROUND(Q143+IF(AND(E144=12,F144&lt;&gt;"ASTM A416"),L144,0),3)</f>
        <v/>
      </c>
      <c r="R144" s="20">
        <f>ROUND(R143+IF(AND(E144=14,F144&lt;&gt;"ASTM A416"),L144,0),3)</f>
        <v/>
      </c>
      <c r="S144" s="20">
        <f>ROUND(S143+IF(AND(E144=16,F144&lt;&gt;"ASTM A416"),L144,0),3)</f>
        <v/>
      </c>
      <c r="T144" s="20">
        <f>ROUND(T143+IF(AND(E144=18,F144&lt;&gt;"ASTM A416"),L144,0),3)</f>
        <v/>
      </c>
      <c r="U144" s="20">
        <f>ROUND(U143+IF(AND(E144=20,F144&lt;&gt;"ASTM A416"),L144,0),3)</f>
        <v/>
      </c>
      <c r="V144" s="20">
        <f>ROUND(V143+IF(AND(E144=22,F144&lt;&gt;"ASTM A416"),L144,0),3)</f>
        <v/>
      </c>
      <c r="W144" s="20">
        <f>ROUND(W143+IF(AND(E144=25,F144&lt;&gt;"ASTM A416"),L144,0),3)</f>
        <v/>
      </c>
      <c r="X144" s="20">
        <f>ROUND(X143+IF(AND(E144=28,F144&lt;&gt;"ASTM A416"),L144,0),3)</f>
        <v/>
      </c>
      <c r="Y144" s="20">
        <f>ROUND(Y143+IF(AND(E144=32,F144&lt;&gt;"ASTM A416"),L144,0),3)</f>
        <v/>
      </c>
      <c r="Z144" s="20">
        <f>ROUND(Z143+IF(F144="ASTM A416",L144,0),3)</f>
        <v/>
      </c>
      <c r="AA144" s="11">
        <f>IF(ROUNDUP(P144/20,0)&gt;ROUNDUP(P143/20,0),"Lần " &amp; ROUNDUP(P144/20,0),"")</f>
        <v/>
      </c>
      <c r="AB144" s="11">
        <f>IF(ROUNDUP(Q144/20,0)&gt;ROUNDUP(Q143/20,0),"Lần " &amp; ROUNDUP(Q144/20,0),"")</f>
        <v/>
      </c>
      <c r="AC144" s="11">
        <f>IF(ROUNDUP(R144/20,0)&gt;ROUNDUP(R143/20,0),"Lần " &amp; ROUNDUP(R144/20,0),"")</f>
        <v/>
      </c>
      <c r="AD144" s="11">
        <f>IF(ROUNDUP(S144/20,0)&gt;ROUNDUP(S143/20,0),"Lần " &amp; ROUNDUP(S144/20,0),"")</f>
        <v/>
      </c>
      <c r="AE144" s="11">
        <f>IF(ROUNDUP(T144/20,0)&gt;ROUNDUP(T143/20,0),"Lần " &amp; ROUNDUP(T144/20,0),"")</f>
        <v/>
      </c>
      <c r="AF144" s="11">
        <f>IF(ROUNDUP(U144/20,0)&gt;ROUNDUP(U143/20,0),"Lần " &amp; ROUNDUP(U144/20,0),"")</f>
        <v/>
      </c>
      <c r="AG144" s="11">
        <f>IF(ROUNDUP(V144/20,0)&gt;ROUNDUP(V143/20,0),"Lần " &amp; ROUNDUP(V144/20,0),"")</f>
        <v/>
      </c>
      <c r="AH144" s="11">
        <f>IF(ROUNDUP(W144/20,0)&gt;ROUNDUP(W143/20,0),"Lần " &amp; ROUNDUP(W144/20,0),"")</f>
        <v/>
      </c>
      <c r="AI144" s="11">
        <f>IF(ROUNDUP(X144/20,0)&gt;ROUNDUP(X143/20,0),"Lần " &amp; ROUNDUP(X144/20,0),"")</f>
        <v/>
      </c>
      <c r="AJ144" s="11">
        <f>IF(ROUNDUP(Y144/20,0)&gt;ROUNDUP(Y143/20,0),"Lần " &amp; ROUNDUP(Y144/20,0),"")</f>
        <v/>
      </c>
      <c r="AK144" s="11">
        <f>IF(ROUNDUP(Z144/20,0)&gt;ROUNDUP(Z143/20,0),"Lần " &amp; ROUNDUP(Z144/20,0),"")</f>
        <v/>
      </c>
      <c r="AL144" s="6" t="n"/>
      <c r="AN144" t="inlineStr">
        <is>
          <t>Be</t>
        </is>
      </c>
      <c r="AO144" t="n">
        <v>37</v>
      </c>
    </row>
    <row r="145" ht="20" customHeight="1">
      <c r="A145" s="6" t="n">
        <v>140</v>
      </c>
      <c r="B145" s="7" t="inlineStr">
        <is>
          <t>Trụ T1, T2 (Bệ móng)</t>
        </is>
      </c>
      <c r="C145" s="7" t="inlineStr">
        <is>
          <t>Bệ trụ T2 (tr.55)</t>
        </is>
      </c>
      <c r="D145" s="18" t="inlineStr">
        <is>
          <t>B8</t>
        </is>
      </c>
      <c r="E145" s="19" t="n">
        <v>16</v>
      </c>
      <c r="F145" s="6" t="inlineStr">
        <is>
          <t>CB400-V</t>
        </is>
      </c>
      <c r="G145" s="7" t="inlineStr">
        <is>
          <t>S06</t>
        </is>
      </c>
      <c r="H145" s="20" t="n">
        <v>1.926</v>
      </c>
      <c r="I145" s="21" t="n">
        <v>348</v>
      </c>
      <c r="J145" s="22" t="n">
        <v>1.578</v>
      </c>
      <c r="K145" s="9">
        <f>ROUND(H145*I145*J145, 2)</f>
        <v/>
      </c>
      <c r="L145" s="23">
        <f>ROUND(K145/1000, 3)</f>
        <v/>
      </c>
      <c r="M145" s="8">
        <f>IF(AO145="","",IF(INDEX(Theo_Doi_Tan_Suat_Be_Tong!$C:$C,AO145)="","",INDEX(Theo_Doi_Tan_Suat_Be_Tong!$C:$C,AO145)-VLOOKUP(AN145,$AQ$2:$AR$7,2,FALSE)))</f>
        <v/>
      </c>
      <c r="N145" s="6" t="n"/>
      <c r="O145" s="24">
        <f>IF(ROUNDUP(S145/20,0)&gt;ROUNDUP(S144/20,0),"TN Ø16 (Lần " &amp; ROUNDUP(S145/20,0) &amp; ")","")</f>
        <v/>
      </c>
      <c r="P145" s="20">
        <f>ROUND(P144+IF(AND(E145&lt;=10,F145&lt;&gt;"ASTM A416"),L145,0),3)</f>
        <v/>
      </c>
      <c r="Q145" s="20">
        <f>ROUND(Q144+IF(AND(E145=12,F145&lt;&gt;"ASTM A416"),L145,0),3)</f>
        <v/>
      </c>
      <c r="R145" s="20">
        <f>ROUND(R144+IF(AND(E145=14,F145&lt;&gt;"ASTM A416"),L145,0),3)</f>
        <v/>
      </c>
      <c r="S145" s="20">
        <f>ROUND(S144+IF(AND(E145=16,F145&lt;&gt;"ASTM A416"),L145,0),3)</f>
        <v/>
      </c>
      <c r="T145" s="20">
        <f>ROUND(T144+IF(AND(E145=18,F145&lt;&gt;"ASTM A416"),L145,0),3)</f>
        <v/>
      </c>
      <c r="U145" s="20">
        <f>ROUND(U144+IF(AND(E145=20,F145&lt;&gt;"ASTM A416"),L145,0),3)</f>
        <v/>
      </c>
      <c r="V145" s="20">
        <f>ROUND(V144+IF(AND(E145=22,F145&lt;&gt;"ASTM A416"),L145,0),3)</f>
        <v/>
      </c>
      <c r="W145" s="20">
        <f>ROUND(W144+IF(AND(E145=25,F145&lt;&gt;"ASTM A416"),L145,0),3)</f>
        <v/>
      </c>
      <c r="X145" s="20">
        <f>ROUND(X144+IF(AND(E145=28,F145&lt;&gt;"ASTM A416"),L145,0),3)</f>
        <v/>
      </c>
      <c r="Y145" s="20">
        <f>ROUND(Y144+IF(AND(E145=32,F145&lt;&gt;"ASTM A416"),L145,0),3)</f>
        <v/>
      </c>
      <c r="Z145" s="20">
        <f>ROUND(Z144+IF(F145="ASTM A416",L145,0),3)</f>
        <v/>
      </c>
      <c r="AA145" s="11">
        <f>IF(ROUNDUP(P145/20,0)&gt;ROUNDUP(P144/20,0),"Lần " &amp; ROUNDUP(P145/20,0),"")</f>
        <v/>
      </c>
      <c r="AB145" s="11">
        <f>IF(ROUNDUP(Q145/20,0)&gt;ROUNDUP(Q144/20,0),"Lần " &amp; ROUNDUP(Q145/20,0),"")</f>
        <v/>
      </c>
      <c r="AC145" s="11">
        <f>IF(ROUNDUP(R145/20,0)&gt;ROUNDUP(R144/20,0),"Lần " &amp; ROUNDUP(R145/20,0),"")</f>
        <v/>
      </c>
      <c r="AD145" s="11">
        <f>IF(ROUNDUP(S145/20,0)&gt;ROUNDUP(S144/20,0),"Lần " &amp; ROUNDUP(S145/20,0),"")</f>
        <v/>
      </c>
      <c r="AE145" s="11">
        <f>IF(ROUNDUP(T145/20,0)&gt;ROUNDUP(T144/20,0),"Lần " &amp; ROUNDUP(T145/20,0),"")</f>
        <v/>
      </c>
      <c r="AF145" s="11">
        <f>IF(ROUNDUP(U145/20,0)&gt;ROUNDUP(U144/20,0),"Lần " &amp; ROUNDUP(U145/20,0),"")</f>
        <v/>
      </c>
      <c r="AG145" s="11">
        <f>IF(ROUNDUP(V145/20,0)&gt;ROUNDUP(V144/20,0),"Lần " &amp; ROUNDUP(V145/20,0),"")</f>
        <v/>
      </c>
      <c r="AH145" s="11">
        <f>IF(ROUNDUP(W145/20,0)&gt;ROUNDUP(W144/20,0),"Lần " &amp; ROUNDUP(W145/20,0),"")</f>
        <v/>
      </c>
      <c r="AI145" s="11">
        <f>IF(ROUNDUP(X145/20,0)&gt;ROUNDUP(X144/20,0),"Lần " &amp; ROUNDUP(X145/20,0),"")</f>
        <v/>
      </c>
      <c r="AJ145" s="11">
        <f>IF(ROUNDUP(Y145/20,0)&gt;ROUNDUP(Y144/20,0),"Lần " &amp; ROUNDUP(Y145/20,0),"")</f>
        <v/>
      </c>
      <c r="AK145" s="11">
        <f>IF(ROUNDUP(Z145/20,0)&gt;ROUNDUP(Z144/20,0),"Lần " &amp; ROUNDUP(Z145/20,0),"")</f>
        <v/>
      </c>
      <c r="AL145" s="6" t="n"/>
      <c r="AN145" t="inlineStr">
        <is>
          <t>Be</t>
        </is>
      </c>
      <c r="AO145" t="n">
        <v>37</v>
      </c>
    </row>
    <row r="146" ht="19" customHeight="1">
      <c r="A146" s="17" t="inlineStr">
        <is>
          <t>--- TRỤ T1 (THÂN TRỤ) ---</t>
        </is>
      </c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 t="n"/>
      <c r="AF146" s="35" t="n"/>
      <c r="AG146" s="35" t="n"/>
      <c r="AH146" s="35" t="n"/>
      <c r="AI146" s="35" t="n"/>
      <c r="AJ146" s="35" t="n"/>
      <c r="AK146" s="35" t="n"/>
      <c r="AL146" s="34" t="n"/>
    </row>
    <row r="147" ht="19" customHeight="1">
      <c r="A147" s="6" t="n">
        <v>141</v>
      </c>
      <c r="B147" s="7" t="inlineStr">
        <is>
          <t>Trụ T1 (Thân trụ)</t>
        </is>
      </c>
      <c r="C147" s="7" t="inlineStr">
        <is>
          <t>th©n trô ®o¹n 1</t>
        </is>
      </c>
      <c r="D147" s="18" t="inlineStr">
        <is>
          <t>T1a</t>
        </is>
      </c>
      <c r="E147" s="19" t="n">
        <v>32</v>
      </c>
      <c r="F147" s="6" t="inlineStr">
        <is>
          <t>CB400-V</t>
        </is>
      </c>
      <c r="G147" s="7" t="inlineStr">
        <is>
          <t>S02</t>
        </is>
      </c>
      <c r="H147" s="20" t="n">
        <v>14.256</v>
      </c>
      <c r="I147" s="21" t="n">
        <v>90</v>
      </c>
      <c r="J147" s="22" t="n">
        <v>6.313</v>
      </c>
      <c r="K147" s="9">
        <f>ROUND(H147*I147*J147, 2)</f>
        <v/>
      </c>
      <c r="L147" s="23">
        <f>ROUND(K147/1000, 3)</f>
        <v/>
      </c>
      <c r="M147" s="8">
        <f>IF(AO147="","",IF(INDEX(Theo_Doi_Tan_Suat_Be_Tong!$C:$C,AO147)="","",INDEX(Theo_Doi_Tan_Suat_Be_Tong!$C:$C,AO147)-VLOOKUP(AN147,$AQ$2:$AR$7,2,FALSE)))</f>
        <v/>
      </c>
      <c r="N147" s="6" t="n"/>
      <c r="O147" s="24">
        <f>IF(ROUNDUP(Y147/20,0)&gt;ROUNDUP(Y145/20,0),"TN Ø32 (Lần " &amp; ROUNDUP(Y147/20,0) &amp; ")","")</f>
        <v/>
      </c>
      <c r="P147" s="20">
        <f>ROUND(P145+IF(AND(E147&lt;=10,F147&lt;&gt;"ASTM A416"),L147,0),3)</f>
        <v/>
      </c>
      <c r="Q147" s="20">
        <f>ROUND(Q145+IF(AND(E147=12,F147&lt;&gt;"ASTM A416"),L147,0),3)</f>
        <v/>
      </c>
      <c r="R147" s="20">
        <f>ROUND(R145+IF(AND(E147=14,F147&lt;&gt;"ASTM A416"),L147,0),3)</f>
        <v/>
      </c>
      <c r="S147" s="20">
        <f>ROUND(S145+IF(AND(E147=16,F147&lt;&gt;"ASTM A416"),L147,0),3)</f>
        <v/>
      </c>
      <c r="T147" s="20">
        <f>ROUND(T145+IF(AND(E147=18,F147&lt;&gt;"ASTM A416"),L147,0),3)</f>
        <v/>
      </c>
      <c r="U147" s="20">
        <f>ROUND(U145+IF(AND(E147=20,F147&lt;&gt;"ASTM A416"),L147,0),3)</f>
        <v/>
      </c>
      <c r="V147" s="20">
        <f>ROUND(V145+IF(AND(E147=22,F147&lt;&gt;"ASTM A416"),L147,0),3)</f>
        <v/>
      </c>
      <c r="W147" s="20">
        <f>ROUND(W145+IF(AND(E147=25,F147&lt;&gt;"ASTM A416"),L147,0),3)</f>
        <v/>
      </c>
      <c r="X147" s="20">
        <f>ROUND(X145+IF(AND(E147=28,F147&lt;&gt;"ASTM A416"),L147,0),3)</f>
        <v/>
      </c>
      <c r="Y147" s="20">
        <f>ROUND(Y145+IF(AND(E147=32,F147&lt;&gt;"ASTM A416"),L147,0),3)</f>
        <v/>
      </c>
      <c r="Z147" s="20">
        <f>ROUND(Z145+IF(F147="ASTM A416",L147,0),3)</f>
        <v/>
      </c>
      <c r="AA147" s="11">
        <f>IF(ROUNDUP(P147/20,0)&gt;ROUNDUP(P145/20,0),"Lần " &amp; ROUNDUP(P147/20,0),"")</f>
        <v/>
      </c>
      <c r="AB147" s="11">
        <f>IF(ROUNDUP(Q147/20,0)&gt;ROUNDUP(Q145/20,0),"Lần " &amp; ROUNDUP(Q147/20,0),"")</f>
        <v/>
      </c>
      <c r="AC147" s="11">
        <f>IF(ROUNDUP(R147/20,0)&gt;ROUNDUP(R145/20,0),"Lần " &amp; ROUNDUP(R147/20,0),"")</f>
        <v/>
      </c>
      <c r="AD147" s="11">
        <f>IF(ROUNDUP(S147/20,0)&gt;ROUNDUP(S145/20,0),"Lần " &amp; ROUNDUP(S147/20,0),"")</f>
        <v/>
      </c>
      <c r="AE147" s="11">
        <f>IF(ROUNDUP(T147/20,0)&gt;ROUNDUP(T145/20,0),"Lần " &amp; ROUNDUP(T147/20,0),"")</f>
        <v/>
      </c>
      <c r="AF147" s="11">
        <f>IF(ROUNDUP(U147/20,0)&gt;ROUNDUP(U145/20,0),"Lần " &amp; ROUNDUP(U147/20,0),"")</f>
        <v/>
      </c>
      <c r="AG147" s="11">
        <f>IF(ROUNDUP(V147/20,0)&gt;ROUNDUP(V145/20,0),"Lần " &amp; ROUNDUP(V147/20,0),"")</f>
        <v/>
      </c>
      <c r="AH147" s="11">
        <f>IF(ROUNDUP(W147/20,0)&gt;ROUNDUP(W145/20,0),"Lần " &amp; ROUNDUP(W147/20,0),"")</f>
        <v/>
      </c>
      <c r="AI147" s="11">
        <f>IF(ROUNDUP(X147/20,0)&gt;ROUNDUP(X145/20,0),"Lần " &amp; ROUNDUP(X147/20,0),"")</f>
        <v/>
      </c>
      <c r="AJ147" s="11">
        <f>IF(ROUNDUP(Y147/20,0)&gt;ROUNDUP(Y145/20,0),"Lần " &amp; ROUNDUP(Y147/20,0),"")</f>
        <v/>
      </c>
      <c r="AK147" s="11">
        <f>IF(ROUNDUP(Z147/20,0)&gt;ROUNDUP(Z145/20,0),"Lần " &amp; ROUNDUP(Z147/20,0),"")</f>
        <v/>
      </c>
      <c r="AL147" s="6" t="n"/>
      <c r="AN147" t="inlineStr">
        <is>
          <t>Than</t>
        </is>
      </c>
      <c r="AO147" t="n">
        <v>42</v>
      </c>
    </row>
    <row r="148" ht="19" customHeight="1">
      <c r="A148" s="6" t="n">
        <v>142</v>
      </c>
      <c r="B148" s="7" t="inlineStr">
        <is>
          <t>Trụ T1 (Thân trụ)</t>
        </is>
      </c>
      <c r="C148" s="7" t="inlineStr">
        <is>
          <t>Thân trụ đặc</t>
        </is>
      </c>
      <c r="D148" s="18" t="inlineStr">
        <is>
          <t>T2a</t>
        </is>
      </c>
      <c r="E148" s="19" t="n">
        <v>16</v>
      </c>
      <c r="F148" s="6" t="inlineStr">
        <is>
          <t>CB400-V</t>
        </is>
      </c>
      <c r="G148" s="7" t="inlineStr">
        <is>
          <t>S07</t>
        </is>
      </c>
      <c r="H148" s="20" t="n">
        <v>5.352</v>
      </c>
      <c r="I148" s="21" t="n">
        <v>176</v>
      </c>
      <c r="J148" s="22" t="n">
        <v>1.578</v>
      </c>
      <c r="K148" s="9">
        <f>ROUND(H148*I148*J148, 2)</f>
        <v/>
      </c>
      <c r="L148" s="23">
        <f>ROUND(K148/1000, 3)</f>
        <v/>
      </c>
      <c r="M148" s="8">
        <f>IF(AO148="","",IF(INDEX(Theo_Doi_Tan_Suat_Be_Tong!$C:$C,AO148)="","",INDEX(Theo_Doi_Tan_Suat_Be_Tong!$C:$C,AO148)-VLOOKUP(AN148,$AQ$2:$AR$7,2,FALSE)))</f>
        <v/>
      </c>
      <c r="N148" s="6" t="n"/>
      <c r="O148" s="24">
        <f>IF(ROUNDUP(S148/20,0)&gt;ROUNDUP(S147/20,0),"TN Ø16 (Lần " &amp; ROUNDUP(S148/20,0) &amp; ")","")</f>
        <v/>
      </c>
      <c r="P148" s="20">
        <f>ROUND(P147+IF(AND(E148&lt;=10,F148&lt;&gt;"ASTM A416"),L148,0),3)</f>
        <v/>
      </c>
      <c r="Q148" s="20">
        <f>ROUND(Q147+IF(AND(E148=12,F148&lt;&gt;"ASTM A416"),L148,0),3)</f>
        <v/>
      </c>
      <c r="R148" s="20">
        <f>ROUND(R147+IF(AND(E148=14,F148&lt;&gt;"ASTM A416"),L148,0),3)</f>
        <v/>
      </c>
      <c r="S148" s="20">
        <f>ROUND(S147+IF(AND(E148=16,F148&lt;&gt;"ASTM A416"),L148,0),3)</f>
        <v/>
      </c>
      <c r="T148" s="20">
        <f>ROUND(T147+IF(AND(E148=18,F148&lt;&gt;"ASTM A416"),L148,0),3)</f>
        <v/>
      </c>
      <c r="U148" s="20">
        <f>ROUND(U147+IF(AND(E148=20,F148&lt;&gt;"ASTM A416"),L148,0),3)</f>
        <v/>
      </c>
      <c r="V148" s="20">
        <f>ROUND(V147+IF(AND(E148=22,F148&lt;&gt;"ASTM A416"),L148,0),3)</f>
        <v/>
      </c>
      <c r="W148" s="20">
        <f>ROUND(W147+IF(AND(E148=25,F148&lt;&gt;"ASTM A416"),L148,0),3)</f>
        <v/>
      </c>
      <c r="X148" s="20">
        <f>ROUND(X147+IF(AND(E148=28,F148&lt;&gt;"ASTM A416"),L148,0),3)</f>
        <v/>
      </c>
      <c r="Y148" s="20">
        <f>ROUND(Y147+IF(AND(E148=32,F148&lt;&gt;"ASTM A416"),L148,0),3)</f>
        <v/>
      </c>
      <c r="Z148" s="20">
        <f>ROUND(Z147+IF(F148="ASTM A416",L148,0),3)</f>
        <v/>
      </c>
      <c r="AA148" s="11">
        <f>IF(ROUNDUP(P148/20,0)&gt;ROUNDUP(P147/20,0),"Lần " &amp; ROUNDUP(P148/20,0),"")</f>
        <v/>
      </c>
      <c r="AB148" s="11">
        <f>IF(ROUNDUP(Q148/20,0)&gt;ROUNDUP(Q147/20,0),"Lần " &amp; ROUNDUP(Q148/20,0),"")</f>
        <v/>
      </c>
      <c r="AC148" s="11">
        <f>IF(ROUNDUP(R148/20,0)&gt;ROUNDUP(R147/20,0),"Lần " &amp; ROUNDUP(R148/20,0),"")</f>
        <v/>
      </c>
      <c r="AD148" s="11">
        <f>IF(ROUNDUP(S148/20,0)&gt;ROUNDUP(S147/20,0),"Lần " &amp; ROUNDUP(S148/20,0),"")</f>
        <v/>
      </c>
      <c r="AE148" s="11">
        <f>IF(ROUNDUP(T148/20,0)&gt;ROUNDUP(T147/20,0),"Lần " &amp; ROUNDUP(T148/20,0),"")</f>
        <v/>
      </c>
      <c r="AF148" s="11">
        <f>IF(ROUNDUP(U148/20,0)&gt;ROUNDUP(U147/20,0),"Lần " &amp; ROUNDUP(U148/20,0),"")</f>
        <v/>
      </c>
      <c r="AG148" s="11">
        <f>IF(ROUNDUP(V148/20,0)&gt;ROUNDUP(V147/20,0),"Lần " &amp; ROUNDUP(V148/20,0),"")</f>
        <v/>
      </c>
      <c r="AH148" s="11">
        <f>IF(ROUNDUP(W148/20,0)&gt;ROUNDUP(W147/20,0),"Lần " &amp; ROUNDUP(W148/20,0),"")</f>
        <v/>
      </c>
      <c r="AI148" s="11">
        <f>IF(ROUNDUP(X148/20,0)&gt;ROUNDUP(X147/20,0),"Lần " &amp; ROUNDUP(X148/20,0),"")</f>
        <v/>
      </c>
      <c r="AJ148" s="11">
        <f>IF(ROUNDUP(Y148/20,0)&gt;ROUNDUP(Y147/20,0),"Lần " &amp; ROUNDUP(Y148/20,0),"")</f>
        <v/>
      </c>
      <c r="AK148" s="11">
        <f>IF(ROUNDUP(Z148/20,0)&gt;ROUNDUP(Z147/20,0),"Lần " &amp; ROUNDUP(Z148/20,0),"")</f>
        <v/>
      </c>
      <c r="AL148" s="6" t="n"/>
      <c r="AN148" t="inlineStr">
        <is>
          <t>Than</t>
        </is>
      </c>
      <c r="AO148" t="n">
        <v>42</v>
      </c>
    </row>
    <row r="149" ht="19" customHeight="1">
      <c r="A149" s="6" t="n">
        <v>143</v>
      </c>
      <c r="B149" s="7" t="inlineStr">
        <is>
          <t>Trụ T1 (Thân trụ)</t>
        </is>
      </c>
      <c r="C149" s="7" t="inlineStr">
        <is>
          <t>Thân trụ đặc</t>
        </is>
      </c>
      <c r="D149" s="18" t="inlineStr">
        <is>
          <t>T3a</t>
        </is>
      </c>
      <c r="E149" s="19" t="n">
        <v>16</v>
      </c>
      <c r="F149" s="6" t="inlineStr">
        <is>
          <t>CB400-V</t>
        </is>
      </c>
      <c r="G149" s="7" t="inlineStr">
        <is>
          <t>S51</t>
        </is>
      </c>
      <c r="H149" s="20" t="n">
        <v>6.806</v>
      </c>
      <c r="I149" s="21" t="n">
        <v>176</v>
      </c>
      <c r="J149" s="22" t="n">
        <v>1.578</v>
      </c>
      <c r="K149" s="9">
        <f>ROUND(H149*I149*J149, 2)</f>
        <v/>
      </c>
      <c r="L149" s="23">
        <f>ROUND(K149/1000, 3)</f>
        <v/>
      </c>
      <c r="M149" s="8">
        <f>IF(AO149="","",IF(INDEX(Theo_Doi_Tan_Suat_Be_Tong!$C:$C,AO149)="","",INDEX(Theo_Doi_Tan_Suat_Be_Tong!$C:$C,AO149)-VLOOKUP(AN149,$AQ$2:$AR$7,2,FALSE)))</f>
        <v/>
      </c>
      <c r="N149" s="6" t="n"/>
      <c r="O149" s="24">
        <f>IF(ROUNDUP(S149/20,0)&gt;ROUNDUP(S148/20,0),"TN Ø16 (Lần " &amp; ROUNDUP(S149/20,0) &amp; ")","")</f>
        <v/>
      </c>
      <c r="P149" s="20">
        <f>ROUND(P148+IF(AND(E149&lt;=10,F149&lt;&gt;"ASTM A416"),L149,0),3)</f>
        <v/>
      </c>
      <c r="Q149" s="20">
        <f>ROUND(Q148+IF(AND(E149=12,F149&lt;&gt;"ASTM A416"),L149,0),3)</f>
        <v/>
      </c>
      <c r="R149" s="20">
        <f>ROUND(R148+IF(AND(E149=14,F149&lt;&gt;"ASTM A416"),L149,0),3)</f>
        <v/>
      </c>
      <c r="S149" s="20">
        <f>ROUND(S148+IF(AND(E149=16,F149&lt;&gt;"ASTM A416"),L149,0),3)</f>
        <v/>
      </c>
      <c r="T149" s="20">
        <f>ROUND(T148+IF(AND(E149=18,F149&lt;&gt;"ASTM A416"),L149,0),3)</f>
        <v/>
      </c>
      <c r="U149" s="20">
        <f>ROUND(U148+IF(AND(E149=20,F149&lt;&gt;"ASTM A416"),L149,0),3)</f>
        <v/>
      </c>
      <c r="V149" s="20">
        <f>ROUND(V148+IF(AND(E149=22,F149&lt;&gt;"ASTM A416"),L149,0),3)</f>
        <v/>
      </c>
      <c r="W149" s="20">
        <f>ROUND(W148+IF(AND(E149=25,F149&lt;&gt;"ASTM A416"),L149,0),3)</f>
        <v/>
      </c>
      <c r="X149" s="20">
        <f>ROUND(X148+IF(AND(E149=28,F149&lt;&gt;"ASTM A416"),L149,0),3)</f>
        <v/>
      </c>
      <c r="Y149" s="20">
        <f>ROUND(Y148+IF(AND(E149=32,F149&lt;&gt;"ASTM A416"),L149,0),3)</f>
        <v/>
      </c>
      <c r="Z149" s="20">
        <f>ROUND(Z148+IF(F149="ASTM A416",L149,0),3)</f>
        <v/>
      </c>
      <c r="AA149" s="11">
        <f>IF(ROUNDUP(P149/20,0)&gt;ROUNDUP(P148/20,0),"Lần " &amp; ROUNDUP(P149/20,0),"")</f>
        <v/>
      </c>
      <c r="AB149" s="11">
        <f>IF(ROUNDUP(Q149/20,0)&gt;ROUNDUP(Q148/20,0),"Lần " &amp; ROUNDUP(Q149/20,0),"")</f>
        <v/>
      </c>
      <c r="AC149" s="11">
        <f>IF(ROUNDUP(R149/20,0)&gt;ROUNDUP(R148/20,0),"Lần " &amp; ROUNDUP(R149/20,0),"")</f>
        <v/>
      </c>
      <c r="AD149" s="11">
        <f>IF(ROUNDUP(S149/20,0)&gt;ROUNDUP(S148/20,0),"Lần " &amp; ROUNDUP(S149/20,0),"")</f>
        <v/>
      </c>
      <c r="AE149" s="11">
        <f>IF(ROUNDUP(T149/20,0)&gt;ROUNDUP(T148/20,0),"Lần " &amp; ROUNDUP(T149/20,0),"")</f>
        <v/>
      </c>
      <c r="AF149" s="11">
        <f>IF(ROUNDUP(U149/20,0)&gt;ROUNDUP(U148/20,0),"Lần " &amp; ROUNDUP(U149/20,0),"")</f>
        <v/>
      </c>
      <c r="AG149" s="11">
        <f>IF(ROUNDUP(V149/20,0)&gt;ROUNDUP(V148/20,0),"Lần " &amp; ROUNDUP(V149/20,0),"")</f>
        <v/>
      </c>
      <c r="AH149" s="11">
        <f>IF(ROUNDUP(W149/20,0)&gt;ROUNDUP(W148/20,0),"Lần " &amp; ROUNDUP(W149/20,0),"")</f>
        <v/>
      </c>
      <c r="AI149" s="11">
        <f>IF(ROUNDUP(X149/20,0)&gt;ROUNDUP(X148/20,0),"Lần " &amp; ROUNDUP(X149/20,0),"")</f>
        <v/>
      </c>
      <c r="AJ149" s="11">
        <f>IF(ROUNDUP(Y149/20,0)&gt;ROUNDUP(Y148/20,0),"Lần " &amp; ROUNDUP(Y149/20,0),"")</f>
        <v/>
      </c>
      <c r="AK149" s="11">
        <f>IF(ROUNDUP(Z149/20,0)&gt;ROUNDUP(Z148/20,0),"Lần " &amp; ROUNDUP(Z149/20,0),"")</f>
        <v/>
      </c>
      <c r="AL149" s="6" t="n"/>
      <c r="AN149" t="inlineStr">
        <is>
          <t>Than</t>
        </is>
      </c>
      <c r="AO149" t="n">
        <v>42</v>
      </c>
    </row>
    <row r="150" ht="19" customHeight="1">
      <c r="A150" s="6" t="n">
        <v>144</v>
      </c>
      <c r="B150" s="7" t="inlineStr">
        <is>
          <t>Trụ T1 (Thân trụ)</t>
        </is>
      </c>
      <c r="C150" s="7" t="inlineStr">
        <is>
          <t>Thân trụ đặc</t>
        </is>
      </c>
      <c r="D150" s="18" t="inlineStr">
        <is>
          <t>T4a</t>
        </is>
      </c>
      <c r="E150" s="19" t="n">
        <v>16</v>
      </c>
      <c r="F150" s="6" t="inlineStr">
        <is>
          <t>CB400-V</t>
        </is>
      </c>
      <c r="G150" s="7" t="inlineStr">
        <is>
          <t>S06</t>
        </is>
      </c>
      <c r="H150" s="20" t="n">
        <v>5.332</v>
      </c>
      <c r="I150" s="21" t="n">
        <v>20</v>
      </c>
      <c r="J150" s="22" t="n">
        <v>1.578</v>
      </c>
      <c r="K150" s="9">
        <f>ROUND(H150*I150*J150, 2)</f>
        <v/>
      </c>
      <c r="L150" s="23">
        <f>ROUND(K150/1000, 3)</f>
        <v/>
      </c>
      <c r="M150" s="8">
        <f>IF(AO150="","",IF(INDEX(Theo_Doi_Tan_Suat_Be_Tong!$C:$C,AO150)="","",INDEX(Theo_Doi_Tan_Suat_Be_Tong!$C:$C,AO150)-VLOOKUP(AN150,$AQ$2:$AR$7,2,FALSE)))</f>
        <v/>
      </c>
      <c r="N150" s="6" t="n"/>
      <c r="O150" s="24">
        <f>IF(ROUNDUP(S150/20,0)&gt;ROUNDUP(S149/20,0),"TN Ø16 (Lần " &amp; ROUNDUP(S150/20,0) &amp; ")","")</f>
        <v/>
      </c>
      <c r="P150" s="20">
        <f>ROUND(P149+IF(AND(E150&lt;=10,F150&lt;&gt;"ASTM A416"),L150,0),3)</f>
        <v/>
      </c>
      <c r="Q150" s="20">
        <f>ROUND(Q149+IF(AND(E150=12,F150&lt;&gt;"ASTM A416"),L150,0),3)</f>
        <v/>
      </c>
      <c r="R150" s="20">
        <f>ROUND(R149+IF(AND(E150=14,F150&lt;&gt;"ASTM A416"),L150,0),3)</f>
        <v/>
      </c>
      <c r="S150" s="20">
        <f>ROUND(S149+IF(AND(E150=16,F150&lt;&gt;"ASTM A416"),L150,0),3)</f>
        <v/>
      </c>
      <c r="T150" s="20">
        <f>ROUND(T149+IF(AND(E150=18,F150&lt;&gt;"ASTM A416"),L150,0),3)</f>
        <v/>
      </c>
      <c r="U150" s="20">
        <f>ROUND(U149+IF(AND(E150=20,F150&lt;&gt;"ASTM A416"),L150,0),3)</f>
        <v/>
      </c>
      <c r="V150" s="20">
        <f>ROUND(V149+IF(AND(E150=22,F150&lt;&gt;"ASTM A416"),L150,0),3)</f>
        <v/>
      </c>
      <c r="W150" s="20">
        <f>ROUND(W149+IF(AND(E150=25,F150&lt;&gt;"ASTM A416"),L150,0),3)</f>
        <v/>
      </c>
      <c r="X150" s="20">
        <f>ROUND(X149+IF(AND(E150=28,F150&lt;&gt;"ASTM A416"),L150,0),3)</f>
        <v/>
      </c>
      <c r="Y150" s="20">
        <f>ROUND(Y149+IF(AND(E150=32,F150&lt;&gt;"ASTM A416"),L150,0),3)</f>
        <v/>
      </c>
      <c r="Z150" s="20">
        <f>ROUND(Z149+IF(F150="ASTM A416",L150,0),3)</f>
        <v/>
      </c>
      <c r="AA150" s="11">
        <f>IF(ROUNDUP(P150/20,0)&gt;ROUNDUP(P149/20,0),"Lần " &amp; ROUNDUP(P150/20,0),"")</f>
        <v/>
      </c>
      <c r="AB150" s="11">
        <f>IF(ROUNDUP(Q150/20,0)&gt;ROUNDUP(Q149/20,0),"Lần " &amp; ROUNDUP(Q150/20,0),"")</f>
        <v/>
      </c>
      <c r="AC150" s="11">
        <f>IF(ROUNDUP(R150/20,0)&gt;ROUNDUP(R149/20,0),"Lần " &amp; ROUNDUP(R150/20,0),"")</f>
        <v/>
      </c>
      <c r="AD150" s="11">
        <f>IF(ROUNDUP(S150/20,0)&gt;ROUNDUP(S149/20,0),"Lần " &amp; ROUNDUP(S150/20,0),"")</f>
        <v/>
      </c>
      <c r="AE150" s="11">
        <f>IF(ROUNDUP(T150/20,0)&gt;ROUNDUP(T149/20,0),"Lần " &amp; ROUNDUP(T150/20,0),"")</f>
        <v/>
      </c>
      <c r="AF150" s="11">
        <f>IF(ROUNDUP(U150/20,0)&gt;ROUNDUP(U149/20,0),"Lần " &amp; ROUNDUP(U150/20,0),"")</f>
        <v/>
      </c>
      <c r="AG150" s="11">
        <f>IF(ROUNDUP(V150/20,0)&gt;ROUNDUP(V149/20,0),"Lần " &amp; ROUNDUP(V150/20,0),"")</f>
        <v/>
      </c>
      <c r="AH150" s="11">
        <f>IF(ROUNDUP(W150/20,0)&gt;ROUNDUP(W149/20,0),"Lần " &amp; ROUNDUP(W150/20,0),"")</f>
        <v/>
      </c>
      <c r="AI150" s="11">
        <f>IF(ROUNDUP(X150/20,0)&gt;ROUNDUP(X149/20,0),"Lần " &amp; ROUNDUP(X150/20,0),"")</f>
        <v/>
      </c>
      <c r="AJ150" s="11">
        <f>IF(ROUNDUP(Y150/20,0)&gt;ROUNDUP(Y149/20,0),"Lần " &amp; ROUNDUP(Y150/20,0),"")</f>
        <v/>
      </c>
      <c r="AK150" s="11">
        <f>IF(ROUNDUP(Z150/20,0)&gt;ROUNDUP(Z149/20,0),"Lần " &amp; ROUNDUP(Z150/20,0),"")</f>
        <v/>
      </c>
      <c r="AL150" s="6" t="n"/>
      <c r="AN150" t="inlineStr">
        <is>
          <t>Than</t>
        </is>
      </c>
      <c r="AO150" t="n">
        <v>42</v>
      </c>
    </row>
    <row r="151" ht="19" customHeight="1">
      <c r="A151" s="6" t="n">
        <v>145</v>
      </c>
      <c r="B151" s="7" t="inlineStr">
        <is>
          <t>Trụ T1 (Thân trụ)</t>
        </is>
      </c>
      <c r="C151" s="7" t="inlineStr">
        <is>
          <t>Thân trụ đặc</t>
        </is>
      </c>
      <c r="D151" s="18" t="inlineStr">
        <is>
          <t>T4a1</t>
        </is>
      </c>
      <c r="E151" s="19" t="n">
        <v>16</v>
      </c>
      <c r="F151" s="6" t="inlineStr">
        <is>
          <t>CB400-V</t>
        </is>
      </c>
      <c r="G151" s="7" t="inlineStr">
        <is>
          <t>S06</t>
        </is>
      </c>
      <c r="H151" s="20" t="n">
        <v>5.102</v>
      </c>
      <c r="I151" s="21" t="n">
        <v>40</v>
      </c>
      <c r="J151" s="22" t="n">
        <v>1.578</v>
      </c>
      <c r="K151" s="9">
        <f>ROUND(H151*I151*J151, 2)</f>
        <v/>
      </c>
      <c r="L151" s="23">
        <f>ROUND(K151/1000, 3)</f>
        <v/>
      </c>
      <c r="M151" s="8">
        <f>IF(AO151="","",IF(INDEX(Theo_Doi_Tan_Suat_Be_Tong!$C:$C,AO151)="","",INDEX(Theo_Doi_Tan_Suat_Be_Tong!$C:$C,AO151)-VLOOKUP(AN151,$AQ$2:$AR$7,2,FALSE)))</f>
        <v/>
      </c>
      <c r="N151" s="6" t="n"/>
      <c r="O151" s="24">
        <f>IF(ROUNDUP(S151/20,0)&gt;ROUNDUP(S150/20,0),"TN Ø16 (Lần " &amp; ROUNDUP(S151/20,0) &amp; ")","")</f>
        <v/>
      </c>
      <c r="P151" s="20">
        <f>ROUND(P150+IF(AND(E151&lt;=10,F151&lt;&gt;"ASTM A416"),L151,0),3)</f>
        <v/>
      </c>
      <c r="Q151" s="20">
        <f>ROUND(Q150+IF(AND(E151=12,F151&lt;&gt;"ASTM A416"),L151,0),3)</f>
        <v/>
      </c>
      <c r="R151" s="20">
        <f>ROUND(R150+IF(AND(E151=14,F151&lt;&gt;"ASTM A416"),L151,0),3)</f>
        <v/>
      </c>
      <c r="S151" s="20">
        <f>ROUND(S150+IF(AND(E151=16,F151&lt;&gt;"ASTM A416"),L151,0),3)</f>
        <v/>
      </c>
      <c r="T151" s="20">
        <f>ROUND(T150+IF(AND(E151=18,F151&lt;&gt;"ASTM A416"),L151,0),3)</f>
        <v/>
      </c>
      <c r="U151" s="20">
        <f>ROUND(U150+IF(AND(E151=20,F151&lt;&gt;"ASTM A416"),L151,0),3)</f>
        <v/>
      </c>
      <c r="V151" s="20">
        <f>ROUND(V150+IF(AND(E151=22,F151&lt;&gt;"ASTM A416"),L151,0),3)</f>
        <v/>
      </c>
      <c r="W151" s="20">
        <f>ROUND(W150+IF(AND(E151=25,F151&lt;&gt;"ASTM A416"),L151,0),3)</f>
        <v/>
      </c>
      <c r="X151" s="20">
        <f>ROUND(X150+IF(AND(E151=28,F151&lt;&gt;"ASTM A416"),L151,0),3)</f>
        <v/>
      </c>
      <c r="Y151" s="20">
        <f>ROUND(Y150+IF(AND(E151=32,F151&lt;&gt;"ASTM A416"),L151,0),3)</f>
        <v/>
      </c>
      <c r="Z151" s="20">
        <f>ROUND(Z150+IF(F151="ASTM A416",L151,0),3)</f>
        <v/>
      </c>
      <c r="AA151" s="11">
        <f>IF(ROUNDUP(P151/20,0)&gt;ROUNDUP(P150/20,0),"Lần " &amp; ROUNDUP(P151/20,0),"")</f>
        <v/>
      </c>
      <c r="AB151" s="11">
        <f>IF(ROUNDUP(Q151/20,0)&gt;ROUNDUP(Q150/20,0),"Lần " &amp; ROUNDUP(Q151/20,0),"")</f>
        <v/>
      </c>
      <c r="AC151" s="11">
        <f>IF(ROUNDUP(R151/20,0)&gt;ROUNDUP(R150/20,0),"Lần " &amp; ROUNDUP(R151/20,0),"")</f>
        <v/>
      </c>
      <c r="AD151" s="11">
        <f>IF(ROUNDUP(S151/20,0)&gt;ROUNDUP(S150/20,0),"Lần " &amp; ROUNDUP(S151/20,0),"")</f>
        <v/>
      </c>
      <c r="AE151" s="11">
        <f>IF(ROUNDUP(T151/20,0)&gt;ROUNDUP(T150/20,0),"Lần " &amp; ROUNDUP(T151/20,0),"")</f>
        <v/>
      </c>
      <c r="AF151" s="11">
        <f>IF(ROUNDUP(U151/20,0)&gt;ROUNDUP(U150/20,0),"Lần " &amp; ROUNDUP(U151/20,0),"")</f>
        <v/>
      </c>
      <c r="AG151" s="11">
        <f>IF(ROUNDUP(V151/20,0)&gt;ROUNDUP(V150/20,0),"Lần " &amp; ROUNDUP(V151/20,0),"")</f>
        <v/>
      </c>
      <c r="AH151" s="11">
        <f>IF(ROUNDUP(W151/20,0)&gt;ROUNDUP(W150/20,0),"Lần " &amp; ROUNDUP(W151/20,0),"")</f>
        <v/>
      </c>
      <c r="AI151" s="11">
        <f>IF(ROUNDUP(X151/20,0)&gt;ROUNDUP(X150/20,0),"Lần " &amp; ROUNDUP(X151/20,0),"")</f>
        <v/>
      </c>
      <c r="AJ151" s="11">
        <f>IF(ROUNDUP(Y151/20,0)&gt;ROUNDUP(Y150/20,0),"Lần " &amp; ROUNDUP(Y151/20,0),"")</f>
        <v/>
      </c>
      <c r="AK151" s="11">
        <f>IF(ROUNDUP(Z151/20,0)&gt;ROUNDUP(Z150/20,0),"Lần " &amp; ROUNDUP(Z151/20,0),"")</f>
        <v/>
      </c>
      <c r="AL151" s="6" t="n"/>
      <c r="AN151" t="inlineStr">
        <is>
          <t>Than</t>
        </is>
      </c>
      <c r="AO151" t="n">
        <v>42</v>
      </c>
    </row>
    <row r="152" ht="19" customHeight="1">
      <c r="A152" s="6" t="n">
        <v>146</v>
      </c>
      <c r="B152" s="7" t="inlineStr">
        <is>
          <t>Trụ T1 (Thân trụ)</t>
        </is>
      </c>
      <c r="C152" s="7" t="inlineStr">
        <is>
          <t>th©n trô ®o¹n 2</t>
        </is>
      </c>
      <c r="D152" s="18" t="inlineStr">
        <is>
          <t>T1b</t>
        </is>
      </c>
      <c r="E152" s="19" t="n">
        <v>32</v>
      </c>
      <c r="F152" s="6" t="inlineStr">
        <is>
          <t>CB400-V</t>
        </is>
      </c>
      <c r="G152" s="7" t="inlineStr">
        <is>
          <t>S28</t>
        </is>
      </c>
      <c r="H152" s="20" t="n">
        <v>13.616</v>
      </c>
      <c r="I152" s="21" t="n">
        <v>106</v>
      </c>
      <c r="J152" s="22" t="n">
        <v>6.313</v>
      </c>
      <c r="K152" s="9">
        <f>ROUND(H152*I152*J152, 2)</f>
        <v/>
      </c>
      <c r="L152" s="23">
        <f>ROUND(K152/1000, 3)</f>
        <v/>
      </c>
      <c r="M152" s="8">
        <f>IF(AO152="","",IF(INDEX(Theo_Doi_Tan_Suat_Be_Tong!$C:$C,AO152)="","",INDEX(Theo_Doi_Tan_Suat_Be_Tong!$C:$C,AO152)-VLOOKUP(AN152,$AQ$2:$AR$7,2,FALSE)))</f>
        <v/>
      </c>
      <c r="N152" s="6" t="n"/>
      <c r="O152" s="24">
        <f>IF(ROUNDUP(Y152/20,0)&gt;ROUNDUP(Y151/20,0),"TN Ø32 (Lần " &amp; ROUNDUP(Y152/20,0) &amp; ")","")</f>
        <v/>
      </c>
      <c r="P152" s="20">
        <f>ROUND(P151+IF(AND(E152&lt;=10,F152&lt;&gt;"ASTM A416"),L152,0),3)</f>
        <v/>
      </c>
      <c r="Q152" s="20">
        <f>ROUND(Q151+IF(AND(E152=12,F152&lt;&gt;"ASTM A416"),L152,0),3)</f>
        <v/>
      </c>
      <c r="R152" s="20">
        <f>ROUND(R151+IF(AND(E152=14,F152&lt;&gt;"ASTM A416"),L152,0),3)</f>
        <v/>
      </c>
      <c r="S152" s="20">
        <f>ROUND(S151+IF(AND(E152=16,F152&lt;&gt;"ASTM A416"),L152,0),3)</f>
        <v/>
      </c>
      <c r="T152" s="20">
        <f>ROUND(T151+IF(AND(E152=18,F152&lt;&gt;"ASTM A416"),L152,0),3)</f>
        <v/>
      </c>
      <c r="U152" s="20">
        <f>ROUND(U151+IF(AND(E152=20,F152&lt;&gt;"ASTM A416"),L152,0),3)</f>
        <v/>
      </c>
      <c r="V152" s="20">
        <f>ROUND(V151+IF(AND(E152=22,F152&lt;&gt;"ASTM A416"),L152,0),3)</f>
        <v/>
      </c>
      <c r="W152" s="20">
        <f>ROUND(W151+IF(AND(E152=25,F152&lt;&gt;"ASTM A416"),L152,0),3)</f>
        <v/>
      </c>
      <c r="X152" s="20">
        <f>ROUND(X151+IF(AND(E152=28,F152&lt;&gt;"ASTM A416"),L152,0),3)</f>
        <v/>
      </c>
      <c r="Y152" s="20">
        <f>ROUND(Y151+IF(AND(E152=32,F152&lt;&gt;"ASTM A416"),L152,0),3)</f>
        <v/>
      </c>
      <c r="Z152" s="20">
        <f>ROUND(Z151+IF(F152="ASTM A416",L152,0),3)</f>
        <v/>
      </c>
      <c r="AA152" s="11">
        <f>IF(ROUNDUP(P152/20,0)&gt;ROUNDUP(P151/20,0),"Lần " &amp; ROUNDUP(P152/20,0),"")</f>
        <v/>
      </c>
      <c r="AB152" s="11">
        <f>IF(ROUNDUP(Q152/20,0)&gt;ROUNDUP(Q151/20,0),"Lần " &amp; ROUNDUP(Q152/20,0),"")</f>
        <v/>
      </c>
      <c r="AC152" s="11">
        <f>IF(ROUNDUP(R152/20,0)&gt;ROUNDUP(R151/20,0),"Lần " &amp; ROUNDUP(R152/20,0),"")</f>
        <v/>
      </c>
      <c r="AD152" s="11">
        <f>IF(ROUNDUP(S152/20,0)&gt;ROUNDUP(S151/20,0),"Lần " &amp; ROUNDUP(S152/20,0),"")</f>
        <v/>
      </c>
      <c r="AE152" s="11">
        <f>IF(ROUNDUP(T152/20,0)&gt;ROUNDUP(T151/20,0),"Lần " &amp; ROUNDUP(T152/20,0),"")</f>
        <v/>
      </c>
      <c r="AF152" s="11">
        <f>IF(ROUNDUP(U152/20,0)&gt;ROUNDUP(U151/20,0),"Lần " &amp; ROUNDUP(U152/20,0),"")</f>
        <v/>
      </c>
      <c r="AG152" s="11">
        <f>IF(ROUNDUP(V152/20,0)&gt;ROUNDUP(V151/20,0),"Lần " &amp; ROUNDUP(V152/20,0),"")</f>
        <v/>
      </c>
      <c r="AH152" s="11">
        <f>IF(ROUNDUP(W152/20,0)&gt;ROUNDUP(W151/20,0),"Lần " &amp; ROUNDUP(W152/20,0),"")</f>
        <v/>
      </c>
      <c r="AI152" s="11">
        <f>IF(ROUNDUP(X152/20,0)&gt;ROUNDUP(X151/20,0),"Lần " &amp; ROUNDUP(X152/20,0),"")</f>
        <v/>
      </c>
      <c r="AJ152" s="11">
        <f>IF(ROUNDUP(Y152/20,0)&gt;ROUNDUP(Y151/20,0),"Lần " &amp; ROUNDUP(Y152/20,0),"")</f>
        <v/>
      </c>
      <c r="AK152" s="11">
        <f>IF(ROUNDUP(Z152/20,0)&gt;ROUNDUP(Z151/20,0),"Lần " &amp; ROUNDUP(Z152/20,0),"")</f>
        <v/>
      </c>
      <c r="AL152" s="6" t="n"/>
      <c r="AN152" t="inlineStr">
        <is>
          <t>Than</t>
        </is>
      </c>
      <c r="AO152" t="n">
        <v>43</v>
      </c>
    </row>
    <row r="153" ht="19" customHeight="1">
      <c r="A153" s="6" t="n">
        <v>147</v>
      </c>
      <c r="B153" s="7" t="inlineStr">
        <is>
          <t>Trụ T1 (Thân trụ)</t>
        </is>
      </c>
      <c r="C153" s="7" t="inlineStr">
        <is>
          <t>Thân trụ đặc</t>
        </is>
      </c>
      <c r="D153" s="18" t="inlineStr">
        <is>
          <t>T2b</t>
        </is>
      </c>
      <c r="E153" s="19" t="n">
        <v>16</v>
      </c>
      <c r="F153" s="6" t="inlineStr">
        <is>
          <t>CB400-V</t>
        </is>
      </c>
      <c r="G153" s="7" t="inlineStr">
        <is>
          <t>S07</t>
        </is>
      </c>
      <c r="H153" s="20" t="n">
        <v>6.894</v>
      </c>
      <c r="I153" s="21" t="n">
        <v>150</v>
      </c>
      <c r="J153" s="22" t="n">
        <v>1.578</v>
      </c>
      <c r="K153" s="9">
        <f>ROUND(H153*I153*J153, 2)</f>
        <v/>
      </c>
      <c r="L153" s="23">
        <f>ROUND(K153/1000, 3)</f>
        <v/>
      </c>
      <c r="M153" s="8">
        <f>IF(AO153="","",IF(INDEX(Theo_Doi_Tan_Suat_Be_Tong!$C:$C,AO153)="","",INDEX(Theo_Doi_Tan_Suat_Be_Tong!$C:$C,AO153)-VLOOKUP(AN153,$AQ$2:$AR$7,2,FALSE)))</f>
        <v/>
      </c>
      <c r="N153" s="6" t="n"/>
      <c r="O153" s="24">
        <f>IF(ROUNDUP(S153/20,0)&gt;ROUNDUP(S152/20,0),"TN Ø16 (Lần " &amp; ROUNDUP(S153/20,0) &amp; ")","")</f>
        <v/>
      </c>
      <c r="P153" s="20">
        <f>ROUND(P152+IF(AND(E153&lt;=10,F153&lt;&gt;"ASTM A416"),L153,0),3)</f>
        <v/>
      </c>
      <c r="Q153" s="20">
        <f>ROUND(Q152+IF(AND(E153=12,F153&lt;&gt;"ASTM A416"),L153,0),3)</f>
        <v/>
      </c>
      <c r="R153" s="20">
        <f>ROUND(R152+IF(AND(E153=14,F153&lt;&gt;"ASTM A416"),L153,0),3)</f>
        <v/>
      </c>
      <c r="S153" s="20">
        <f>ROUND(S152+IF(AND(E153=16,F153&lt;&gt;"ASTM A416"),L153,0),3)</f>
        <v/>
      </c>
      <c r="T153" s="20">
        <f>ROUND(T152+IF(AND(E153=18,F153&lt;&gt;"ASTM A416"),L153,0),3)</f>
        <v/>
      </c>
      <c r="U153" s="20">
        <f>ROUND(U152+IF(AND(E153=20,F153&lt;&gt;"ASTM A416"),L153,0),3)</f>
        <v/>
      </c>
      <c r="V153" s="20">
        <f>ROUND(V152+IF(AND(E153=22,F153&lt;&gt;"ASTM A416"),L153,0),3)</f>
        <v/>
      </c>
      <c r="W153" s="20">
        <f>ROUND(W152+IF(AND(E153=25,F153&lt;&gt;"ASTM A416"),L153,0),3)</f>
        <v/>
      </c>
      <c r="X153" s="20">
        <f>ROUND(X152+IF(AND(E153=28,F153&lt;&gt;"ASTM A416"),L153,0),3)</f>
        <v/>
      </c>
      <c r="Y153" s="20">
        <f>ROUND(Y152+IF(AND(E153=32,F153&lt;&gt;"ASTM A416"),L153,0),3)</f>
        <v/>
      </c>
      <c r="Z153" s="20">
        <f>ROUND(Z152+IF(F153="ASTM A416",L153,0),3)</f>
        <v/>
      </c>
      <c r="AA153" s="11">
        <f>IF(ROUNDUP(P153/20,0)&gt;ROUNDUP(P152/20,0),"Lần " &amp; ROUNDUP(P153/20,0),"")</f>
        <v/>
      </c>
      <c r="AB153" s="11">
        <f>IF(ROUNDUP(Q153/20,0)&gt;ROUNDUP(Q152/20,0),"Lần " &amp; ROUNDUP(Q153/20,0),"")</f>
        <v/>
      </c>
      <c r="AC153" s="11">
        <f>IF(ROUNDUP(R153/20,0)&gt;ROUNDUP(R152/20,0),"Lần " &amp; ROUNDUP(R153/20,0),"")</f>
        <v/>
      </c>
      <c r="AD153" s="11">
        <f>IF(ROUNDUP(S153/20,0)&gt;ROUNDUP(S152/20,0),"Lần " &amp; ROUNDUP(S153/20,0),"")</f>
        <v/>
      </c>
      <c r="AE153" s="11">
        <f>IF(ROUNDUP(T153/20,0)&gt;ROUNDUP(T152/20,0),"Lần " &amp; ROUNDUP(T153/20,0),"")</f>
        <v/>
      </c>
      <c r="AF153" s="11">
        <f>IF(ROUNDUP(U153/20,0)&gt;ROUNDUP(U152/20,0),"Lần " &amp; ROUNDUP(U153/20,0),"")</f>
        <v/>
      </c>
      <c r="AG153" s="11">
        <f>IF(ROUNDUP(V153/20,0)&gt;ROUNDUP(V152/20,0),"Lần " &amp; ROUNDUP(V153/20,0),"")</f>
        <v/>
      </c>
      <c r="AH153" s="11">
        <f>IF(ROUNDUP(W153/20,0)&gt;ROUNDUP(W152/20,0),"Lần " &amp; ROUNDUP(W153/20,0),"")</f>
        <v/>
      </c>
      <c r="AI153" s="11">
        <f>IF(ROUNDUP(X153/20,0)&gt;ROUNDUP(X152/20,0),"Lần " &amp; ROUNDUP(X153/20,0),"")</f>
        <v/>
      </c>
      <c r="AJ153" s="11">
        <f>IF(ROUNDUP(Y153/20,0)&gt;ROUNDUP(Y152/20,0),"Lần " &amp; ROUNDUP(Y153/20,0),"")</f>
        <v/>
      </c>
      <c r="AK153" s="11">
        <f>IF(ROUNDUP(Z153/20,0)&gt;ROUNDUP(Z152/20,0),"Lần " &amp; ROUNDUP(Z153/20,0),"")</f>
        <v/>
      </c>
      <c r="AL153" s="6" t="n"/>
      <c r="AN153" t="inlineStr">
        <is>
          <t>Than</t>
        </is>
      </c>
      <c r="AO153" t="n">
        <v>42</v>
      </c>
    </row>
    <row r="154" ht="19" customHeight="1">
      <c r="A154" s="6" t="n">
        <v>148</v>
      </c>
      <c r="B154" s="7" t="inlineStr">
        <is>
          <t>Trụ T1 (Thân trụ)</t>
        </is>
      </c>
      <c r="C154" s="7" t="inlineStr">
        <is>
          <t>Thân trụ đặc</t>
        </is>
      </c>
      <c r="D154" s="18" t="inlineStr">
        <is>
          <t>T3b</t>
        </is>
      </c>
      <c r="E154" s="19" t="n">
        <v>16</v>
      </c>
      <c r="F154" s="6" t="inlineStr">
        <is>
          <t>CB400-V</t>
        </is>
      </c>
      <c r="G154" s="7" t="inlineStr">
        <is>
          <t>S51</t>
        </is>
      </c>
      <c r="H154" s="20" t="n">
        <v>8.006</v>
      </c>
      <c r="I154" s="21" t="n">
        <v>150</v>
      </c>
      <c r="J154" s="22" t="n">
        <v>1.578</v>
      </c>
      <c r="K154" s="9">
        <f>ROUND(H154*I154*J154, 2)</f>
        <v/>
      </c>
      <c r="L154" s="23">
        <f>ROUND(K154/1000, 3)</f>
        <v/>
      </c>
      <c r="M154" s="8">
        <f>IF(AO154="","",IF(INDEX(Theo_Doi_Tan_Suat_Be_Tong!$C:$C,AO154)="","",INDEX(Theo_Doi_Tan_Suat_Be_Tong!$C:$C,AO154)-VLOOKUP(AN154,$AQ$2:$AR$7,2,FALSE)))</f>
        <v/>
      </c>
      <c r="N154" s="6" t="n"/>
      <c r="O154" s="24">
        <f>IF(ROUNDUP(S154/20,0)&gt;ROUNDUP(S153/20,0),"TN Ø16 (Lần " &amp; ROUNDUP(S154/20,0) &amp; ")","")</f>
        <v/>
      </c>
      <c r="P154" s="20">
        <f>ROUND(P153+IF(AND(E154&lt;=10,F154&lt;&gt;"ASTM A416"),L154,0),3)</f>
        <v/>
      </c>
      <c r="Q154" s="20">
        <f>ROUND(Q153+IF(AND(E154=12,F154&lt;&gt;"ASTM A416"),L154,0),3)</f>
        <v/>
      </c>
      <c r="R154" s="20">
        <f>ROUND(R153+IF(AND(E154=14,F154&lt;&gt;"ASTM A416"),L154,0),3)</f>
        <v/>
      </c>
      <c r="S154" s="20">
        <f>ROUND(S153+IF(AND(E154=16,F154&lt;&gt;"ASTM A416"),L154,0),3)</f>
        <v/>
      </c>
      <c r="T154" s="20">
        <f>ROUND(T153+IF(AND(E154=18,F154&lt;&gt;"ASTM A416"),L154,0),3)</f>
        <v/>
      </c>
      <c r="U154" s="20">
        <f>ROUND(U153+IF(AND(E154=20,F154&lt;&gt;"ASTM A416"),L154,0),3)</f>
        <v/>
      </c>
      <c r="V154" s="20">
        <f>ROUND(V153+IF(AND(E154=22,F154&lt;&gt;"ASTM A416"),L154,0),3)</f>
        <v/>
      </c>
      <c r="W154" s="20">
        <f>ROUND(W153+IF(AND(E154=25,F154&lt;&gt;"ASTM A416"),L154,0),3)</f>
        <v/>
      </c>
      <c r="X154" s="20">
        <f>ROUND(X153+IF(AND(E154=28,F154&lt;&gt;"ASTM A416"),L154,0),3)</f>
        <v/>
      </c>
      <c r="Y154" s="20">
        <f>ROUND(Y153+IF(AND(E154=32,F154&lt;&gt;"ASTM A416"),L154,0),3)</f>
        <v/>
      </c>
      <c r="Z154" s="20">
        <f>ROUND(Z153+IF(F154="ASTM A416",L154,0),3)</f>
        <v/>
      </c>
      <c r="AA154" s="11">
        <f>IF(ROUNDUP(P154/20,0)&gt;ROUNDUP(P153/20,0),"Lần " &amp; ROUNDUP(P154/20,0),"")</f>
        <v/>
      </c>
      <c r="AB154" s="11">
        <f>IF(ROUNDUP(Q154/20,0)&gt;ROUNDUP(Q153/20,0),"Lần " &amp; ROUNDUP(Q154/20,0),"")</f>
        <v/>
      </c>
      <c r="AC154" s="11">
        <f>IF(ROUNDUP(R154/20,0)&gt;ROUNDUP(R153/20,0),"Lần " &amp; ROUNDUP(R154/20,0),"")</f>
        <v/>
      </c>
      <c r="AD154" s="11">
        <f>IF(ROUNDUP(S154/20,0)&gt;ROUNDUP(S153/20,0),"Lần " &amp; ROUNDUP(S154/20,0),"")</f>
        <v/>
      </c>
      <c r="AE154" s="11">
        <f>IF(ROUNDUP(T154/20,0)&gt;ROUNDUP(T153/20,0),"Lần " &amp; ROUNDUP(T154/20,0),"")</f>
        <v/>
      </c>
      <c r="AF154" s="11">
        <f>IF(ROUNDUP(U154/20,0)&gt;ROUNDUP(U153/20,0),"Lần " &amp; ROUNDUP(U154/20,0),"")</f>
        <v/>
      </c>
      <c r="AG154" s="11">
        <f>IF(ROUNDUP(V154/20,0)&gt;ROUNDUP(V153/20,0),"Lần " &amp; ROUNDUP(V154/20,0),"")</f>
        <v/>
      </c>
      <c r="AH154" s="11">
        <f>IF(ROUNDUP(W154/20,0)&gt;ROUNDUP(W153/20,0),"Lần " &amp; ROUNDUP(W154/20,0),"")</f>
        <v/>
      </c>
      <c r="AI154" s="11">
        <f>IF(ROUNDUP(X154/20,0)&gt;ROUNDUP(X153/20,0),"Lần " &amp; ROUNDUP(X154/20,0),"")</f>
        <v/>
      </c>
      <c r="AJ154" s="11">
        <f>IF(ROUNDUP(Y154/20,0)&gt;ROUNDUP(Y153/20,0),"Lần " &amp; ROUNDUP(Y154/20,0),"")</f>
        <v/>
      </c>
      <c r="AK154" s="11">
        <f>IF(ROUNDUP(Z154/20,0)&gt;ROUNDUP(Z153/20,0),"Lần " &amp; ROUNDUP(Z154/20,0),"")</f>
        <v/>
      </c>
      <c r="AL154" s="6" t="n"/>
      <c r="AN154" t="inlineStr">
        <is>
          <t>Than</t>
        </is>
      </c>
      <c r="AO154" t="n">
        <v>42</v>
      </c>
    </row>
    <row r="155" ht="19" customHeight="1">
      <c r="A155" s="6" t="n">
        <v>149</v>
      </c>
      <c r="B155" s="7" t="inlineStr">
        <is>
          <t>Trụ T1 (Thân trụ)</t>
        </is>
      </c>
      <c r="C155" s="7" t="inlineStr">
        <is>
          <t>Thân trụ đặc</t>
        </is>
      </c>
      <c r="D155" s="18" t="inlineStr">
        <is>
          <t>T4b</t>
        </is>
      </c>
      <c r="E155" s="19" t="n">
        <v>16</v>
      </c>
      <c r="F155" s="6" t="inlineStr">
        <is>
          <t>CB400-V</t>
        </is>
      </c>
      <c r="G155" s="7" t="inlineStr">
        <is>
          <t>S06</t>
        </is>
      </c>
      <c r="H155" s="20" t="n">
        <v>5.932</v>
      </c>
      <c r="I155" s="21" t="n">
        <v>19</v>
      </c>
      <c r="J155" s="22" t="n">
        <v>1.578</v>
      </c>
      <c r="K155" s="9">
        <f>ROUND(H155*I155*J155, 2)</f>
        <v/>
      </c>
      <c r="L155" s="23">
        <f>ROUND(K155/1000, 3)</f>
        <v/>
      </c>
      <c r="M155" s="8">
        <f>IF(AO155="","",IF(INDEX(Theo_Doi_Tan_Suat_Be_Tong!$C:$C,AO155)="","",INDEX(Theo_Doi_Tan_Suat_Be_Tong!$C:$C,AO155)-VLOOKUP(AN155,$AQ$2:$AR$7,2,FALSE)))</f>
        <v/>
      </c>
      <c r="N155" s="6" t="n"/>
      <c r="O155" s="24">
        <f>IF(ROUNDUP(S155/20,0)&gt;ROUNDUP(S154/20,0),"TN Ø16 (Lần " &amp; ROUNDUP(S155/20,0) &amp; ")","")</f>
        <v/>
      </c>
      <c r="P155" s="20">
        <f>ROUND(P154+IF(AND(E155&lt;=10,F155&lt;&gt;"ASTM A416"),L155,0),3)</f>
        <v/>
      </c>
      <c r="Q155" s="20">
        <f>ROUND(Q154+IF(AND(E155=12,F155&lt;&gt;"ASTM A416"),L155,0),3)</f>
        <v/>
      </c>
      <c r="R155" s="20">
        <f>ROUND(R154+IF(AND(E155=14,F155&lt;&gt;"ASTM A416"),L155,0),3)</f>
        <v/>
      </c>
      <c r="S155" s="20">
        <f>ROUND(S154+IF(AND(E155=16,F155&lt;&gt;"ASTM A416"),L155,0),3)</f>
        <v/>
      </c>
      <c r="T155" s="20">
        <f>ROUND(T154+IF(AND(E155=18,F155&lt;&gt;"ASTM A416"),L155,0),3)</f>
        <v/>
      </c>
      <c r="U155" s="20">
        <f>ROUND(U154+IF(AND(E155=20,F155&lt;&gt;"ASTM A416"),L155,0),3)</f>
        <v/>
      </c>
      <c r="V155" s="20">
        <f>ROUND(V154+IF(AND(E155=22,F155&lt;&gt;"ASTM A416"),L155,0),3)</f>
        <v/>
      </c>
      <c r="W155" s="20">
        <f>ROUND(W154+IF(AND(E155=25,F155&lt;&gt;"ASTM A416"),L155,0),3)</f>
        <v/>
      </c>
      <c r="X155" s="20">
        <f>ROUND(X154+IF(AND(E155=28,F155&lt;&gt;"ASTM A416"),L155,0),3)</f>
        <v/>
      </c>
      <c r="Y155" s="20">
        <f>ROUND(Y154+IF(AND(E155=32,F155&lt;&gt;"ASTM A416"),L155,0),3)</f>
        <v/>
      </c>
      <c r="Z155" s="20">
        <f>ROUND(Z154+IF(F155="ASTM A416",L155,0),3)</f>
        <v/>
      </c>
      <c r="AA155" s="11">
        <f>IF(ROUNDUP(P155/20,0)&gt;ROUNDUP(P154/20,0),"Lần " &amp; ROUNDUP(P155/20,0),"")</f>
        <v/>
      </c>
      <c r="AB155" s="11">
        <f>IF(ROUNDUP(Q155/20,0)&gt;ROUNDUP(Q154/20,0),"Lần " &amp; ROUNDUP(Q155/20,0),"")</f>
        <v/>
      </c>
      <c r="AC155" s="11">
        <f>IF(ROUNDUP(R155/20,0)&gt;ROUNDUP(R154/20,0),"Lần " &amp; ROUNDUP(R155/20,0),"")</f>
        <v/>
      </c>
      <c r="AD155" s="11">
        <f>IF(ROUNDUP(S155/20,0)&gt;ROUNDUP(S154/20,0),"Lần " &amp; ROUNDUP(S155/20,0),"")</f>
        <v/>
      </c>
      <c r="AE155" s="11">
        <f>IF(ROUNDUP(T155/20,0)&gt;ROUNDUP(T154/20,0),"Lần " &amp; ROUNDUP(T155/20,0),"")</f>
        <v/>
      </c>
      <c r="AF155" s="11">
        <f>IF(ROUNDUP(U155/20,0)&gt;ROUNDUP(U154/20,0),"Lần " &amp; ROUNDUP(U155/20,0),"")</f>
        <v/>
      </c>
      <c r="AG155" s="11">
        <f>IF(ROUNDUP(V155/20,0)&gt;ROUNDUP(V154/20,0),"Lần " &amp; ROUNDUP(V155/20,0),"")</f>
        <v/>
      </c>
      <c r="AH155" s="11">
        <f>IF(ROUNDUP(W155/20,0)&gt;ROUNDUP(W154/20,0),"Lần " &amp; ROUNDUP(W155/20,0),"")</f>
        <v/>
      </c>
      <c r="AI155" s="11">
        <f>IF(ROUNDUP(X155/20,0)&gt;ROUNDUP(X154/20,0),"Lần " &amp; ROUNDUP(X155/20,0),"")</f>
        <v/>
      </c>
      <c r="AJ155" s="11">
        <f>IF(ROUNDUP(Y155/20,0)&gt;ROUNDUP(Y154/20,0),"Lần " &amp; ROUNDUP(Y155/20,0),"")</f>
        <v/>
      </c>
      <c r="AK155" s="11">
        <f>IF(ROUNDUP(Z155/20,0)&gt;ROUNDUP(Z154/20,0),"Lần " &amp; ROUNDUP(Z155/20,0),"")</f>
        <v/>
      </c>
      <c r="AL155" s="6" t="n"/>
      <c r="AN155" t="inlineStr">
        <is>
          <t>Than</t>
        </is>
      </c>
      <c r="AO155" t="n">
        <v>42</v>
      </c>
    </row>
    <row r="156" ht="19" customHeight="1">
      <c r="A156" s="6" t="n">
        <v>150</v>
      </c>
      <c r="B156" s="7" t="inlineStr">
        <is>
          <t>Trụ T1 (Thân trụ)</t>
        </is>
      </c>
      <c r="C156" s="7" t="inlineStr">
        <is>
          <t>Thân trụ đặc</t>
        </is>
      </c>
      <c r="D156" s="18" t="inlineStr">
        <is>
          <t>T4b1</t>
        </is>
      </c>
      <c r="E156" s="19" t="n">
        <v>16</v>
      </c>
      <c r="F156" s="6" t="inlineStr">
        <is>
          <t>CB400-V</t>
        </is>
      </c>
      <c r="G156" s="7" t="inlineStr">
        <is>
          <t>S06</t>
        </is>
      </c>
      <c r="H156" s="20" t="n">
        <v>5.652</v>
      </c>
      <c r="I156" s="21" t="n">
        <v>38</v>
      </c>
      <c r="J156" s="22" t="n">
        <v>1.578</v>
      </c>
      <c r="K156" s="9">
        <f>ROUND(H156*I156*J156, 2)</f>
        <v/>
      </c>
      <c r="L156" s="23">
        <f>ROUND(K156/1000, 3)</f>
        <v/>
      </c>
      <c r="M156" s="8">
        <f>IF(AO156="","",IF(INDEX(Theo_Doi_Tan_Suat_Be_Tong!$C:$C,AO156)="","",INDEX(Theo_Doi_Tan_Suat_Be_Tong!$C:$C,AO156)-VLOOKUP(AN156,$AQ$2:$AR$7,2,FALSE)))</f>
        <v/>
      </c>
      <c r="N156" s="6" t="n"/>
      <c r="O156" s="24">
        <f>IF(ROUNDUP(S156/20,0)&gt;ROUNDUP(S155/20,0),"TN Ø16 (Lần " &amp; ROUNDUP(S156/20,0) &amp; ")","")</f>
        <v/>
      </c>
      <c r="P156" s="20">
        <f>ROUND(P155+IF(AND(E156&lt;=10,F156&lt;&gt;"ASTM A416"),L156,0),3)</f>
        <v/>
      </c>
      <c r="Q156" s="20">
        <f>ROUND(Q155+IF(AND(E156=12,F156&lt;&gt;"ASTM A416"),L156,0),3)</f>
        <v/>
      </c>
      <c r="R156" s="20">
        <f>ROUND(R155+IF(AND(E156=14,F156&lt;&gt;"ASTM A416"),L156,0),3)</f>
        <v/>
      </c>
      <c r="S156" s="20">
        <f>ROUND(S155+IF(AND(E156=16,F156&lt;&gt;"ASTM A416"),L156,0),3)</f>
        <v/>
      </c>
      <c r="T156" s="20">
        <f>ROUND(T155+IF(AND(E156=18,F156&lt;&gt;"ASTM A416"),L156,0),3)</f>
        <v/>
      </c>
      <c r="U156" s="20">
        <f>ROUND(U155+IF(AND(E156=20,F156&lt;&gt;"ASTM A416"),L156,0),3)</f>
        <v/>
      </c>
      <c r="V156" s="20">
        <f>ROUND(V155+IF(AND(E156=22,F156&lt;&gt;"ASTM A416"),L156,0),3)</f>
        <v/>
      </c>
      <c r="W156" s="20">
        <f>ROUND(W155+IF(AND(E156=25,F156&lt;&gt;"ASTM A416"),L156,0),3)</f>
        <v/>
      </c>
      <c r="X156" s="20">
        <f>ROUND(X155+IF(AND(E156=28,F156&lt;&gt;"ASTM A416"),L156,0),3)</f>
        <v/>
      </c>
      <c r="Y156" s="20">
        <f>ROUND(Y155+IF(AND(E156=32,F156&lt;&gt;"ASTM A416"),L156,0),3)</f>
        <v/>
      </c>
      <c r="Z156" s="20">
        <f>ROUND(Z155+IF(F156="ASTM A416",L156,0),3)</f>
        <v/>
      </c>
      <c r="AA156" s="11">
        <f>IF(ROUNDUP(P156/20,0)&gt;ROUNDUP(P155/20,0),"Lần " &amp; ROUNDUP(P156/20,0),"")</f>
        <v/>
      </c>
      <c r="AB156" s="11">
        <f>IF(ROUNDUP(Q156/20,0)&gt;ROUNDUP(Q155/20,0),"Lần " &amp; ROUNDUP(Q156/20,0),"")</f>
        <v/>
      </c>
      <c r="AC156" s="11">
        <f>IF(ROUNDUP(R156/20,0)&gt;ROUNDUP(R155/20,0),"Lần " &amp; ROUNDUP(R156/20,0),"")</f>
        <v/>
      </c>
      <c r="AD156" s="11">
        <f>IF(ROUNDUP(S156/20,0)&gt;ROUNDUP(S155/20,0),"Lần " &amp; ROUNDUP(S156/20,0),"")</f>
        <v/>
      </c>
      <c r="AE156" s="11">
        <f>IF(ROUNDUP(T156/20,0)&gt;ROUNDUP(T155/20,0),"Lần " &amp; ROUNDUP(T156/20,0),"")</f>
        <v/>
      </c>
      <c r="AF156" s="11">
        <f>IF(ROUNDUP(U156/20,0)&gt;ROUNDUP(U155/20,0),"Lần " &amp; ROUNDUP(U156/20,0),"")</f>
        <v/>
      </c>
      <c r="AG156" s="11">
        <f>IF(ROUNDUP(V156/20,0)&gt;ROUNDUP(V155/20,0),"Lần " &amp; ROUNDUP(V156/20,0),"")</f>
        <v/>
      </c>
      <c r="AH156" s="11">
        <f>IF(ROUNDUP(W156/20,0)&gt;ROUNDUP(W155/20,0),"Lần " &amp; ROUNDUP(W156/20,0),"")</f>
        <v/>
      </c>
      <c r="AI156" s="11">
        <f>IF(ROUNDUP(X156/20,0)&gt;ROUNDUP(X155/20,0),"Lần " &amp; ROUNDUP(X156/20,0),"")</f>
        <v/>
      </c>
      <c r="AJ156" s="11">
        <f>IF(ROUNDUP(Y156/20,0)&gt;ROUNDUP(Y155/20,0),"Lần " &amp; ROUNDUP(Y156/20,0),"")</f>
        <v/>
      </c>
      <c r="AK156" s="11">
        <f>IF(ROUNDUP(Z156/20,0)&gt;ROUNDUP(Z155/20,0),"Lần " &amp; ROUNDUP(Z156/20,0),"")</f>
        <v/>
      </c>
      <c r="AL156" s="6" t="n"/>
      <c r="AN156" t="inlineStr">
        <is>
          <t>Than</t>
        </is>
      </c>
      <c r="AO156" t="n">
        <v>42</v>
      </c>
    </row>
    <row r="157" ht="19" customHeight="1">
      <c r="A157" s="6" t="n">
        <v>151</v>
      </c>
      <c r="B157" s="7" t="inlineStr">
        <is>
          <t>Trụ T1 (Thân trụ)</t>
        </is>
      </c>
      <c r="C157" s="7" t="inlineStr">
        <is>
          <t>th©n trô ®o¹n 3</t>
        </is>
      </c>
      <c r="D157" s="18" t="inlineStr">
        <is>
          <t>T1c</t>
        </is>
      </c>
      <c r="E157" s="19" t="n">
        <v>32</v>
      </c>
      <c r="F157" s="6" t="inlineStr">
        <is>
          <t>CB400-V</t>
        </is>
      </c>
      <c r="G157" s="7" t="inlineStr">
        <is>
          <t>S28</t>
        </is>
      </c>
      <c r="H157" s="20" t="n">
        <v>6.556</v>
      </c>
      <c r="I157" s="21" t="n">
        <v>122</v>
      </c>
      <c r="J157" s="22" t="n">
        <v>6.313</v>
      </c>
      <c r="K157" s="9">
        <f>ROUND(H157*I157*J157, 2)</f>
        <v/>
      </c>
      <c r="L157" s="23">
        <f>ROUND(K157/1000, 3)</f>
        <v/>
      </c>
      <c r="M157" s="8">
        <f>IF(AO157="","",IF(INDEX(Theo_Doi_Tan_Suat_Be_Tong!$C:$C,AO157)="","",INDEX(Theo_Doi_Tan_Suat_Be_Tong!$C:$C,AO157)-VLOOKUP(AN157,$AQ$2:$AR$7,2,FALSE)))</f>
        <v/>
      </c>
      <c r="N157" s="6" t="n"/>
      <c r="O157" s="24">
        <f>IF(ROUNDUP(Y157/20,0)&gt;ROUNDUP(Y156/20,0),"TN Ø32 (Lần " &amp; ROUNDUP(Y157/20,0) &amp; ")","")</f>
        <v/>
      </c>
      <c r="P157" s="20">
        <f>ROUND(P156+IF(AND(E157&lt;=10,F157&lt;&gt;"ASTM A416"),L157,0),3)</f>
        <v/>
      </c>
      <c r="Q157" s="20">
        <f>ROUND(Q156+IF(AND(E157=12,F157&lt;&gt;"ASTM A416"),L157,0),3)</f>
        <v/>
      </c>
      <c r="R157" s="20">
        <f>ROUND(R156+IF(AND(E157=14,F157&lt;&gt;"ASTM A416"),L157,0),3)</f>
        <v/>
      </c>
      <c r="S157" s="20">
        <f>ROUND(S156+IF(AND(E157=16,F157&lt;&gt;"ASTM A416"),L157,0),3)</f>
        <v/>
      </c>
      <c r="T157" s="20">
        <f>ROUND(T156+IF(AND(E157=18,F157&lt;&gt;"ASTM A416"),L157,0),3)</f>
        <v/>
      </c>
      <c r="U157" s="20">
        <f>ROUND(U156+IF(AND(E157=20,F157&lt;&gt;"ASTM A416"),L157,0),3)</f>
        <v/>
      </c>
      <c r="V157" s="20">
        <f>ROUND(V156+IF(AND(E157=22,F157&lt;&gt;"ASTM A416"),L157,0),3)</f>
        <v/>
      </c>
      <c r="W157" s="20">
        <f>ROUND(W156+IF(AND(E157=25,F157&lt;&gt;"ASTM A416"),L157,0),3)</f>
        <v/>
      </c>
      <c r="X157" s="20">
        <f>ROUND(X156+IF(AND(E157=28,F157&lt;&gt;"ASTM A416"),L157,0),3)</f>
        <v/>
      </c>
      <c r="Y157" s="20">
        <f>ROUND(Y156+IF(AND(E157=32,F157&lt;&gt;"ASTM A416"),L157,0),3)</f>
        <v/>
      </c>
      <c r="Z157" s="20">
        <f>ROUND(Z156+IF(F157="ASTM A416",L157,0),3)</f>
        <v/>
      </c>
      <c r="AA157" s="11">
        <f>IF(ROUNDUP(P157/20,0)&gt;ROUNDUP(P156/20,0),"Lần " &amp; ROUNDUP(P157/20,0),"")</f>
        <v/>
      </c>
      <c r="AB157" s="11">
        <f>IF(ROUNDUP(Q157/20,0)&gt;ROUNDUP(Q156/20,0),"Lần " &amp; ROUNDUP(Q157/20,0),"")</f>
        <v/>
      </c>
      <c r="AC157" s="11">
        <f>IF(ROUNDUP(R157/20,0)&gt;ROUNDUP(R156/20,0),"Lần " &amp; ROUNDUP(R157/20,0),"")</f>
        <v/>
      </c>
      <c r="AD157" s="11">
        <f>IF(ROUNDUP(S157/20,0)&gt;ROUNDUP(S156/20,0),"Lần " &amp; ROUNDUP(S157/20,0),"")</f>
        <v/>
      </c>
      <c r="AE157" s="11">
        <f>IF(ROUNDUP(T157/20,0)&gt;ROUNDUP(T156/20,0),"Lần " &amp; ROUNDUP(T157/20,0),"")</f>
        <v/>
      </c>
      <c r="AF157" s="11">
        <f>IF(ROUNDUP(U157/20,0)&gt;ROUNDUP(U156/20,0),"Lần " &amp; ROUNDUP(U157/20,0),"")</f>
        <v/>
      </c>
      <c r="AG157" s="11">
        <f>IF(ROUNDUP(V157/20,0)&gt;ROUNDUP(V156/20,0),"Lần " &amp; ROUNDUP(V157/20,0),"")</f>
        <v/>
      </c>
      <c r="AH157" s="11">
        <f>IF(ROUNDUP(W157/20,0)&gt;ROUNDUP(W156/20,0),"Lần " &amp; ROUNDUP(W157/20,0),"")</f>
        <v/>
      </c>
      <c r="AI157" s="11">
        <f>IF(ROUNDUP(X157/20,0)&gt;ROUNDUP(X156/20,0),"Lần " &amp; ROUNDUP(X157/20,0),"")</f>
        <v/>
      </c>
      <c r="AJ157" s="11">
        <f>IF(ROUNDUP(Y157/20,0)&gt;ROUNDUP(Y156/20,0),"Lần " &amp; ROUNDUP(Y157/20,0),"")</f>
        <v/>
      </c>
      <c r="AK157" s="11">
        <f>IF(ROUNDUP(Z157/20,0)&gt;ROUNDUP(Z156/20,0),"Lần " &amp; ROUNDUP(Z157/20,0),"")</f>
        <v/>
      </c>
      <c r="AL157" s="6" t="n"/>
      <c r="AN157" t="inlineStr">
        <is>
          <t>Than</t>
        </is>
      </c>
      <c r="AO157" t="n">
        <v>44</v>
      </c>
    </row>
    <row r="158" ht="19" customHeight="1">
      <c r="A158" s="6" t="n">
        <v>152</v>
      </c>
      <c r="B158" s="7" t="inlineStr">
        <is>
          <t>Trụ T1 (Thân trụ)</t>
        </is>
      </c>
      <c r="C158" s="7" t="inlineStr">
        <is>
          <t>Thân trụ đặc</t>
        </is>
      </c>
      <c r="D158" s="18" t="inlineStr">
        <is>
          <t>T2c</t>
        </is>
      </c>
      <c r="E158" s="19" t="n">
        <v>16</v>
      </c>
      <c r="F158" s="6" t="inlineStr">
        <is>
          <t>CB400-V</t>
        </is>
      </c>
      <c r="G158" s="7" t="inlineStr">
        <is>
          <t>S07</t>
        </is>
      </c>
      <c r="H158" s="20" t="n">
        <v>8.436999999999999</v>
      </c>
      <c r="I158" s="21" t="n">
        <v>76</v>
      </c>
      <c r="J158" s="22" t="n">
        <v>1.578</v>
      </c>
      <c r="K158" s="9">
        <f>ROUND(H158*I158*J158, 2)</f>
        <v/>
      </c>
      <c r="L158" s="23">
        <f>ROUND(K158/1000, 3)</f>
        <v/>
      </c>
      <c r="M158" s="8">
        <f>IF(AO158="","",IF(INDEX(Theo_Doi_Tan_Suat_Be_Tong!$C:$C,AO158)="","",INDEX(Theo_Doi_Tan_Suat_Be_Tong!$C:$C,AO158)-VLOOKUP(AN158,$AQ$2:$AR$7,2,FALSE)))</f>
        <v/>
      </c>
      <c r="N158" s="6" t="n"/>
      <c r="O158" s="24">
        <f>IF(ROUNDUP(S158/20,0)&gt;ROUNDUP(S157/20,0),"TN Ø16 (Lần " &amp; ROUNDUP(S158/20,0) &amp; ")","")</f>
        <v/>
      </c>
      <c r="P158" s="20">
        <f>ROUND(P157+IF(AND(E158&lt;=10,F158&lt;&gt;"ASTM A416"),L158,0),3)</f>
        <v/>
      </c>
      <c r="Q158" s="20">
        <f>ROUND(Q157+IF(AND(E158=12,F158&lt;&gt;"ASTM A416"),L158,0),3)</f>
        <v/>
      </c>
      <c r="R158" s="20">
        <f>ROUND(R157+IF(AND(E158=14,F158&lt;&gt;"ASTM A416"),L158,0),3)</f>
        <v/>
      </c>
      <c r="S158" s="20">
        <f>ROUND(S157+IF(AND(E158=16,F158&lt;&gt;"ASTM A416"),L158,0),3)</f>
        <v/>
      </c>
      <c r="T158" s="20">
        <f>ROUND(T157+IF(AND(E158=18,F158&lt;&gt;"ASTM A416"),L158,0),3)</f>
        <v/>
      </c>
      <c r="U158" s="20">
        <f>ROUND(U157+IF(AND(E158=20,F158&lt;&gt;"ASTM A416"),L158,0),3)</f>
        <v/>
      </c>
      <c r="V158" s="20">
        <f>ROUND(V157+IF(AND(E158=22,F158&lt;&gt;"ASTM A416"),L158,0),3)</f>
        <v/>
      </c>
      <c r="W158" s="20">
        <f>ROUND(W157+IF(AND(E158=25,F158&lt;&gt;"ASTM A416"),L158,0),3)</f>
        <v/>
      </c>
      <c r="X158" s="20">
        <f>ROUND(X157+IF(AND(E158=28,F158&lt;&gt;"ASTM A416"),L158,0),3)</f>
        <v/>
      </c>
      <c r="Y158" s="20">
        <f>ROUND(Y157+IF(AND(E158=32,F158&lt;&gt;"ASTM A416"),L158,0),3)</f>
        <v/>
      </c>
      <c r="Z158" s="20">
        <f>ROUND(Z157+IF(F158="ASTM A416",L158,0),3)</f>
        <v/>
      </c>
      <c r="AA158" s="11">
        <f>IF(ROUNDUP(P158/20,0)&gt;ROUNDUP(P157/20,0),"Lần " &amp; ROUNDUP(P158/20,0),"")</f>
        <v/>
      </c>
      <c r="AB158" s="11">
        <f>IF(ROUNDUP(Q158/20,0)&gt;ROUNDUP(Q157/20,0),"Lần " &amp; ROUNDUP(Q158/20,0),"")</f>
        <v/>
      </c>
      <c r="AC158" s="11">
        <f>IF(ROUNDUP(R158/20,0)&gt;ROUNDUP(R157/20,0),"Lần " &amp; ROUNDUP(R158/20,0),"")</f>
        <v/>
      </c>
      <c r="AD158" s="11">
        <f>IF(ROUNDUP(S158/20,0)&gt;ROUNDUP(S157/20,0),"Lần " &amp; ROUNDUP(S158/20,0),"")</f>
        <v/>
      </c>
      <c r="AE158" s="11">
        <f>IF(ROUNDUP(T158/20,0)&gt;ROUNDUP(T157/20,0),"Lần " &amp; ROUNDUP(T158/20,0),"")</f>
        <v/>
      </c>
      <c r="AF158" s="11">
        <f>IF(ROUNDUP(U158/20,0)&gt;ROUNDUP(U157/20,0),"Lần " &amp; ROUNDUP(U158/20,0),"")</f>
        <v/>
      </c>
      <c r="AG158" s="11">
        <f>IF(ROUNDUP(V158/20,0)&gt;ROUNDUP(V157/20,0),"Lần " &amp; ROUNDUP(V158/20,0),"")</f>
        <v/>
      </c>
      <c r="AH158" s="11">
        <f>IF(ROUNDUP(W158/20,0)&gt;ROUNDUP(W157/20,0),"Lần " &amp; ROUNDUP(W158/20,0),"")</f>
        <v/>
      </c>
      <c r="AI158" s="11">
        <f>IF(ROUNDUP(X158/20,0)&gt;ROUNDUP(X157/20,0),"Lần " &amp; ROUNDUP(X158/20,0),"")</f>
        <v/>
      </c>
      <c r="AJ158" s="11">
        <f>IF(ROUNDUP(Y158/20,0)&gt;ROUNDUP(Y157/20,0),"Lần " &amp; ROUNDUP(Y158/20,0),"")</f>
        <v/>
      </c>
      <c r="AK158" s="11">
        <f>IF(ROUNDUP(Z158/20,0)&gt;ROUNDUP(Z157/20,0),"Lần " &amp; ROUNDUP(Z158/20,0),"")</f>
        <v/>
      </c>
      <c r="AL158" s="6" t="n"/>
      <c r="AN158" t="inlineStr">
        <is>
          <t>Than</t>
        </is>
      </c>
      <c r="AO158" t="n">
        <v>42</v>
      </c>
    </row>
    <row r="159" ht="19" customHeight="1">
      <c r="A159" s="6" t="n">
        <v>153</v>
      </c>
      <c r="B159" s="7" t="inlineStr">
        <is>
          <t>Trụ T1 (Thân trụ)</t>
        </is>
      </c>
      <c r="C159" s="7" t="inlineStr">
        <is>
          <t>Thân trụ đặc</t>
        </is>
      </c>
      <c r="D159" s="18" t="inlineStr">
        <is>
          <t>T3c</t>
        </is>
      </c>
      <c r="E159" s="19" t="n">
        <v>16</v>
      </c>
      <c r="F159" s="6" t="inlineStr">
        <is>
          <t>CB400-V</t>
        </is>
      </c>
      <c r="G159" s="7" t="inlineStr">
        <is>
          <t>S51</t>
        </is>
      </c>
      <c r="H159" s="20" t="n">
        <v>9.206</v>
      </c>
      <c r="I159" s="21" t="n">
        <v>76</v>
      </c>
      <c r="J159" s="22" t="n">
        <v>1.578</v>
      </c>
      <c r="K159" s="9">
        <f>ROUND(H159*I159*J159, 2)</f>
        <v/>
      </c>
      <c r="L159" s="23">
        <f>ROUND(K159/1000, 3)</f>
        <v/>
      </c>
      <c r="M159" s="8">
        <f>IF(AO159="","",IF(INDEX(Theo_Doi_Tan_Suat_Be_Tong!$C:$C,AO159)="","",INDEX(Theo_Doi_Tan_Suat_Be_Tong!$C:$C,AO159)-VLOOKUP(AN159,$AQ$2:$AR$7,2,FALSE)))</f>
        <v/>
      </c>
      <c r="N159" s="6" t="n"/>
      <c r="O159" s="24">
        <f>IF(ROUNDUP(S159/20,0)&gt;ROUNDUP(S158/20,0),"TN Ø16 (Lần " &amp; ROUNDUP(S159/20,0) &amp; ")","")</f>
        <v/>
      </c>
      <c r="P159" s="20">
        <f>ROUND(P158+IF(AND(E159&lt;=10,F159&lt;&gt;"ASTM A416"),L159,0),3)</f>
        <v/>
      </c>
      <c r="Q159" s="20">
        <f>ROUND(Q158+IF(AND(E159=12,F159&lt;&gt;"ASTM A416"),L159,0),3)</f>
        <v/>
      </c>
      <c r="R159" s="20">
        <f>ROUND(R158+IF(AND(E159=14,F159&lt;&gt;"ASTM A416"),L159,0),3)</f>
        <v/>
      </c>
      <c r="S159" s="20">
        <f>ROUND(S158+IF(AND(E159=16,F159&lt;&gt;"ASTM A416"),L159,0),3)</f>
        <v/>
      </c>
      <c r="T159" s="20">
        <f>ROUND(T158+IF(AND(E159=18,F159&lt;&gt;"ASTM A416"),L159,0),3)</f>
        <v/>
      </c>
      <c r="U159" s="20">
        <f>ROUND(U158+IF(AND(E159=20,F159&lt;&gt;"ASTM A416"),L159,0),3)</f>
        <v/>
      </c>
      <c r="V159" s="20">
        <f>ROUND(V158+IF(AND(E159=22,F159&lt;&gt;"ASTM A416"),L159,0),3)</f>
        <v/>
      </c>
      <c r="W159" s="20">
        <f>ROUND(W158+IF(AND(E159=25,F159&lt;&gt;"ASTM A416"),L159,0),3)</f>
        <v/>
      </c>
      <c r="X159" s="20">
        <f>ROUND(X158+IF(AND(E159=28,F159&lt;&gt;"ASTM A416"),L159,0),3)</f>
        <v/>
      </c>
      <c r="Y159" s="20">
        <f>ROUND(Y158+IF(AND(E159=32,F159&lt;&gt;"ASTM A416"),L159,0),3)</f>
        <v/>
      </c>
      <c r="Z159" s="20">
        <f>ROUND(Z158+IF(F159="ASTM A416",L159,0),3)</f>
        <v/>
      </c>
      <c r="AA159" s="11">
        <f>IF(ROUNDUP(P159/20,0)&gt;ROUNDUP(P158/20,0),"Lần " &amp; ROUNDUP(P159/20,0),"")</f>
        <v/>
      </c>
      <c r="AB159" s="11">
        <f>IF(ROUNDUP(Q159/20,0)&gt;ROUNDUP(Q158/20,0),"Lần " &amp; ROUNDUP(Q159/20,0),"")</f>
        <v/>
      </c>
      <c r="AC159" s="11">
        <f>IF(ROUNDUP(R159/20,0)&gt;ROUNDUP(R158/20,0),"Lần " &amp; ROUNDUP(R159/20,0),"")</f>
        <v/>
      </c>
      <c r="AD159" s="11">
        <f>IF(ROUNDUP(S159/20,0)&gt;ROUNDUP(S158/20,0),"Lần " &amp; ROUNDUP(S159/20,0),"")</f>
        <v/>
      </c>
      <c r="AE159" s="11">
        <f>IF(ROUNDUP(T159/20,0)&gt;ROUNDUP(T158/20,0),"Lần " &amp; ROUNDUP(T159/20,0),"")</f>
        <v/>
      </c>
      <c r="AF159" s="11">
        <f>IF(ROUNDUP(U159/20,0)&gt;ROUNDUP(U158/20,0),"Lần " &amp; ROUNDUP(U159/20,0),"")</f>
        <v/>
      </c>
      <c r="AG159" s="11">
        <f>IF(ROUNDUP(V159/20,0)&gt;ROUNDUP(V158/20,0),"Lần " &amp; ROUNDUP(V159/20,0),"")</f>
        <v/>
      </c>
      <c r="AH159" s="11">
        <f>IF(ROUNDUP(W159/20,0)&gt;ROUNDUP(W158/20,0),"Lần " &amp; ROUNDUP(W159/20,0),"")</f>
        <v/>
      </c>
      <c r="AI159" s="11">
        <f>IF(ROUNDUP(X159/20,0)&gt;ROUNDUP(X158/20,0),"Lần " &amp; ROUNDUP(X159/20,0),"")</f>
        <v/>
      </c>
      <c r="AJ159" s="11">
        <f>IF(ROUNDUP(Y159/20,0)&gt;ROUNDUP(Y158/20,0),"Lần " &amp; ROUNDUP(Y159/20,0),"")</f>
        <v/>
      </c>
      <c r="AK159" s="11">
        <f>IF(ROUNDUP(Z159/20,0)&gt;ROUNDUP(Z158/20,0),"Lần " &amp; ROUNDUP(Z159/20,0),"")</f>
        <v/>
      </c>
      <c r="AL159" s="6" t="n"/>
      <c r="AN159" t="inlineStr">
        <is>
          <t>Than</t>
        </is>
      </c>
      <c r="AO159" t="n">
        <v>42</v>
      </c>
    </row>
    <row r="160" ht="19" customHeight="1">
      <c r="A160" s="6" t="n">
        <v>154</v>
      </c>
      <c r="B160" s="7" t="inlineStr">
        <is>
          <t>Trụ T1 (Thân trụ)</t>
        </is>
      </c>
      <c r="C160" s="7" t="inlineStr">
        <is>
          <t>Thân trụ đặc</t>
        </is>
      </c>
      <c r="D160" s="18" t="inlineStr">
        <is>
          <t>T4c</t>
        </is>
      </c>
      <c r="E160" s="19" t="n">
        <v>16</v>
      </c>
      <c r="F160" s="6" t="inlineStr">
        <is>
          <t>CB400-V</t>
        </is>
      </c>
      <c r="G160" s="7" t="inlineStr">
        <is>
          <t>S06</t>
        </is>
      </c>
      <c r="H160" s="20" t="n">
        <v>6.532</v>
      </c>
      <c r="I160" s="21" t="n">
        <v>9</v>
      </c>
      <c r="J160" s="22" t="n">
        <v>1.578</v>
      </c>
      <c r="K160" s="9">
        <f>ROUND(H160*I160*J160, 2)</f>
        <v/>
      </c>
      <c r="L160" s="23">
        <f>ROUND(K160/1000, 3)</f>
        <v/>
      </c>
      <c r="M160" s="8">
        <f>IF(AO160="","",IF(INDEX(Theo_Doi_Tan_Suat_Be_Tong!$C:$C,AO160)="","",INDEX(Theo_Doi_Tan_Suat_Be_Tong!$C:$C,AO160)-VLOOKUP(AN160,$AQ$2:$AR$7,2,FALSE)))</f>
        <v/>
      </c>
      <c r="N160" s="6" t="n"/>
      <c r="O160" s="24">
        <f>IF(ROUNDUP(S160/20,0)&gt;ROUNDUP(S159/20,0),"TN Ø16 (Lần " &amp; ROUNDUP(S160/20,0) &amp; ")","")</f>
        <v/>
      </c>
      <c r="P160" s="20">
        <f>ROUND(P159+IF(AND(E160&lt;=10,F160&lt;&gt;"ASTM A416"),L160,0),3)</f>
        <v/>
      </c>
      <c r="Q160" s="20">
        <f>ROUND(Q159+IF(AND(E160=12,F160&lt;&gt;"ASTM A416"),L160,0),3)</f>
        <v/>
      </c>
      <c r="R160" s="20">
        <f>ROUND(R159+IF(AND(E160=14,F160&lt;&gt;"ASTM A416"),L160,0),3)</f>
        <v/>
      </c>
      <c r="S160" s="20">
        <f>ROUND(S159+IF(AND(E160=16,F160&lt;&gt;"ASTM A416"),L160,0),3)</f>
        <v/>
      </c>
      <c r="T160" s="20">
        <f>ROUND(T159+IF(AND(E160=18,F160&lt;&gt;"ASTM A416"),L160,0),3)</f>
        <v/>
      </c>
      <c r="U160" s="20">
        <f>ROUND(U159+IF(AND(E160=20,F160&lt;&gt;"ASTM A416"),L160,0),3)</f>
        <v/>
      </c>
      <c r="V160" s="20">
        <f>ROUND(V159+IF(AND(E160=22,F160&lt;&gt;"ASTM A416"),L160,0),3)</f>
        <v/>
      </c>
      <c r="W160" s="20">
        <f>ROUND(W159+IF(AND(E160=25,F160&lt;&gt;"ASTM A416"),L160,0),3)</f>
        <v/>
      </c>
      <c r="X160" s="20">
        <f>ROUND(X159+IF(AND(E160=28,F160&lt;&gt;"ASTM A416"),L160,0),3)</f>
        <v/>
      </c>
      <c r="Y160" s="20">
        <f>ROUND(Y159+IF(AND(E160=32,F160&lt;&gt;"ASTM A416"),L160,0),3)</f>
        <v/>
      </c>
      <c r="Z160" s="20">
        <f>ROUND(Z159+IF(F160="ASTM A416",L160,0),3)</f>
        <v/>
      </c>
      <c r="AA160" s="11">
        <f>IF(ROUNDUP(P160/20,0)&gt;ROUNDUP(P159/20,0),"Lần " &amp; ROUNDUP(P160/20,0),"")</f>
        <v/>
      </c>
      <c r="AB160" s="11">
        <f>IF(ROUNDUP(Q160/20,0)&gt;ROUNDUP(Q159/20,0),"Lần " &amp; ROUNDUP(Q160/20,0),"")</f>
        <v/>
      </c>
      <c r="AC160" s="11">
        <f>IF(ROUNDUP(R160/20,0)&gt;ROUNDUP(R159/20,0),"Lần " &amp; ROUNDUP(R160/20,0),"")</f>
        <v/>
      </c>
      <c r="AD160" s="11">
        <f>IF(ROUNDUP(S160/20,0)&gt;ROUNDUP(S159/20,0),"Lần " &amp; ROUNDUP(S160/20,0),"")</f>
        <v/>
      </c>
      <c r="AE160" s="11">
        <f>IF(ROUNDUP(T160/20,0)&gt;ROUNDUP(T159/20,0),"Lần " &amp; ROUNDUP(T160/20,0),"")</f>
        <v/>
      </c>
      <c r="AF160" s="11">
        <f>IF(ROUNDUP(U160/20,0)&gt;ROUNDUP(U159/20,0),"Lần " &amp; ROUNDUP(U160/20,0),"")</f>
        <v/>
      </c>
      <c r="AG160" s="11">
        <f>IF(ROUNDUP(V160/20,0)&gt;ROUNDUP(V159/20,0),"Lần " &amp; ROUNDUP(V160/20,0),"")</f>
        <v/>
      </c>
      <c r="AH160" s="11">
        <f>IF(ROUNDUP(W160/20,0)&gt;ROUNDUP(W159/20,0),"Lần " &amp; ROUNDUP(W160/20,0),"")</f>
        <v/>
      </c>
      <c r="AI160" s="11">
        <f>IF(ROUNDUP(X160/20,0)&gt;ROUNDUP(X159/20,0),"Lần " &amp; ROUNDUP(X160/20,0),"")</f>
        <v/>
      </c>
      <c r="AJ160" s="11">
        <f>IF(ROUNDUP(Y160/20,0)&gt;ROUNDUP(Y159/20,0),"Lần " &amp; ROUNDUP(Y160/20,0),"")</f>
        <v/>
      </c>
      <c r="AK160" s="11">
        <f>IF(ROUNDUP(Z160/20,0)&gt;ROUNDUP(Z159/20,0),"Lần " &amp; ROUNDUP(Z160/20,0),"")</f>
        <v/>
      </c>
      <c r="AL160" s="6" t="n"/>
      <c r="AN160" t="inlineStr">
        <is>
          <t>Than</t>
        </is>
      </c>
      <c r="AO160" t="n">
        <v>42</v>
      </c>
    </row>
    <row r="161" ht="20" customHeight="1">
      <c r="A161" s="6" t="n">
        <v>155</v>
      </c>
      <c r="B161" s="7" t="inlineStr">
        <is>
          <t>Trụ T1 (Thân trụ)</t>
        </is>
      </c>
      <c r="C161" s="7" t="inlineStr">
        <is>
          <t>Thân trụ đặc</t>
        </is>
      </c>
      <c r="D161" s="18" t="inlineStr">
        <is>
          <t>T4c1</t>
        </is>
      </c>
      <c r="E161" s="19" t="n">
        <v>16</v>
      </c>
      <c r="F161" s="6" t="inlineStr">
        <is>
          <t>CB400-V</t>
        </is>
      </c>
      <c r="G161" s="7" t="inlineStr">
        <is>
          <t>S06</t>
        </is>
      </c>
      <c r="H161" s="20" t="n">
        <v>6.202</v>
      </c>
      <c r="I161" s="21" t="n">
        <v>18</v>
      </c>
      <c r="J161" s="22" t="n">
        <v>1.578</v>
      </c>
      <c r="K161" s="9">
        <f>ROUND(H161*I161*J161, 2)</f>
        <v/>
      </c>
      <c r="L161" s="23">
        <f>ROUND(K161/1000, 3)</f>
        <v/>
      </c>
      <c r="M161" s="8">
        <f>IF(AO161="","",IF(INDEX(Theo_Doi_Tan_Suat_Be_Tong!$C:$C,AO161)="","",INDEX(Theo_Doi_Tan_Suat_Be_Tong!$C:$C,AO161)-VLOOKUP(AN161,$AQ$2:$AR$7,2,FALSE)))</f>
        <v/>
      </c>
      <c r="N161" s="6" t="n"/>
      <c r="O161" s="24">
        <f>IF(ROUNDUP(S161/20,0)&gt;ROUNDUP(S160/20,0),"TN Ø16 (Lần " &amp; ROUNDUP(S161/20,0) &amp; ")","")</f>
        <v/>
      </c>
      <c r="P161" s="20">
        <f>ROUND(P160+IF(AND(E161&lt;=10,F161&lt;&gt;"ASTM A416"),L161,0),3)</f>
        <v/>
      </c>
      <c r="Q161" s="20">
        <f>ROUND(Q160+IF(AND(E161=12,F161&lt;&gt;"ASTM A416"),L161,0),3)</f>
        <v/>
      </c>
      <c r="R161" s="20">
        <f>ROUND(R160+IF(AND(E161=14,F161&lt;&gt;"ASTM A416"),L161,0),3)</f>
        <v/>
      </c>
      <c r="S161" s="20">
        <f>ROUND(S160+IF(AND(E161=16,F161&lt;&gt;"ASTM A416"),L161,0),3)</f>
        <v/>
      </c>
      <c r="T161" s="20">
        <f>ROUND(T160+IF(AND(E161=18,F161&lt;&gt;"ASTM A416"),L161,0),3)</f>
        <v/>
      </c>
      <c r="U161" s="20">
        <f>ROUND(U160+IF(AND(E161=20,F161&lt;&gt;"ASTM A416"),L161,0),3)</f>
        <v/>
      </c>
      <c r="V161" s="20">
        <f>ROUND(V160+IF(AND(E161=22,F161&lt;&gt;"ASTM A416"),L161,0),3)</f>
        <v/>
      </c>
      <c r="W161" s="20">
        <f>ROUND(W160+IF(AND(E161=25,F161&lt;&gt;"ASTM A416"),L161,0),3)</f>
        <v/>
      </c>
      <c r="X161" s="20">
        <f>ROUND(X160+IF(AND(E161=28,F161&lt;&gt;"ASTM A416"),L161,0),3)</f>
        <v/>
      </c>
      <c r="Y161" s="20">
        <f>ROUND(Y160+IF(AND(E161=32,F161&lt;&gt;"ASTM A416"),L161,0),3)</f>
        <v/>
      </c>
      <c r="Z161" s="20">
        <f>ROUND(Z160+IF(F161="ASTM A416",L161,0),3)</f>
        <v/>
      </c>
      <c r="AA161" s="11">
        <f>IF(ROUNDUP(P161/20,0)&gt;ROUNDUP(P160/20,0),"Lần " &amp; ROUNDUP(P161/20,0),"")</f>
        <v/>
      </c>
      <c r="AB161" s="11">
        <f>IF(ROUNDUP(Q161/20,0)&gt;ROUNDUP(Q160/20,0),"Lần " &amp; ROUNDUP(Q161/20,0),"")</f>
        <v/>
      </c>
      <c r="AC161" s="11">
        <f>IF(ROUNDUP(R161/20,0)&gt;ROUNDUP(R160/20,0),"Lần " &amp; ROUNDUP(R161/20,0),"")</f>
        <v/>
      </c>
      <c r="AD161" s="11">
        <f>IF(ROUNDUP(S161/20,0)&gt;ROUNDUP(S160/20,0),"Lần " &amp; ROUNDUP(S161/20,0),"")</f>
        <v/>
      </c>
      <c r="AE161" s="11">
        <f>IF(ROUNDUP(T161/20,0)&gt;ROUNDUP(T160/20,0),"Lần " &amp; ROUNDUP(T161/20,0),"")</f>
        <v/>
      </c>
      <c r="AF161" s="11">
        <f>IF(ROUNDUP(U161/20,0)&gt;ROUNDUP(U160/20,0),"Lần " &amp; ROUNDUP(U161/20,0),"")</f>
        <v/>
      </c>
      <c r="AG161" s="11">
        <f>IF(ROUNDUP(V161/20,0)&gt;ROUNDUP(V160/20,0),"Lần " &amp; ROUNDUP(V161/20,0),"")</f>
        <v/>
      </c>
      <c r="AH161" s="11">
        <f>IF(ROUNDUP(W161/20,0)&gt;ROUNDUP(W160/20,0),"Lần " &amp; ROUNDUP(W161/20,0),"")</f>
        <v/>
      </c>
      <c r="AI161" s="11">
        <f>IF(ROUNDUP(X161/20,0)&gt;ROUNDUP(X160/20,0),"Lần " &amp; ROUNDUP(X161/20,0),"")</f>
        <v/>
      </c>
      <c r="AJ161" s="11">
        <f>IF(ROUNDUP(Y161/20,0)&gt;ROUNDUP(Y160/20,0),"Lần " &amp; ROUNDUP(Y161/20,0),"")</f>
        <v/>
      </c>
      <c r="AK161" s="11">
        <f>IF(ROUNDUP(Z161/20,0)&gt;ROUNDUP(Z160/20,0),"Lần " &amp; ROUNDUP(Z161/20,0),"")</f>
        <v/>
      </c>
      <c r="AL161" s="6" t="n"/>
      <c r="AN161" t="inlineStr">
        <is>
          <t>Than</t>
        </is>
      </c>
      <c r="AO161" t="n">
        <v>42</v>
      </c>
    </row>
    <row r="162" ht="19" customHeight="1">
      <c r="A162" s="17" t="inlineStr">
        <is>
          <t>--- TRỤ T2 (THÂN TRỤ) ---</t>
        </is>
      </c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 t="n"/>
      <c r="AF162" s="35" t="n"/>
      <c r="AG162" s="35" t="n"/>
      <c r="AH162" s="35" t="n"/>
      <c r="AI162" s="35" t="n"/>
      <c r="AJ162" s="35" t="n"/>
      <c r="AK162" s="35" t="n"/>
      <c r="AL162" s="34" t="n"/>
    </row>
    <row r="163" ht="19" customHeight="1">
      <c r="A163" s="6" t="n">
        <v>156</v>
      </c>
      <c r="B163" s="7" t="inlineStr">
        <is>
          <t>Trụ T2 (Thân trụ)</t>
        </is>
      </c>
      <c r="C163" s="7" t="inlineStr">
        <is>
          <t>th©n trô ®o¹n 1</t>
        </is>
      </c>
      <c r="D163" s="18" t="inlineStr">
        <is>
          <t>T1a</t>
        </is>
      </c>
      <c r="E163" s="19" t="n">
        <v>32</v>
      </c>
      <c r="F163" s="6" t="inlineStr">
        <is>
          <t>CB400-V</t>
        </is>
      </c>
      <c r="G163" s="7" t="inlineStr">
        <is>
          <t>S02</t>
        </is>
      </c>
      <c r="H163" s="20" t="n">
        <v>14.256</v>
      </c>
      <c r="I163" s="21" t="n">
        <v>90</v>
      </c>
      <c r="J163" s="22" t="n">
        <v>6.313</v>
      </c>
      <c r="K163" s="9">
        <f>ROUND(H163*I163*J163, 2)</f>
        <v/>
      </c>
      <c r="L163" s="23">
        <f>ROUND(K163/1000, 3)</f>
        <v/>
      </c>
      <c r="M163" s="8">
        <f>IF(AO163="","",IF(INDEX(Theo_Doi_Tan_Suat_Be_Tong!$C:$C,AO163)="","",INDEX(Theo_Doi_Tan_Suat_Be_Tong!$C:$C,AO163)-VLOOKUP(AN163,$AQ$2:$AR$7,2,FALSE)))</f>
        <v/>
      </c>
      <c r="N163" s="6" t="n"/>
      <c r="O163" s="24">
        <f>IF(ROUNDUP(Y163/20,0)&gt;ROUNDUP(Y161/20,0),"TN Ø32 (Lần " &amp; ROUNDUP(Y163/20,0) &amp; ")","")</f>
        <v/>
      </c>
      <c r="P163" s="20">
        <f>ROUND(P161+IF(AND(E163&lt;=10,F163&lt;&gt;"ASTM A416"),L163,0),3)</f>
        <v/>
      </c>
      <c r="Q163" s="20">
        <f>ROUND(Q161+IF(AND(E163=12,F163&lt;&gt;"ASTM A416"),L163,0),3)</f>
        <v/>
      </c>
      <c r="R163" s="20">
        <f>ROUND(R161+IF(AND(E163=14,F163&lt;&gt;"ASTM A416"),L163,0),3)</f>
        <v/>
      </c>
      <c r="S163" s="20">
        <f>ROUND(S161+IF(AND(E163=16,F163&lt;&gt;"ASTM A416"),L163,0),3)</f>
        <v/>
      </c>
      <c r="T163" s="20">
        <f>ROUND(T161+IF(AND(E163=18,F163&lt;&gt;"ASTM A416"),L163,0),3)</f>
        <v/>
      </c>
      <c r="U163" s="20">
        <f>ROUND(U161+IF(AND(E163=20,F163&lt;&gt;"ASTM A416"),L163,0),3)</f>
        <v/>
      </c>
      <c r="V163" s="20">
        <f>ROUND(V161+IF(AND(E163=22,F163&lt;&gt;"ASTM A416"),L163,0),3)</f>
        <v/>
      </c>
      <c r="W163" s="20">
        <f>ROUND(W161+IF(AND(E163=25,F163&lt;&gt;"ASTM A416"),L163,0),3)</f>
        <v/>
      </c>
      <c r="X163" s="20">
        <f>ROUND(X161+IF(AND(E163=28,F163&lt;&gt;"ASTM A416"),L163,0),3)</f>
        <v/>
      </c>
      <c r="Y163" s="20">
        <f>ROUND(Y161+IF(AND(E163=32,F163&lt;&gt;"ASTM A416"),L163,0),3)</f>
        <v/>
      </c>
      <c r="Z163" s="20">
        <f>ROUND(Z161+IF(F163="ASTM A416",L163,0),3)</f>
        <v/>
      </c>
      <c r="AA163" s="11">
        <f>IF(ROUNDUP(P163/20,0)&gt;ROUNDUP(P161/20,0),"Lần " &amp; ROUNDUP(P163/20,0),"")</f>
        <v/>
      </c>
      <c r="AB163" s="11">
        <f>IF(ROUNDUP(Q163/20,0)&gt;ROUNDUP(Q161/20,0),"Lần " &amp; ROUNDUP(Q163/20,0),"")</f>
        <v/>
      </c>
      <c r="AC163" s="11">
        <f>IF(ROUNDUP(R163/20,0)&gt;ROUNDUP(R161/20,0),"Lần " &amp; ROUNDUP(R163/20,0),"")</f>
        <v/>
      </c>
      <c r="AD163" s="11">
        <f>IF(ROUNDUP(S163/20,0)&gt;ROUNDUP(S161/20,0),"Lần " &amp; ROUNDUP(S163/20,0),"")</f>
        <v/>
      </c>
      <c r="AE163" s="11">
        <f>IF(ROUNDUP(T163/20,0)&gt;ROUNDUP(T161/20,0),"Lần " &amp; ROUNDUP(T163/20,0),"")</f>
        <v/>
      </c>
      <c r="AF163" s="11">
        <f>IF(ROUNDUP(U163/20,0)&gt;ROUNDUP(U161/20,0),"Lần " &amp; ROUNDUP(U163/20,0),"")</f>
        <v/>
      </c>
      <c r="AG163" s="11">
        <f>IF(ROUNDUP(V163/20,0)&gt;ROUNDUP(V161/20,0),"Lần " &amp; ROUNDUP(V163/20,0),"")</f>
        <v/>
      </c>
      <c r="AH163" s="11">
        <f>IF(ROUNDUP(W163/20,0)&gt;ROUNDUP(W161/20,0),"Lần " &amp; ROUNDUP(W163/20,0),"")</f>
        <v/>
      </c>
      <c r="AI163" s="11">
        <f>IF(ROUNDUP(X163/20,0)&gt;ROUNDUP(X161/20,0),"Lần " &amp; ROUNDUP(X163/20,0),"")</f>
        <v/>
      </c>
      <c r="AJ163" s="11">
        <f>IF(ROUNDUP(Y163/20,0)&gt;ROUNDUP(Y161/20,0),"Lần " &amp; ROUNDUP(Y163/20,0),"")</f>
        <v/>
      </c>
      <c r="AK163" s="11">
        <f>IF(ROUNDUP(Z163/20,0)&gt;ROUNDUP(Z161/20,0),"Lần " &amp; ROUNDUP(Z163/20,0),"")</f>
        <v/>
      </c>
      <c r="AL163" s="6" t="n"/>
      <c r="AN163" t="inlineStr">
        <is>
          <t>Than</t>
        </is>
      </c>
      <c r="AO163" t="n">
        <v>46</v>
      </c>
    </row>
    <row r="164" ht="19" customHeight="1">
      <c r="A164" s="6" t="n">
        <v>157</v>
      </c>
      <c r="B164" s="7" t="inlineStr">
        <is>
          <t>Trụ T2 (Thân trụ)</t>
        </is>
      </c>
      <c r="C164" s="7" t="inlineStr">
        <is>
          <t>Thân trụ đặc</t>
        </is>
      </c>
      <c r="D164" s="18" t="inlineStr">
        <is>
          <t>T2a</t>
        </is>
      </c>
      <c r="E164" s="19" t="n">
        <v>16</v>
      </c>
      <c r="F164" s="6" t="inlineStr">
        <is>
          <t>CB400-V</t>
        </is>
      </c>
      <c r="G164" s="7" t="inlineStr">
        <is>
          <t>S07</t>
        </is>
      </c>
      <c r="H164" s="20" t="n">
        <v>5.352</v>
      </c>
      <c r="I164" s="21" t="n">
        <v>176</v>
      </c>
      <c r="J164" s="22" t="n">
        <v>1.578</v>
      </c>
      <c r="K164" s="9">
        <f>ROUND(H164*I164*J164, 2)</f>
        <v/>
      </c>
      <c r="L164" s="23">
        <f>ROUND(K164/1000, 3)</f>
        <v/>
      </c>
      <c r="M164" s="8">
        <f>IF(AO164="","",IF(INDEX(Theo_Doi_Tan_Suat_Be_Tong!$C:$C,AO164)="","",INDEX(Theo_Doi_Tan_Suat_Be_Tong!$C:$C,AO164)-VLOOKUP(AN164,$AQ$2:$AR$7,2,FALSE)))</f>
        <v/>
      </c>
      <c r="N164" s="6" t="n"/>
      <c r="O164" s="24">
        <f>IF(ROUNDUP(S164/20,0)&gt;ROUNDUP(S163/20,0),"TN Ø16 (Lần " &amp; ROUNDUP(S164/20,0) &amp; ")","")</f>
        <v/>
      </c>
      <c r="P164" s="20">
        <f>ROUND(P163+IF(AND(E164&lt;=10,F164&lt;&gt;"ASTM A416"),L164,0),3)</f>
        <v/>
      </c>
      <c r="Q164" s="20">
        <f>ROUND(Q163+IF(AND(E164=12,F164&lt;&gt;"ASTM A416"),L164,0),3)</f>
        <v/>
      </c>
      <c r="R164" s="20">
        <f>ROUND(R163+IF(AND(E164=14,F164&lt;&gt;"ASTM A416"),L164,0),3)</f>
        <v/>
      </c>
      <c r="S164" s="20">
        <f>ROUND(S163+IF(AND(E164=16,F164&lt;&gt;"ASTM A416"),L164,0),3)</f>
        <v/>
      </c>
      <c r="T164" s="20">
        <f>ROUND(T163+IF(AND(E164=18,F164&lt;&gt;"ASTM A416"),L164,0),3)</f>
        <v/>
      </c>
      <c r="U164" s="20">
        <f>ROUND(U163+IF(AND(E164=20,F164&lt;&gt;"ASTM A416"),L164,0),3)</f>
        <v/>
      </c>
      <c r="V164" s="20">
        <f>ROUND(V163+IF(AND(E164=22,F164&lt;&gt;"ASTM A416"),L164,0),3)</f>
        <v/>
      </c>
      <c r="W164" s="20">
        <f>ROUND(W163+IF(AND(E164=25,F164&lt;&gt;"ASTM A416"),L164,0),3)</f>
        <v/>
      </c>
      <c r="X164" s="20">
        <f>ROUND(X163+IF(AND(E164=28,F164&lt;&gt;"ASTM A416"),L164,0),3)</f>
        <v/>
      </c>
      <c r="Y164" s="20">
        <f>ROUND(Y163+IF(AND(E164=32,F164&lt;&gt;"ASTM A416"),L164,0),3)</f>
        <v/>
      </c>
      <c r="Z164" s="20">
        <f>ROUND(Z163+IF(F164="ASTM A416",L164,0),3)</f>
        <v/>
      </c>
      <c r="AA164" s="11">
        <f>IF(ROUNDUP(P164/20,0)&gt;ROUNDUP(P163/20,0),"Lần " &amp; ROUNDUP(P164/20,0),"")</f>
        <v/>
      </c>
      <c r="AB164" s="11">
        <f>IF(ROUNDUP(Q164/20,0)&gt;ROUNDUP(Q163/20,0),"Lần " &amp; ROUNDUP(Q164/20,0),"")</f>
        <v/>
      </c>
      <c r="AC164" s="11">
        <f>IF(ROUNDUP(R164/20,0)&gt;ROUNDUP(R163/20,0),"Lần " &amp; ROUNDUP(R164/20,0),"")</f>
        <v/>
      </c>
      <c r="AD164" s="11">
        <f>IF(ROUNDUP(S164/20,0)&gt;ROUNDUP(S163/20,0),"Lần " &amp; ROUNDUP(S164/20,0),"")</f>
        <v/>
      </c>
      <c r="AE164" s="11">
        <f>IF(ROUNDUP(T164/20,0)&gt;ROUNDUP(T163/20,0),"Lần " &amp; ROUNDUP(T164/20,0),"")</f>
        <v/>
      </c>
      <c r="AF164" s="11">
        <f>IF(ROUNDUP(U164/20,0)&gt;ROUNDUP(U163/20,0),"Lần " &amp; ROUNDUP(U164/20,0),"")</f>
        <v/>
      </c>
      <c r="AG164" s="11">
        <f>IF(ROUNDUP(V164/20,0)&gt;ROUNDUP(V163/20,0),"Lần " &amp; ROUNDUP(V164/20,0),"")</f>
        <v/>
      </c>
      <c r="AH164" s="11">
        <f>IF(ROUNDUP(W164/20,0)&gt;ROUNDUP(W163/20,0),"Lần " &amp; ROUNDUP(W164/20,0),"")</f>
        <v/>
      </c>
      <c r="AI164" s="11">
        <f>IF(ROUNDUP(X164/20,0)&gt;ROUNDUP(X163/20,0),"Lần " &amp; ROUNDUP(X164/20,0),"")</f>
        <v/>
      </c>
      <c r="AJ164" s="11">
        <f>IF(ROUNDUP(Y164/20,0)&gt;ROUNDUP(Y163/20,0),"Lần " &amp; ROUNDUP(Y164/20,0),"")</f>
        <v/>
      </c>
      <c r="AK164" s="11">
        <f>IF(ROUNDUP(Z164/20,0)&gt;ROUNDUP(Z163/20,0),"Lần " &amp; ROUNDUP(Z164/20,0),"")</f>
        <v/>
      </c>
      <c r="AL164" s="6" t="n"/>
      <c r="AN164" t="inlineStr">
        <is>
          <t>Than</t>
        </is>
      </c>
      <c r="AO164" t="n">
        <v>46</v>
      </c>
    </row>
    <row r="165" ht="19" customHeight="1">
      <c r="A165" s="6" t="n">
        <v>158</v>
      </c>
      <c r="B165" s="7" t="inlineStr">
        <is>
          <t>Trụ T2 (Thân trụ)</t>
        </is>
      </c>
      <c r="C165" s="7" t="inlineStr">
        <is>
          <t>Thân trụ đặc</t>
        </is>
      </c>
      <c r="D165" s="18" t="inlineStr">
        <is>
          <t>T3a</t>
        </is>
      </c>
      <c r="E165" s="19" t="n">
        <v>16</v>
      </c>
      <c r="F165" s="6" t="inlineStr">
        <is>
          <t>CB400-V</t>
        </is>
      </c>
      <c r="G165" s="7" t="inlineStr">
        <is>
          <t>S51</t>
        </is>
      </c>
      <c r="H165" s="20" t="n">
        <v>6.806</v>
      </c>
      <c r="I165" s="21" t="n">
        <v>176</v>
      </c>
      <c r="J165" s="22" t="n">
        <v>1.578</v>
      </c>
      <c r="K165" s="9">
        <f>ROUND(H165*I165*J165, 2)</f>
        <v/>
      </c>
      <c r="L165" s="23">
        <f>ROUND(K165/1000, 3)</f>
        <v/>
      </c>
      <c r="M165" s="8">
        <f>IF(AO165="","",IF(INDEX(Theo_Doi_Tan_Suat_Be_Tong!$C:$C,AO165)="","",INDEX(Theo_Doi_Tan_Suat_Be_Tong!$C:$C,AO165)-VLOOKUP(AN165,$AQ$2:$AR$7,2,FALSE)))</f>
        <v/>
      </c>
      <c r="N165" s="6" t="n"/>
      <c r="O165" s="24">
        <f>IF(ROUNDUP(S165/20,0)&gt;ROUNDUP(S164/20,0),"TN Ø16 (Lần " &amp; ROUNDUP(S165/20,0) &amp; ")","")</f>
        <v/>
      </c>
      <c r="P165" s="20">
        <f>ROUND(P164+IF(AND(E165&lt;=10,F165&lt;&gt;"ASTM A416"),L165,0),3)</f>
        <v/>
      </c>
      <c r="Q165" s="20">
        <f>ROUND(Q164+IF(AND(E165=12,F165&lt;&gt;"ASTM A416"),L165,0),3)</f>
        <v/>
      </c>
      <c r="R165" s="20">
        <f>ROUND(R164+IF(AND(E165=14,F165&lt;&gt;"ASTM A416"),L165,0),3)</f>
        <v/>
      </c>
      <c r="S165" s="20">
        <f>ROUND(S164+IF(AND(E165=16,F165&lt;&gt;"ASTM A416"),L165,0),3)</f>
        <v/>
      </c>
      <c r="T165" s="20">
        <f>ROUND(T164+IF(AND(E165=18,F165&lt;&gt;"ASTM A416"),L165,0),3)</f>
        <v/>
      </c>
      <c r="U165" s="20">
        <f>ROUND(U164+IF(AND(E165=20,F165&lt;&gt;"ASTM A416"),L165,0),3)</f>
        <v/>
      </c>
      <c r="V165" s="20">
        <f>ROUND(V164+IF(AND(E165=22,F165&lt;&gt;"ASTM A416"),L165,0),3)</f>
        <v/>
      </c>
      <c r="W165" s="20">
        <f>ROUND(W164+IF(AND(E165=25,F165&lt;&gt;"ASTM A416"),L165,0),3)</f>
        <v/>
      </c>
      <c r="X165" s="20">
        <f>ROUND(X164+IF(AND(E165=28,F165&lt;&gt;"ASTM A416"),L165,0),3)</f>
        <v/>
      </c>
      <c r="Y165" s="20">
        <f>ROUND(Y164+IF(AND(E165=32,F165&lt;&gt;"ASTM A416"),L165,0),3)</f>
        <v/>
      </c>
      <c r="Z165" s="20">
        <f>ROUND(Z164+IF(F165="ASTM A416",L165,0),3)</f>
        <v/>
      </c>
      <c r="AA165" s="11">
        <f>IF(ROUNDUP(P165/20,0)&gt;ROUNDUP(P164/20,0),"Lần " &amp; ROUNDUP(P165/20,0),"")</f>
        <v/>
      </c>
      <c r="AB165" s="11">
        <f>IF(ROUNDUP(Q165/20,0)&gt;ROUNDUP(Q164/20,0),"Lần " &amp; ROUNDUP(Q165/20,0),"")</f>
        <v/>
      </c>
      <c r="AC165" s="11">
        <f>IF(ROUNDUP(R165/20,0)&gt;ROUNDUP(R164/20,0),"Lần " &amp; ROUNDUP(R165/20,0),"")</f>
        <v/>
      </c>
      <c r="AD165" s="11">
        <f>IF(ROUNDUP(S165/20,0)&gt;ROUNDUP(S164/20,0),"Lần " &amp; ROUNDUP(S165/20,0),"")</f>
        <v/>
      </c>
      <c r="AE165" s="11">
        <f>IF(ROUNDUP(T165/20,0)&gt;ROUNDUP(T164/20,0),"Lần " &amp; ROUNDUP(T165/20,0),"")</f>
        <v/>
      </c>
      <c r="AF165" s="11">
        <f>IF(ROUNDUP(U165/20,0)&gt;ROUNDUP(U164/20,0),"Lần " &amp; ROUNDUP(U165/20,0),"")</f>
        <v/>
      </c>
      <c r="AG165" s="11">
        <f>IF(ROUNDUP(V165/20,0)&gt;ROUNDUP(V164/20,0),"Lần " &amp; ROUNDUP(V165/20,0),"")</f>
        <v/>
      </c>
      <c r="AH165" s="11">
        <f>IF(ROUNDUP(W165/20,0)&gt;ROUNDUP(W164/20,0),"Lần " &amp; ROUNDUP(W165/20,0),"")</f>
        <v/>
      </c>
      <c r="AI165" s="11">
        <f>IF(ROUNDUP(X165/20,0)&gt;ROUNDUP(X164/20,0),"Lần " &amp; ROUNDUP(X165/20,0),"")</f>
        <v/>
      </c>
      <c r="AJ165" s="11">
        <f>IF(ROUNDUP(Y165/20,0)&gt;ROUNDUP(Y164/20,0),"Lần " &amp; ROUNDUP(Y165/20,0),"")</f>
        <v/>
      </c>
      <c r="AK165" s="11">
        <f>IF(ROUNDUP(Z165/20,0)&gt;ROUNDUP(Z164/20,0),"Lần " &amp; ROUNDUP(Z165/20,0),"")</f>
        <v/>
      </c>
      <c r="AL165" s="6" t="n"/>
      <c r="AN165" t="inlineStr">
        <is>
          <t>Than</t>
        </is>
      </c>
      <c r="AO165" t="n">
        <v>46</v>
      </c>
    </row>
    <row r="166" ht="19" customHeight="1">
      <c r="A166" s="6" t="n">
        <v>159</v>
      </c>
      <c r="B166" s="7" t="inlineStr">
        <is>
          <t>Trụ T2 (Thân trụ)</t>
        </is>
      </c>
      <c r="C166" s="7" t="inlineStr">
        <is>
          <t>Thân trụ đặc</t>
        </is>
      </c>
      <c r="D166" s="18" t="inlineStr">
        <is>
          <t>T4a</t>
        </is>
      </c>
      <c r="E166" s="19" t="n">
        <v>16</v>
      </c>
      <c r="F166" s="6" t="inlineStr">
        <is>
          <t>CB400-V</t>
        </is>
      </c>
      <c r="G166" s="7" t="inlineStr">
        <is>
          <t>S06</t>
        </is>
      </c>
      <c r="H166" s="20" t="n">
        <v>5.332</v>
      </c>
      <c r="I166" s="21" t="n">
        <v>20</v>
      </c>
      <c r="J166" s="22" t="n">
        <v>1.578</v>
      </c>
      <c r="K166" s="9">
        <f>ROUND(H166*I166*J166, 2)</f>
        <v/>
      </c>
      <c r="L166" s="23">
        <f>ROUND(K166/1000, 3)</f>
        <v/>
      </c>
      <c r="M166" s="8">
        <f>IF(AO166="","",IF(INDEX(Theo_Doi_Tan_Suat_Be_Tong!$C:$C,AO166)="","",INDEX(Theo_Doi_Tan_Suat_Be_Tong!$C:$C,AO166)-VLOOKUP(AN166,$AQ$2:$AR$7,2,FALSE)))</f>
        <v/>
      </c>
      <c r="N166" s="6" t="n"/>
      <c r="O166" s="24">
        <f>IF(ROUNDUP(S166/20,0)&gt;ROUNDUP(S165/20,0),"TN Ø16 (Lần " &amp; ROUNDUP(S166/20,0) &amp; ")","")</f>
        <v/>
      </c>
      <c r="P166" s="20">
        <f>ROUND(P165+IF(AND(E166&lt;=10,F166&lt;&gt;"ASTM A416"),L166,0),3)</f>
        <v/>
      </c>
      <c r="Q166" s="20">
        <f>ROUND(Q165+IF(AND(E166=12,F166&lt;&gt;"ASTM A416"),L166,0),3)</f>
        <v/>
      </c>
      <c r="R166" s="20">
        <f>ROUND(R165+IF(AND(E166=14,F166&lt;&gt;"ASTM A416"),L166,0),3)</f>
        <v/>
      </c>
      <c r="S166" s="20">
        <f>ROUND(S165+IF(AND(E166=16,F166&lt;&gt;"ASTM A416"),L166,0),3)</f>
        <v/>
      </c>
      <c r="T166" s="20">
        <f>ROUND(T165+IF(AND(E166=18,F166&lt;&gt;"ASTM A416"),L166,0),3)</f>
        <v/>
      </c>
      <c r="U166" s="20">
        <f>ROUND(U165+IF(AND(E166=20,F166&lt;&gt;"ASTM A416"),L166,0),3)</f>
        <v/>
      </c>
      <c r="V166" s="20">
        <f>ROUND(V165+IF(AND(E166=22,F166&lt;&gt;"ASTM A416"),L166,0),3)</f>
        <v/>
      </c>
      <c r="W166" s="20">
        <f>ROUND(W165+IF(AND(E166=25,F166&lt;&gt;"ASTM A416"),L166,0),3)</f>
        <v/>
      </c>
      <c r="X166" s="20">
        <f>ROUND(X165+IF(AND(E166=28,F166&lt;&gt;"ASTM A416"),L166,0),3)</f>
        <v/>
      </c>
      <c r="Y166" s="20">
        <f>ROUND(Y165+IF(AND(E166=32,F166&lt;&gt;"ASTM A416"),L166,0),3)</f>
        <v/>
      </c>
      <c r="Z166" s="20">
        <f>ROUND(Z165+IF(F166="ASTM A416",L166,0),3)</f>
        <v/>
      </c>
      <c r="AA166" s="11">
        <f>IF(ROUNDUP(P166/20,0)&gt;ROUNDUP(P165/20,0),"Lần " &amp; ROUNDUP(P166/20,0),"")</f>
        <v/>
      </c>
      <c r="AB166" s="11">
        <f>IF(ROUNDUP(Q166/20,0)&gt;ROUNDUP(Q165/20,0),"Lần " &amp; ROUNDUP(Q166/20,0),"")</f>
        <v/>
      </c>
      <c r="AC166" s="11">
        <f>IF(ROUNDUP(R166/20,0)&gt;ROUNDUP(R165/20,0),"Lần " &amp; ROUNDUP(R166/20,0),"")</f>
        <v/>
      </c>
      <c r="AD166" s="11">
        <f>IF(ROUNDUP(S166/20,0)&gt;ROUNDUP(S165/20,0),"Lần " &amp; ROUNDUP(S166/20,0),"")</f>
        <v/>
      </c>
      <c r="AE166" s="11">
        <f>IF(ROUNDUP(T166/20,0)&gt;ROUNDUP(T165/20,0),"Lần " &amp; ROUNDUP(T166/20,0),"")</f>
        <v/>
      </c>
      <c r="AF166" s="11">
        <f>IF(ROUNDUP(U166/20,0)&gt;ROUNDUP(U165/20,0),"Lần " &amp; ROUNDUP(U166/20,0),"")</f>
        <v/>
      </c>
      <c r="AG166" s="11">
        <f>IF(ROUNDUP(V166/20,0)&gt;ROUNDUP(V165/20,0),"Lần " &amp; ROUNDUP(V166/20,0),"")</f>
        <v/>
      </c>
      <c r="AH166" s="11">
        <f>IF(ROUNDUP(W166/20,0)&gt;ROUNDUP(W165/20,0),"Lần " &amp; ROUNDUP(W166/20,0),"")</f>
        <v/>
      </c>
      <c r="AI166" s="11">
        <f>IF(ROUNDUP(X166/20,0)&gt;ROUNDUP(X165/20,0),"Lần " &amp; ROUNDUP(X166/20,0),"")</f>
        <v/>
      </c>
      <c r="AJ166" s="11">
        <f>IF(ROUNDUP(Y166/20,0)&gt;ROUNDUP(Y165/20,0),"Lần " &amp; ROUNDUP(Y166/20,0),"")</f>
        <v/>
      </c>
      <c r="AK166" s="11">
        <f>IF(ROUNDUP(Z166/20,0)&gt;ROUNDUP(Z165/20,0),"Lần " &amp; ROUNDUP(Z166/20,0),"")</f>
        <v/>
      </c>
      <c r="AL166" s="6" t="n"/>
      <c r="AN166" t="inlineStr">
        <is>
          <t>Than</t>
        </is>
      </c>
      <c r="AO166" t="n">
        <v>46</v>
      </c>
    </row>
    <row r="167" ht="19" customHeight="1">
      <c r="A167" s="6" t="n">
        <v>160</v>
      </c>
      <c r="B167" s="7" t="inlineStr">
        <is>
          <t>Trụ T2 (Thân trụ)</t>
        </is>
      </c>
      <c r="C167" s="7" t="inlineStr">
        <is>
          <t>Thân trụ đặc</t>
        </is>
      </c>
      <c r="D167" s="18" t="inlineStr">
        <is>
          <t>T4a1</t>
        </is>
      </c>
      <c r="E167" s="19" t="n">
        <v>16</v>
      </c>
      <c r="F167" s="6" t="inlineStr">
        <is>
          <t>CB400-V</t>
        </is>
      </c>
      <c r="G167" s="7" t="inlineStr">
        <is>
          <t>S06</t>
        </is>
      </c>
      <c r="H167" s="20" t="n">
        <v>5.102</v>
      </c>
      <c r="I167" s="21" t="n">
        <v>40</v>
      </c>
      <c r="J167" s="22" t="n">
        <v>1.578</v>
      </c>
      <c r="K167" s="9">
        <f>ROUND(H167*I167*J167, 2)</f>
        <v/>
      </c>
      <c r="L167" s="23">
        <f>ROUND(K167/1000, 3)</f>
        <v/>
      </c>
      <c r="M167" s="8">
        <f>IF(AO167="","",IF(INDEX(Theo_Doi_Tan_Suat_Be_Tong!$C:$C,AO167)="","",INDEX(Theo_Doi_Tan_Suat_Be_Tong!$C:$C,AO167)-VLOOKUP(AN167,$AQ$2:$AR$7,2,FALSE)))</f>
        <v/>
      </c>
      <c r="N167" s="6" t="n"/>
      <c r="O167" s="24">
        <f>IF(ROUNDUP(S167/20,0)&gt;ROUNDUP(S166/20,0),"TN Ø16 (Lần " &amp; ROUNDUP(S167/20,0) &amp; ")","")</f>
        <v/>
      </c>
      <c r="P167" s="20">
        <f>ROUND(P166+IF(AND(E167&lt;=10,F167&lt;&gt;"ASTM A416"),L167,0),3)</f>
        <v/>
      </c>
      <c r="Q167" s="20">
        <f>ROUND(Q166+IF(AND(E167=12,F167&lt;&gt;"ASTM A416"),L167,0),3)</f>
        <v/>
      </c>
      <c r="R167" s="20">
        <f>ROUND(R166+IF(AND(E167=14,F167&lt;&gt;"ASTM A416"),L167,0),3)</f>
        <v/>
      </c>
      <c r="S167" s="20">
        <f>ROUND(S166+IF(AND(E167=16,F167&lt;&gt;"ASTM A416"),L167,0),3)</f>
        <v/>
      </c>
      <c r="T167" s="20">
        <f>ROUND(T166+IF(AND(E167=18,F167&lt;&gt;"ASTM A416"),L167,0),3)</f>
        <v/>
      </c>
      <c r="U167" s="20">
        <f>ROUND(U166+IF(AND(E167=20,F167&lt;&gt;"ASTM A416"),L167,0),3)</f>
        <v/>
      </c>
      <c r="V167" s="20">
        <f>ROUND(V166+IF(AND(E167=22,F167&lt;&gt;"ASTM A416"),L167,0),3)</f>
        <v/>
      </c>
      <c r="W167" s="20">
        <f>ROUND(W166+IF(AND(E167=25,F167&lt;&gt;"ASTM A416"),L167,0),3)</f>
        <v/>
      </c>
      <c r="X167" s="20">
        <f>ROUND(X166+IF(AND(E167=28,F167&lt;&gt;"ASTM A416"),L167,0),3)</f>
        <v/>
      </c>
      <c r="Y167" s="20">
        <f>ROUND(Y166+IF(AND(E167=32,F167&lt;&gt;"ASTM A416"),L167,0),3)</f>
        <v/>
      </c>
      <c r="Z167" s="20">
        <f>ROUND(Z166+IF(F167="ASTM A416",L167,0),3)</f>
        <v/>
      </c>
      <c r="AA167" s="11">
        <f>IF(ROUNDUP(P167/20,0)&gt;ROUNDUP(P166/20,0),"Lần " &amp; ROUNDUP(P167/20,0),"")</f>
        <v/>
      </c>
      <c r="AB167" s="11">
        <f>IF(ROUNDUP(Q167/20,0)&gt;ROUNDUP(Q166/20,0),"Lần " &amp; ROUNDUP(Q167/20,0),"")</f>
        <v/>
      </c>
      <c r="AC167" s="11">
        <f>IF(ROUNDUP(R167/20,0)&gt;ROUNDUP(R166/20,0),"Lần " &amp; ROUNDUP(R167/20,0),"")</f>
        <v/>
      </c>
      <c r="AD167" s="11">
        <f>IF(ROUNDUP(S167/20,0)&gt;ROUNDUP(S166/20,0),"Lần " &amp; ROUNDUP(S167/20,0),"")</f>
        <v/>
      </c>
      <c r="AE167" s="11">
        <f>IF(ROUNDUP(T167/20,0)&gt;ROUNDUP(T166/20,0),"Lần " &amp; ROUNDUP(T167/20,0),"")</f>
        <v/>
      </c>
      <c r="AF167" s="11">
        <f>IF(ROUNDUP(U167/20,0)&gt;ROUNDUP(U166/20,0),"Lần " &amp; ROUNDUP(U167/20,0),"")</f>
        <v/>
      </c>
      <c r="AG167" s="11">
        <f>IF(ROUNDUP(V167/20,0)&gt;ROUNDUP(V166/20,0),"Lần " &amp; ROUNDUP(V167/20,0),"")</f>
        <v/>
      </c>
      <c r="AH167" s="11">
        <f>IF(ROUNDUP(W167/20,0)&gt;ROUNDUP(W166/20,0),"Lần " &amp; ROUNDUP(W167/20,0),"")</f>
        <v/>
      </c>
      <c r="AI167" s="11">
        <f>IF(ROUNDUP(X167/20,0)&gt;ROUNDUP(X166/20,0),"Lần " &amp; ROUNDUP(X167/20,0),"")</f>
        <v/>
      </c>
      <c r="AJ167" s="11">
        <f>IF(ROUNDUP(Y167/20,0)&gt;ROUNDUP(Y166/20,0),"Lần " &amp; ROUNDUP(Y167/20,0),"")</f>
        <v/>
      </c>
      <c r="AK167" s="11">
        <f>IF(ROUNDUP(Z167/20,0)&gt;ROUNDUP(Z166/20,0),"Lần " &amp; ROUNDUP(Z167/20,0),"")</f>
        <v/>
      </c>
      <c r="AL167" s="6" t="n"/>
      <c r="AN167" t="inlineStr">
        <is>
          <t>Than</t>
        </is>
      </c>
      <c r="AO167" t="n">
        <v>46</v>
      </c>
    </row>
    <row r="168" ht="19" customHeight="1">
      <c r="A168" s="6" t="n">
        <v>161</v>
      </c>
      <c r="B168" s="7" t="inlineStr">
        <is>
          <t>Trụ T2 (Thân trụ)</t>
        </is>
      </c>
      <c r="C168" s="7" t="inlineStr">
        <is>
          <t>th©n trô ®o¹n 2</t>
        </is>
      </c>
      <c r="D168" s="18" t="inlineStr">
        <is>
          <t>T1b</t>
        </is>
      </c>
      <c r="E168" s="19" t="n">
        <v>32</v>
      </c>
      <c r="F168" s="6" t="inlineStr">
        <is>
          <t>CB400-V</t>
        </is>
      </c>
      <c r="G168" s="7" t="inlineStr">
        <is>
          <t>S28</t>
        </is>
      </c>
      <c r="H168" s="20" t="n">
        <v>13.616</v>
      </c>
      <c r="I168" s="21" t="n">
        <v>106</v>
      </c>
      <c r="J168" s="22" t="n">
        <v>6.313</v>
      </c>
      <c r="K168" s="9">
        <f>ROUND(H168*I168*J168, 2)</f>
        <v/>
      </c>
      <c r="L168" s="23">
        <f>ROUND(K168/1000, 3)</f>
        <v/>
      </c>
      <c r="M168" s="8">
        <f>IF(AO168="","",IF(INDEX(Theo_Doi_Tan_Suat_Be_Tong!$C:$C,AO168)="","",INDEX(Theo_Doi_Tan_Suat_Be_Tong!$C:$C,AO168)-VLOOKUP(AN168,$AQ$2:$AR$7,2,FALSE)))</f>
        <v/>
      </c>
      <c r="N168" s="6" t="n"/>
      <c r="O168" s="24">
        <f>IF(ROUNDUP(Y168/20,0)&gt;ROUNDUP(Y167/20,0),"TN Ø32 (Lần " &amp; ROUNDUP(Y168/20,0) &amp; ")","")</f>
        <v/>
      </c>
      <c r="P168" s="20">
        <f>ROUND(P167+IF(AND(E168&lt;=10,F168&lt;&gt;"ASTM A416"),L168,0),3)</f>
        <v/>
      </c>
      <c r="Q168" s="20">
        <f>ROUND(Q167+IF(AND(E168=12,F168&lt;&gt;"ASTM A416"),L168,0),3)</f>
        <v/>
      </c>
      <c r="R168" s="20">
        <f>ROUND(R167+IF(AND(E168=14,F168&lt;&gt;"ASTM A416"),L168,0),3)</f>
        <v/>
      </c>
      <c r="S168" s="20">
        <f>ROUND(S167+IF(AND(E168=16,F168&lt;&gt;"ASTM A416"),L168,0),3)</f>
        <v/>
      </c>
      <c r="T168" s="20">
        <f>ROUND(T167+IF(AND(E168=18,F168&lt;&gt;"ASTM A416"),L168,0),3)</f>
        <v/>
      </c>
      <c r="U168" s="20">
        <f>ROUND(U167+IF(AND(E168=20,F168&lt;&gt;"ASTM A416"),L168,0),3)</f>
        <v/>
      </c>
      <c r="V168" s="20">
        <f>ROUND(V167+IF(AND(E168=22,F168&lt;&gt;"ASTM A416"),L168,0),3)</f>
        <v/>
      </c>
      <c r="W168" s="20">
        <f>ROUND(W167+IF(AND(E168=25,F168&lt;&gt;"ASTM A416"),L168,0),3)</f>
        <v/>
      </c>
      <c r="X168" s="20">
        <f>ROUND(X167+IF(AND(E168=28,F168&lt;&gt;"ASTM A416"),L168,0),3)</f>
        <v/>
      </c>
      <c r="Y168" s="20">
        <f>ROUND(Y167+IF(AND(E168=32,F168&lt;&gt;"ASTM A416"),L168,0),3)</f>
        <v/>
      </c>
      <c r="Z168" s="20">
        <f>ROUND(Z167+IF(F168="ASTM A416",L168,0),3)</f>
        <v/>
      </c>
      <c r="AA168" s="11">
        <f>IF(ROUNDUP(P168/20,0)&gt;ROUNDUP(P167/20,0),"Lần " &amp; ROUNDUP(P168/20,0),"")</f>
        <v/>
      </c>
      <c r="AB168" s="11">
        <f>IF(ROUNDUP(Q168/20,0)&gt;ROUNDUP(Q167/20,0),"Lần " &amp; ROUNDUP(Q168/20,0),"")</f>
        <v/>
      </c>
      <c r="AC168" s="11">
        <f>IF(ROUNDUP(R168/20,0)&gt;ROUNDUP(R167/20,0),"Lần " &amp; ROUNDUP(R168/20,0),"")</f>
        <v/>
      </c>
      <c r="AD168" s="11">
        <f>IF(ROUNDUP(S168/20,0)&gt;ROUNDUP(S167/20,0),"Lần " &amp; ROUNDUP(S168/20,0),"")</f>
        <v/>
      </c>
      <c r="AE168" s="11">
        <f>IF(ROUNDUP(T168/20,0)&gt;ROUNDUP(T167/20,0),"Lần " &amp; ROUNDUP(T168/20,0),"")</f>
        <v/>
      </c>
      <c r="AF168" s="11">
        <f>IF(ROUNDUP(U168/20,0)&gt;ROUNDUP(U167/20,0),"Lần " &amp; ROUNDUP(U168/20,0),"")</f>
        <v/>
      </c>
      <c r="AG168" s="11">
        <f>IF(ROUNDUP(V168/20,0)&gt;ROUNDUP(V167/20,0),"Lần " &amp; ROUNDUP(V168/20,0),"")</f>
        <v/>
      </c>
      <c r="AH168" s="11">
        <f>IF(ROUNDUP(W168/20,0)&gt;ROUNDUP(W167/20,0),"Lần " &amp; ROUNDUP(W168/20,0),"")</f>
        <v/>
      </c>
      <c r="AI168" s="11">
        <f>IF(ROUNDUP(X168/20,0)&gt;ROUNDUP(X167/20,0),"Lần " &amp; ROUNDUP(X168/20,0),"")</f>
        <v/>
      </c>
      <c r="AJ168" s="11">
        <f>IF(ROUNDUP(Y168/20,0)&gt;ROUNDUP(Y167/20,0),"Lần " &amp; ROUNDUP(Y168/20,0),"")</f>
        <v/>
      </c>
      <c r="AK168" s="11">
        <f>IF(ROUNDUP(Z168/20,0)&gt;ROUNDUP(Z167/20,0),"Lần " &amp; ROUNDUP(Z168/20,0),"")</f>
        <v/>
      </c>
      <c r="AL168" s="6" t="n"/>
      <c r="AN168" t="inlineStr">
        <is>
          <t>Than</t>
        </is>
      </c>
      <c r="AO168" t="n">
        <v>47</v>
      </c>
    </row>
    <row r="169" ht="19" customHeight="1">
      <c r="A169" s="6" t="n">
        <v>162</v>
      </c>
      <c r="B169" s="7" t="inlineStr">
        <is>
          <t>Trụ T2 (Thân trụ)</t>
        </is>
      </c>
      <c r="C169" s="7" t="inlineStr">
        <is>
          <t>Thân trụ đặc</t>
        </is>
      </c>
      <c r="D169" s="18" t="inlineStr">
        <is>
          <t>T2b</t>
        </is>
      </c>
      <c r="E169" s="19" t="n">
        <v>16</v>
      </c>
      <c r="F169" s="6" t="inlineStr">
        <is>
          <t>CB400-V</t>
        </is>
      </c>
      <c r="G169" s="7" t="inlineStr">
        <is>
          <t>S07</t>
        </is>
      </c>
      <c r="H169" s="20" t="n">
        <v>6.894</v>
      </c>
      <c r="I169" s="21" t="n">
        <v>150</v>
      </c>
      <c r="J169" s="22" t="n">
        <v>1.578</v>
      </c>
      <c r="K169" s="9">
        <f>ROUND(H169*I169*J169, 2)</f>
        <v/>
      </c>
      <c r="L169" s="23">
        <f>ROUND(K169/1000, 3)</f>
        <v/>
      </c>
      <c r="M169" s="8">
        <f>IF(AO169="","",IF(INDEX(Theo_Doi_Tan_Suat_Be_Tong!$C:$C,AO169)="","",INDEX(Theo_Doi_Tan_Suat_Be_Tong!$C:$C,AO169)-VLOOKUP(AN169,$AQ$2:$AR$7,2,FALSE)))</f>
        <v/>
      </c>
      <c r="N169" s="6" t="n"/>
      <c r="O169" s="24">
        <f>IF(ROUNDUP(S169/20,0)&gt;ROUNDUP(S168/20,0),"TN Ø16 (Lần " &amp; ROUNDUP(S169/20,0) &amp; ")","")</f>
        <v/>
      </c>
      <c r="P169" s="20">
        <f>ROUND(P168+IF(AND(E169&lt;=10,F169&lt;&gt;"ASTM A416"),L169,0),3)</f>
        <v/>
      </c>
      <c r="Q169" s="20">
        <f>ROUND(Q168+IF(AND(E169=12,F169&lt;&gt;"ASTM A416"),L169,0),3)</f>
        <v/>
      </c>
      <c r="R169" s="20">
        <f>ROUND(R168+IF(AND(E169=14,F169&lt;&gt;"ASTM A416"),L169,0),3)</f>
        <v/>
      </c>
      <c r="S169" s="20">
        <f>ROUND(S168+IF(AND(E169=16,F169&lt;&gt;"ASTM A416"),L169,0),3)</f>
        <v/>
      </c>
      <c r="T169" s="20">
        <f>ROUND(T168+IF(AND(E169=18,F169&lt;&gt;"ASTM A416"),L169,0),3)</f>
        <v/>
      </c>
      <c r="U169" s="20">
        <f>ROUND(U168+IF(AND(E169=20,F169&lt;&gt;"ASTM A416"),L169,0),3)</f>
        <v/>
      </c>
      <c r="V169" s="20">
        <f>ROUND(V168+IF(AND(E169=22,F169&lt;&gt;"ASTM A416"),L169,0),3)</f>
        <v/>
      </c>
      <c r="W169" s="20">
        <f>ROUND(W168+IF(AND(E169=25,F169&lt;&gt;"ASTM A416"),L169,0),3)</f>
        <v/>
      </c>
      <c r="X169" s="20">
        <f>ROUND(X168+IF(AND(E169=28,F169&lt;&gt;"ASTM A416"),L169,0),3)</f>
        <v/>
      </c>
      <c r="Y169" s="20">
        <f>ROUND(Y168+IF(AND(E169=32,F169&lt;&gt;"ASTM A416"),L169,0),3)</f>
        <v/>
      </c>
      <c r="Z169" s="20">
        <f>ROUND(Z168+IF(F169="ASTM A416",L169,0),3)</f>
        <v/>
      </c>
      <c r="AA169" s="11">
        <f>IF(ROUNDUP(P169/20,0)&gt;ROUNDUP(P168/20,0),"Lần " &amp; ROUNDUP(P169/20,0),"")</f>
        <v/>
      </c>
      <c r="AB169" s="11">
        <f>IF(ROUNDUP(Q169/20,0)&gt;ROUNDUP(Q168/20,0),"Lần " &amp; ROUNDUP(Q169/20,0),"")</f>
        <v/>
      </c>
      <c r="AC169" s="11">
        <f>IF(ROUNDUP(R169/20,0)&gt;ROUNDUP(R168/20,0),"Lần " &amp; ROUNDUP(R169/20,0),"")</f>
        <v/>
      </c>
      <c r="AD169" s="11">
        <f>IF(ROUNDUP(S169/20,0)&gt;ROUNDUP(S168/20,0),"Lần " &amp; ROUNDUP(S169/20,0),"")</f>
        <v/>
      </c>
      <c r="AE169" s="11">
        <f>IF(ROUNDUP(T169/20,0)&gt;ROUNDUP(T168/20,0),"Lần " &amp; ROUNDUP(T169/20,0),"")</f>
        <v/>
      </c>
      <c r="AF169" s="11">
        <f>IF(ROUNDUP(U169/20,0)&gt;ROUNDUP(U168/20,0),"Lần " &amp; ROUNDUP(U169/20,0),"")</f>
        <v/>
      </c>
      <c r="AG169" s="11">
        <f>IF(ROUNDUP(V169/20,0)&gt;ROUNDUP(V168/20,0),"Lần " &amp; ROUNDUP(V169/20,0),"")</f>
        <v/>
      </c>
      <c r="AH169" s="11">
        <f>IF(ROUNDUP(W169/20,0)&gt;ROUNDUP(W168/20,0),"Lần " &amp; ROUNDUP(W169/20,0),"")</f>
        <v/>
      </c>
      <c r="AI169" s="11">
        <f>IF(ROUNDUP(X169/20,0)&gt;ROUNDUP(X168/20,0),"Lần " &amp; ROUNDUP(X169/20,0),"")</f>
        <v/>
      </c>
      <c r="AJ169" s="11">
        <f>IF(ROUNDUP(Y169/20,0)&gt;ROUNDUP(Y168/20,0),"Lần " &amp; ROUNDUP(Y169/20,0),"")</f>
        <v/>
      </c>
      <c r="AK169" s="11">
        <f>IF(ROUNDUP(Z169/20,0)&gt;ROUNDUP(Z168/20,0),"Lần " &amp; ROUNDUP(Z169/20,0),"")</f>
        <v/>
      </c>
      <c r="AL169" s="6" t="n"/>
      <c r="AN169" t="inlineStr">
        <is>
          <t>Than</t>
        </is>
      </c>
      <c r="AO169" t="n">
        <v>46</v>
      </c>
    </row>
    <row r="170" ht="19" customHeight="1">
      <c r="A170" s="6" t="n">
        <v>163</v>
      </c>
      <c r="B170" s="7" t="inlineStr">
        <is>
          <t>Trụ T2 (Thân trụ)</t>
        </is>
      </c>
      <c r="C170" s="7" t="inlineStr">
        <is>
          <t>Thân trụ đặc</t>
        </is>
      </c>
      <c r="D170" s="18" t="inlineStr">
        <is>
          <t>T3b</t>
        </is>
      </c>
      <c r="E170" s="19" t="n">
        <v>16</v>
      </c>
      <c r="F170" s="6" t="inlineStr">
        <is>
          <t>CB400-V</t>
        </is>
      </c>
      <c r="G170" s="7" t="inlineStr">
        <is>
          <t>S51</t>
        </is>
      </c>
      <c r="H170" s="20" t="n">
        <v>8.006</v>
      </c>
      <c r="I170" s="21" t="n">
        <v>150</v>
      </c>
      <c r="J170" s="22" t="n">
        <v>1.578</v>
      </c>
      <c r="K170" s="9">
        <f>ROUND(H170*I170*J170, 2)</f>
        <v/>
      </c>
      <c r="L170" s="23">
        <f>ROUND(K170/1000, 3)</f>
        <v/>
      </c>
      <c r="M170" s="8">
        <f>IF(AO170="","",IF(INDEX(Theo_Doi_Tan_Suat_Be_Tong!$C:$C,AO170)="","",INDEX(Theo_Doi_Tan_Suat_Be_Tong!$C:$C,AO170)-VLOOKUP(AN170,$AQ$2:$AR$7,2,FALSE)))</f>
        <v/>
      </c>
      <c r="N170" s="6" t="n"/>
      <c r="O170" s="24">
        <f>IF(ROUNDUP(S170/20,0)&gt;ROUNDUP(S169/20,0),"TN Ø16 (Lần " &amp; ROUNDUP(S170/20,0) &amp; ")","")</f>
        <v/>
      </c>
      <c r="P170" s="20">
        <f>ROUND(P169+IF(AND(E170&lt;=10,F170&lt;&gt;"ASTM A416"),L170,0),3)</f>
        <v/>
      </c>
      <c r="Q170" s="20">
        <f>ROUND(Q169+IF(AND(E170=12,F170&lt;&gt;"ASTM A416"),L170,0),3)</f>
        <v/>
      </c>
      <c r="R170" s="20">
        <f>ROUND(R169+IF(AND(E170=14,F170&lt;&gt;"ASTM A416"),L170,0),3)</f>
        <v/>
      </c>
      <c r="S170" s="20">
        <f>ROUND(S169+IF(AND(E170=16,F170&lt;&gt;"ASTM A416"),L170,0),3)</f>
        <v/>
      </c>
      <c r="T170" s="20">
        <f>ROUND(T169+IF(AND(E170=18,F170&lt;&gt;"ASTM A416"),L170,0),3)</f>
        <v/>
      </c>
      <c r="U170" s="20">
        <f>ROUND(U169+IF(AND(E170=20,F170&lt;&gt;"ASTM A416"),L170,0),3)</f>
        <v/>
      </c>
      <c r="V170" s="20">
        <f>ROUND(V169+IF(AND(E170=22,F170&lt;&gt;"ASTM A416"),L170,0),3)</f>
        <v/>
      </c>
      <c r="W170" s="20">
        <f>ROUND(W169+IF(AND(E170=25,F170&lt;&gt;"ASTM A416"),L170,0),3)</f>
        <v/>
      </c>
      <c r="X170" s="20">
        <f>ROUND(X169+IF(AND(E170=28,F170&lt;&gt;"ASTM A416"),L170,0),3)</f>
        <v/>
      </c>
      <c r="Y170" s="20">
        <f>ROUND(Y169+IF(AND(E170=32,F170&lt;&gt;"ASTM A416"),L170,0),3)</f>
        <v/>
      </c>
      <c r="Z170" s="20">
        <f>ROUND(Z169+IF(F170="ASTM A416",L170,0),3)</f>
        <v/>
      </c>
      <c r="AA170" s="11">
        <f>IF(ROUNDUP(P170/20,0)&gt;ROUNDUP(P169/20,0),"Lần " &amp; ROUNDUP(P170/20,0),"")</f>
        <v/>
      </c>
      <c r="AB170" s="11">
        <f>IF(ROUNDUP(Q170/20,0)&gt;ROUNDUP(Q169/20,0),"Lần " &amp; ROUNDUP(Q170/20,0),"")</f>
        <v/>
      </c>
      <c r="AC170" s="11">
        <f>IF(ROUNDUP(R170/20,0)&gt;ROUNDUP(R169/20,0),"Lần " &amp; ROUNDUP(R170/20,0),"")</f>
        <v/>
      </c>
      <c r="AD170" s="11">
        <f>IF(ROUNDUP(S170/20,0)&gt;ROUNDUP(S169/20,0),"Lần " &amp; ROUNDUP(S170/20,0),"")</f>
        <v/>
      </c>
      <c r="AE170" s="11">
        <f>IF(ROUNDUP(T170/20,0)&gt;ROUNDUP(T169/20,0),"Lần " &amp; ROUNDUP(T170/20,0),"")</f>
        <v/>
      </c>
      <c r="AF170" s="11">
        <f>IF(ROUNDUP(U170/20,0)&gt;ROUNDUP(U169/20,0),"Lần " &amp; ROUNDUP(U170/20,0),"")</f>
        <v/>
      </c>
      <c r="AG170" s="11">
        <f>IF(ROUNDUP(V170/20,0)&gt;ROUNDUP(V169/20,0),"Lần " &amp; ROUNDUP(V170/20,0),"")</f>
        <v/>
      </c>
      <c r="AH170" s="11">
        <f>IF(ROUNDUP(W170/20,0)&gt;ROUNDUP(W169/20,0),"Lần " &amp; ROUNDUP(W170/20,0),"")</f>
        <v/>
      </c>
      <c r="AI170" s="11">
        <f>IF(ROUNDUP(X170/20,0)&gt;ROUNDUP(X169/20,0),"Lần " &amp; ROUNDUP(X170/20,0),"")</f>
        <v/>
      </c>
      <c r="AJ170" s="11">
        <f>IF(ROUNDUP(Y170/20,0)&gt;ROUNDUP(Y169/20,0),"Lần " &amp; ROUNDUP(Y170/20,0),"")</f>
        <v/>
      </c>
      <c r="AK170" s="11">
        <f>IF(ROUNDUP(Z170/20,0)&gt;ROUNDUP(Z169/20,0),"Lần " &amp; ROUNDUP(Z170/20,0),"")</f>
        <v/>
      </c>
      <c r="AL170" s="6" t="n"/>
      <c r="AN170" t="inlineStr">
        <is>
          <t>Than</t>
        </is>
      </c>
      <c r="AO170" t="n">
        <v>46</v>
      </c>
    </row>
    <row r="171" ht="19" customHeight="1">
      <c r="A171" s="6" t="n">
        <v>164</v>
      </c>
      <c r="B171" s="7" t="inlineStr">
        <is>
          <t>Trụ T2 (Thân trụ)</t>
        </is>
      </c>
      <c r="C171" s="7" t="inlineStr">
        <is>
          <t>Thân trụ đặc</t>
        </is>
      </c>
      <c r="D171" s="18" t="inlineStr">
        <is>
          <t>T4b</t>
        </is>
      </c>
      <c r="E171" s="19" t="n">
        <v>16</v>
      </c>
      <c r="F171" s="6" t="inlineStr">
        <is>
          <t>CB400-V</t>
        </is>
      </c>
      <c r="G171" s="7" t="inlineStr">
        <is>
          <t>S06</t>
        </is>
      </c>
      <c r="H171" s="20" t="n">
        <v>5.932</v>
      </c>
      <c r="I171" s="21" t="n">
        <v>19</v>
      </c>
      <c r="J171" s="22" t="n">
        <v>1.578</v>
      </c>
      <c r="K171" s="9">
        <f>ROUND(H171*I171*J171, 2)</f>
        <v/>
      </c>
      <c r="L171" s="23">
        <f>ROUND(K171/1000, 3)</f>
        <v/>
      </c>
      <c r="M171" s="8">
        <f>IF(AO171="","",IF(INDEX(Theo_Doi_Tan_Suat_Be_Tong!$C:$C,AO171)="","",INDEX(Theo_Doi_Tan_Suat_Be_Tong!$C:$C,AO171)-VLOOKUP(AN171,$AQ$2:$AR$7,2,FALSE)))</f>
        <v/>
      </c>
      <c r="N171" s="6" t="n"/>
      <c r="O171" s="24">
        <f>IF(ROUNDUP(S171/20,0)&gt;ROUNDUP(S170/20,0),"TN Ø16 (Lần " &amp; ROUNDUP(S171/20,0) &amp; ")","")</f>
        <v/>
      </c>
      <c r="P171" s="20">
        <f>ROUND(P170+IF(AND(E171&lt;=10,F171&lt;&gt;"ASTM A416"),L171,0),3)</f>
        <v/>
      </c>
      <c r="Q171" s="20">
        <f>ROUND(Q170+IF(AND(E171=12,F171&lt;&gt;"ASTM A416"),L171,0),3)</f>
        <v/>
      </c>
      <c r="R171" s="20">
        <f>ROUND(R170+IF(AND(E171=14,F171&lt;&gt;"ASTM A416"),L171,0),3)</f>
        <v/>
      </c>
      <c r="S171" s="20">
        <f>ROUND(S170+IF(AND(E171=16,F171&lt;&gt;"ASTM A416"),L171,0),3)</f>
        <v/>
      </c>
      <c r="T171" s="20">
        <f>ROUND(T170+IF(AND(E171=18,F171&lt;&gt;"ASTM A416"),L171,0),3)</f>
        <v/>
      </c>
      <c r="U171" s="20">
        <f>ROUND(U170+IF(AND(E171=20,F171&lt;&gt;"ASTM A416"),L171,0),3)</f>
        <v/>
      </c>
      <c r="V171" s="20">
        <f>ROUND(V170+IF(AND(E171=22,F171&lt;&gt;"ASTM A416"),L171,0),3)</f>
        <v/>
      </c>
      <c r="W171" s="20">
        <f>ROUND(W170+IF(AND(E171=25,F171&lt;&gt;"ASTM A416"),L171,0),3)</f>
        <v/>
      </c>
      <c r="X171" s="20">
        <f>ROUND(X170+IF(AND(E171=28,F171&lt;&gt;"ASTM A416"),L171,0),3)</f>
        <v/>
      </c>
      <c r="Y171" s="20">
        <f>ROUND(Y170+IF(AND(E171=32,F171&lt;&gt;"ASTM A416"),L171,0),3)</f>
        <v/>
      </c>
      <c r="Z171" s="20">
        <f>ROUND(Z170+IF(F171="ASTM A416",L171,0),3)</f>
        <v/>
      </c>
      <c r="AA171" s="11">
        <f>IF(ROUNDUP(P171/20,0)&gt;ROUNDUP(P170/20,0),"Lần " &amp; ROUNDUP(P171/20,0),"")</f>
        <v/>
      </c>
      <c r="AB171" s="11">
        <f>IF(ROUNDUP(Q171/20,0)&gt;ROUNDUP(Q170/20,0),"Lần " &amp; ROUNDUP(Q171/20,0),"")</f>
        <v/>
      </c>
      <c r="AC171" s="11">
        <f>IF(ROUNDUP(R171/20,0)&gt;ROUNDUP(R170/20,0),"Lần " &amp; ROUNDUP(R171/20,0),"")</f>
        <v/>
      </c>
      <c r="AD171" s="11">
        <f>IF(ROUNDUP(S171/20,0)&gt;ROUNDUP(S170/20,0),"Lần " &amp; ROUNDUP(S171/20,0),"")</f>
        <v/>
      </c>
      <c r="AE171" s="11">
        <f>IF(ROUNDUP(T171/20,0)&gt;ROUNDUP(T170/20,0),"Lần " &amp; ROUNDUP(T171/20,0),"")</f>
        <v/>
      </c>
      <c r="AF171" s="11">
        <f>IF(ROUNDUP(U171/20,0)&gt;ROUNDUP(U170/20,0),"Lần " &amp; ROUNDUP(U171/20,0),"")</f>
        <v/>
      </c>
      <c r="AG171" s="11">
        <f>IF(ROUNDUP(V171/20,0)&gt;ROUNDUP(V170/20,0),"Lần " &amp; ROUNDUP(V171/20,0),"")</f>
        <v/>
      </c>
      <c r="AH171" s="11">
        <f>IF(ROUNDUP(W171/20,0)&gt;ROUNDUP(W170/20,0),"Lần " &amp; ROUNDUP(W171/20,0),"")</f>
        <v/>
      </c>
      <c r="AI171" s="11">
        <f>IF(ROUNDUP(X171/20,0)&gt;ROUNDUP(X170/20,0),"Lần " &amp; ROUNDUP(X171/20,0),"")</f>
        <v/>
      </c>
      <c r="AJ171" s="11">
        <f>IF(ROUNDUP(Y171/20,0)&gt;ROUNDUP(Y170/20,0),"Lần " &amp; ROUNDUP(Y171/20,0),"")</f>
        <v/>
      </c>
      <c r="AK171" s="11">
        <f>IF(ROUNDUP(Z171/20,0)&gt;ROUNDUP(Z170/20,0),"Lần " &amp; ROUNDUP(Z171/20,0),"")</f>
        <v/>
      </c>
      <c r="AL171" s="6" t="n"/>
      <c r="AN171" t="inlineStr">
        <is>
          <t>Than</t>
        </is>
      </c>
      <c r="AO171" t="n">
        <v>46</v>
      </c>
    </row>
    <row r="172" ht="19" customHeight="1">
      <c r="A172" s="6" t="n">
        <v>165</v>
      </c>
      <c r="B172" s="7" t="inlineStr">
        <is>
          <t>Trụ T2 (Thân trụ)</t>
        </is>
      </c>
      <c r="C172" s="7" t="inlineStr">
        <is>
          <t>Thân trụ đặc</t>
        </is>
      </c>
      <c r="D172" s="18" t="inlineStr">
        <is>
          <t>T4b1</t>
        </is>
      </c>
      <c r="E172" s="19" t="n">
        <v>16</v>
      </c>
      <c r="F172" s="6" t="inlineStr">
        <is>
          <t>CB400-V</t>
        </is>
      </c>
      <c r="G172" s="7" t="inlineStr">
        <is>
          <t>S06</t>
        </is>
      </c>
      <c r="H172" s="20" t="n">
        <v>5.652</v>
      </c>
      <c r="I172" s="21" t="n">
        <v>38</v>
      </c>
      <c r="J172" s="22" t="n">
        <v>1.578</v>
      </c>
      <c r="K172" s="9">
        <f>ROUND(H172*I172*J172, 2)</f>
        <v/>
      </c>
      <c r="L172" s="23">
        <f>ROUND(K172/1000, 3)</f>
        <v/>
      </c>
      <c r="M172" s="8">
        <f>IF(AO172="","",IF(INDEX(Theo_Doi_Tan_Suat_Be_Tong!$C:$C,AO172)="","",INDEX(Theo_Doi_Tan_Suat_Be_Tong!$C:$C,AO172)-VLOOKUP(AN172,$AQ$2:$AR$7,2,FALSE)))</f>
        <v/>
      </c>
      <c r="N172" s="6" t="n"/>
      <c r="O172" s="24">
        <f>IF(ROUNDUP(S172/20,0)&gt;ROUNDUP(S171/20,0),"TN Ø16 (Lần " &amp; ROUNDUP(S172/20,0) &amp; ")","")</f>
        <v/>
      </c>
      <c r="P172" s="20">
        <f>ROUND(P171+IF(AND(E172&lt;=10,F172&lt;&gt;"ASTM A416"),L172,0),3)</f>
        <v/>
      </c>
      <c r="Q172" s="20">
        <f>ROUND(Q171+IF(AND(E172=12,F172&lt;&gt;"ASTM A416"),L172,0),3)</f>
        <v/>
      </c>
      <c r="R172" s="20">
        <f>ROUND(R171+IF(AND(E172=14,F172&lt;&gt;"ASTM A416"),L172,0),3)</f>
        <v/>
      </c>
      <c r="S172" s="20">
        <f>ROUND(S171+IF(AND(E172=16,F172&lt;&gt;"ASTM A416"),L172,0),3)</f>
        <v/>
      </c>
      <c r="T172" s="20">
        <f>ROUND(T171+IF(AND(E172=18,F172&lt;&gt;"ASTM A416"),L172,0),3)</f>
        <v/>
      </c>
      <c r="U172" s="20">
        <f>ROUND(U171+IF(AND(E172=20,F172&lt;&gt;"ASTM A416"),L172,0),3)</f>
        <v/>
      </c>
      <c r="V172" s="20">
        <f>ROUND(V171+IF(AND(E172=22,F172&lt;&gt;"ASTM A416"),L172,0),3)</f>
        <v/>
      </c>
      <c r="W172" s="20">
        <f>ROUND(W171+IF(AND(E172=25,F172&lt;&gt;"ASTM A416"),L172,0),3)</f>
        <v/>
      </c>
      <c r="X172" s="20">
        <f>ROUND(X171+IF(AND(E172=28,F172&lt;&gt;"ASTM A416"),L172,0),3)</f>
        <v/>
      </c>
      <c r="Y172" s="20">
        <f>ROUND(Y171+IF(AND(E172=32,F172&lt;&gt;"ASTM A416"),L172,0),3)</f>
        <v/>
      </c>
      <c r="Z172" s="20">
        <f>ROUND(Z171+IF(F172="ASTM A416",L172,0),3)</f>
        <v/>
      </c>
      <c r="AA172" s="11">
        <f>IF(ROUNDUP(P172/20,0)&gt;ROUNDUP(P171/20,0),"Lần " &amp; ROUNDUP(P172/20,0),"")</f>
        <v/>
      </c>
      <c r="AB172" s="11">
        <f>IF(ROUNDUP(Q172/20,0)&gt;ROUNDUP(Q171/20,0),"Lần " &amp; ROUNDUP(Q172/20,0),"")</f>
        <v/>
      </c>
      <c r="AC172" s="11">
        <f>IF(ROUNDUP(R172/20,0)&gt;ROUNDUP(R171/20,0),"Lần " &amp; ROUNDUP(R172/20,0),"")</f>
        <v/>
      </c>
      <c r="AD172" s="11">
        <f>IF(ROUNDUP(S172/20,0)&gt;ROUNDUP(S171/20,0),"Lần " &amp; ROUNDUP(S172/20,0),"")</f>
        <v/>
      </c>
      <c r="AE172" s="11">
        <f>IF(ROUNDUP(T172/20,0)&gt;ROUNDUP(T171/20,0),"Lần " &amp; ROUNDUP(T172/20,0),"")</f>
        <v/>
      </c>
      <c r="AF172" s="11">
        <f>IF(ROUNDUP(U172/20,0)&gt;ROUNDUP(U171/20,0),"Lần " &amp; ROUNDUP(U172/20,0),"")</f>
        <v/>
      </c>
      <c r="AG172" s="11">
        <f>IF(ROUNDUP(V172/20,0)&gt;ROUNDUP(V171/20,0),"Lần " &amp; ROUNDUP(V172/20,0),"")</f>
        <v/>
      </c>
      <c r="AH172" s="11">
        <f>IF(ROUNDUP(W172/20,0)&gt;ROUNDUP(W171/20,0),"Lần " &amp; ROUNDUP(W172/20,0),"")</f>
        <v/>
      </c>
      <c r="AI172" s="11">
        <f>IF(ROUNDUP(X172/20,0)&gt;ROUNDUP(X171/20,0),"Lần " &amp; ROUNDUP(X172/20,0),"")</f>
        <v/>
      </c>
      <c r="AJ172" s="11">
        <f>IF(ROUNDUP(Y172/20,0)&gt;ROUNDUP(Y171/20,0),"Lần " &amp; ROUNDUP(Y172/20,0),"")</f>
        <v/>
      </c>
      <c r="AK172" s="11">
        <f>IF(ROUNDUP(Z172/20,0)&gt;ROUNDUP(Z171/20,0),"Lần " &amp; ROUNDUP(Z172/20,0),"")</f>
        <v/>
      </c>
      <c r="AL172" s="6" t="n"/>
      <c r="AN172" t="inlineStr">
        <is>
          <t>Than</t>
        </is>
      </c>
      <c r="AO172" t="n">
        <v>46</v>
      </c>
    </row>
    <row r="173" ht="19" customHeight="1">
      <c r="A173" s="6" t="n">
        <v>166</v>
      </c>
      <c r="B173" s="7" t="inlineStr">
        <is>
          <t>Trụ T2 (Thân trụ)</t>
        </is>
      </c>
      <c r="C173" s="7" t="inlineStr">
        <is>
          <t>th©n trô ®o¹n 3</t>
        </is>
      </c>
      <c r="D173" s="18" t="inlineStr">
        <is>
          <t>T1c</t>
        </is>
      </c>
      <c r="E173" s="19" t="n">
        <v>32</v>
      </c>
      <c r="F173" s="6" t="inlineStr">
        <is>
          <t>CB400-V</t>
        </is>
      </c>
      <c r="G173" s="7" t="inlineStr">
        <is>
          <t>S28</t>
        </is>
      </c>
      <c r="H173" s="20" t="n">
        <v>8.656000000000001</v>
      </c>
      <c r="I173" s="21" t="n">
        <v>122</v>
      </c>
      <c r="J173" s="22" t="n">
        <v>6.313</v>
      </c>
      <c r="K173" s="9">
        <f>ROUND(H173*I173*J173, 2)</f>
        <v/>
      </c>
      <c r="L173" s="23">
        <f>ROUND(K173/1000, 3)</f>
        <v/>
      </c>
      <c r="M173" s="8">
        <f>IF(AO173="","",IF(INDEX(Theo_Doi_Tan_Suat_Be_Tong!$C:$C,AO173)="","",INDEX(Theo_Doi_Tan_Suat_Be_Tong!$C:$C,AO173)-VLOOKUP(AN173,$AQ$2:$AR$7,2,FALSE)))</f>
        <v/>
      </c>
      <c r="N173" s="6" t="n"/>
      <c r="O173" s="24">
        <f>IF(ROUNDUP(Y173/20,0)&gt;ROUNDUP(Y172/20,0),"TN Ø32 (Lần " &amp; ROUNDUP(Y173/20,0) &amp; ")","")</f>
        <v/>
      </c>
      <c r="P173" s="20">
        <f>ROUND(P172+IF(AND(E173&lt;=10,F173&lt;&gt;"ASTM A416"),L173,0),3)</f>
        <v/>
      </c>
      <c r="Q173" s="20">
        <f>ROUND(Q172+IF(AND(E173=12,F173&lt;&gt;"ASTM A416"),L173,0),3)</f>
        <v/>
      </c>
      <c r="R173" s="20">
        <f>ROUND(R172+IF(AND(E173=14,F173&lt;&gt;"ASTM A416"),L173,0),3)</f>
        <v/>
      </c>
      <c r="S173" s="20">
        <f>ROUND(S172+IF(AND(E173=16,F173&lt;&gt;"ASTM A416"),L173,0),3)</f>
        <v/>
      </c>
      <c r="T173" s="20">
        <f>ROUND(T172+IF(AND(E173=18,F173&lt;&gt;"ASTM A416"),L173,0),3)</f>
        <v/>
      </c>
      <c r="U173" s="20">
        <f>ROUND(U172+IF(AND(E173=20,F173&lt;&gt;"ASTM A416"),L173,0),3)</f>
        <v/>
      </c>
      <c r="V173" s="20">
        <f>ROUND(V172+IF(AND(E173=22,F173&lt;&gt;"ASTM A416"),L173,0),3)</f>
        <v/>
      </c>
      <c r="W173" s="20">
        <f>ROUND(W172+IF(AND(E173=25,F173&lt;&gt;"ASTM A416"),L173,0),3)</f>
        <v/>
      </c>
      <c r="X173" s="20">
        <f>ROUND(X172+IF(AND(E173=28,F173&lt;&gt;"ASTM A416"),L173,0),3)</f>
        <v/>
      </c>
      <c r="Y173" s="20">
        <f>ROUND(Y172+IF(AND(E173=32,F173&lt;&gt;"ASTM A416"),L173,0),3)</f>
        <v/>
      </c>
      <c r="Z173" s="20">
        <f>ROUND(Z172+IF(F173="ASTM A416",L173,0),3)</f>
        <v/>
      </c>
      <c r="AA173" s="11">
        <f>IF(ROUNDUP(P173/20,0)&gt;ROUNDUP(P172/20,0),"Lần " &amp; ROUNDUP(P173/20,0),"")</f>
        <v/>
      </c>
      <c r="AB173" s="11">
        <f>IF(ROUNDUP(Q173/20,0)&gt;ROUNDUP(Q172/20,0),"Lần " &amp; ROUNDUP(Q173/20,0),"")</f>
        <v/>
      </c>
      <c r="AC173" s="11">
        <f>IF(ROUNDUP(R173/20,0)&gt;ROUNDUP(R172/20,0),"Lần " &amp; ROUNDUP(R173/20,0),"")</f>
        <v/>
      </c>
      <c r="AD173" s="11">
        <f>IF(ROUNDUP(S173/20,0)&gt;ROUNDUP(S172/20,0),"Lần " &amp; ROUNDUP(S173/20,0),"")</f>
        <v/>
      </c>
      <c r="AE173" s="11">
        <f>IF(ROUNDUP(T173/20,0)&gt;ROUNDUP(T172/20,0),"Lần " &amp; ROUNDUP(T173/20,0),"")</f>
        <v/>
      </c>
      <c r="AF173" s="11">
        <f>IF(ROUNDUP(U173/20,0)&gt;ROUNDUP(U172/20,0),"Lần " &amp; ROUNDUP(U173/20,0),"")</f>
        <v/>
      </c>
      <c r="AG173" s="11">
        <f>IF(ROUNDUP(V173/20,0)&gt;ROUNDUP(V172/20,0),"Lần " &amp; ROUNDUP(V173/20,0),"")</f>
        <v/>
      </c>
      <c r="AH173" s="11">
        <f>IF(ROUNDUP(W173/20,0)&gt;ROUNDUP(W172/20,0),"Lần " &amp; ROUNDUP(W173/20,0),"")</f>
        <v/>
      </c>
      <c r="AI173" s="11">
        <f>IF(ROUNDUP(X173/20,0)&gt;ROUNDUP(X172/20,0),"Lần " &amp; ROUNDUP(X173/20,0),"")</f>
        <v/>
      </c>
      <c r="AJ173" s="11">
        <f>IF(ROUNDUP(Y173/20,0)&gt;ROUNDUP(Y172/20,0),"Lần " &amp; ROUNDUP(Y173/20,0),"")</f>
        <v/>
      </c>
      <c r="AK173" s="11">
        <f>IF(ROUNDUP(Z173/20,0)&gt;ROUNDUP(Z172/20,0),"Lần " &amp; ROUNDUP(Z173/20,0),"")</f>
        <v/>
      </c>
      <c r="AL173" s="6" t="n"/>
      <c r="AN173" t="inlineStr">
        <is>
          <t>Than</t>
        </is>
      </c>
      <c r="AO173" t="n">
        <v>48</v>
      </c>
    </row>
    <row r="174" ht="19" customHeight="1">
      <c r="A174" s="6" t="n">
        <v>167</v>
      </c>
      <c r="B174" s="7" t="inlineStr">
        <is>
          <t>Trụ T2 (Thân trụ)</t>
        </is>
      </c>
      <c r="C174" s="7" t="inlineStr">
        <is>
          <t>Thân trụ đặc</t>
        </is>
      </c>
      <c r="D174" s="18" t="inlineStr">
        <is>
          <t>T2c</t>
        </is>
      </c>
      <c r="E174" s="19" t="n">
        <v>16</v>
      </c>
      <c r="F174" s="6" t="inlineStr">
        <is>
          <t>CB400-V</t>
        </is>
      </c>
      <c r="G174" s="7" t="inlineStr">
        <is>
          <t>S07</t>
        </is>
      </c>
      <c r="H174" s="20" t="n">
        <v>8.436999999999999</v>
      </c>
      <c r="I174" s="21" t="n">
        <v>108</v>
      </c>
      <c r="J174" s="22" t="n">
        <v>1.578</v>
      </c>
      <c r="K174" s="9">
        <f>ROUND(H174*I174*J174, 2)</f>
        <v/>
      </c>
      <c r="L174" s="23">
        <f>ROUND(K174/1000, 3)</f>
        <v/>
      </c>
      <c r="M174" s="8">
        <f>IF(AO174="","",IF(INDEX(Theo_Doi_Tan_Suat_Be_Tong!$C:$C,AO174)="","",INDEX(Theo_Doi_Tan_Suat_Be_Tong!$C:$C,AO174)-VLOOKUP(AN174,$AQ$2:$AR$7,2,FALSE)))</f>
        <v/>
      </c>
      <c r="N174" s="6" t="n"/>
      <c r="O174" s="24">
        <f>IF(ROUNDUP(S174/20,0)&gt;ROUNDUP(S173/20,0),"TN Ø16 (Lần " &amp; ROUNDUP(S174/20,0) &amp; ")","")</f>
        <v/>
      </c>
      <c r="P174" s="20">
        <f>ROUND(P173+IF(AND(E174&lt;=10,F174&lt;&gt;"ASTM A416"),L174,0),3)</f>
        <v/>
      </c>
      <c r="Q174" s="20">
        <f>ROUND(Q173+IF(AND(E174=12,F174&lt;&gt;"ASTM A416"),L174,0),3)</f>
        <v/>
      </c>
      <c r="R174" s="20">
        <f>ROUND(R173+IF(AND(E174=14,F174&lt;&gt;"ASTM A416"),L174,0),3)</f>
        <v/>
      </c>
      <c r="S174" s="20">
        <f>ROUND(S173+IF(AND(E174=16,F174&lt;&gt;"ASTM A416"),L174,0),3)</f>
        <v/>
      </c>
      <c r="T174" s="20">
        <f>ROUND(T173+IF(AND(E174=18,F174&lt;&gt;"ASTM A416"),L174,0),3)</f>
        <v/>
      </c>
      <c r="U174" s="20">
        <f>ROUND(U173+IF(AND(E174=20,F174&lt;&gt;"ASTM A416"),L174,0),3)</f>
        <v/>
      </c>
      <c r="V174" s="20">
        <f>ROUND(V173+IF(AND(E174=22,F174&lt;&gt;"ASTM A416"),L174,0),3)</f>
        <v/>
      </c>
      <c r="W174" s="20">
        <f>ROUND(W173+IF(AND(E174=25,F174&lt;&gt;"ASTM A416"),L174,0),3)</f>
        <v/>
      </c>
      <c r="X174" s="20">
        <f>ROUND(X173+IF(AND(E174=28,F174&lt;&gt;"ASTM A416"),L174,0),3)</f>
        <v/>
      </c>
      <c r="Y174" s="20">
        <f>ROUND(Y173+IF(AND(E174=32,F174&lt;&gt;"ASTM A416"),L174,0),3)</f>
        <v/>
      </c>
      <c r="Z174" s="20">
        <f>ROUND(Z173+IF(F174="ASTM A416",L174,0),3)</f>
        <v/>
      </c>
      <c r="AA174" s="11">
        <f>IF(ROUNDUP(P174/20,0)&gt;ROUNDUP(P173/20,0),"Lần " &amp; ROUNDUP(P174/20,0),"")</f>
        <v/>
      </c>
      <c r="AB174" s="11">
        <f>IF(ROUNDUP(Q174/20,0)&gt;ROUNDUP(Q173/20,0),"Lần " &amp; ROUNDUP(Q174/20,0),"")</f>
        <v/>
      </c>
      <c r="AC174" s="11">
        <f>IF(ROUNDUP(R174/20,0)&gt;ROUNDUP(R173/20,0),"Lần " &amp; ROUNDUP(R174/20,0),"")</f>
        <v/>
      </c>
      <c r="AD174" s="11">
        <f>IF(ROUNDUP(S174/20,0)&gt;ROUNDUP(S173/20,0),"Lần " &amp; ROUNDUP(S174/20,0),"")</f>
        <v/>
      </c>
      <c r="AE174" s="11">
        <f>IF(ROUNDUP(T174/20,0)&gt;ROUNDUP(T173/20,0),"Lần " &amp; ROUNDUP(T174/20,0),"")</f>
        <v/>
      </c>
      <c r="AF174" s="11">
        <f>IF(ROUNDUP(U174/20,0)&gt;ROUNDUP(U173/20,0),"Lần " &amp; ROUNDUP(U174/20,0),"")</f>
        <v/>
      </c>
      <c r="AG174" s="11">
        <f>IF(ROUNDUP(V174/20,0)&gt;ROUNDUP(V173/20,0),"Lần " &amp; ROUNDUP(V174/20,0),"")</f>
        <v/>
      </c>
      <c r="AH174" s="11">
        <f>IF(ROUNDUP(W174/20,0)&gt;ROUNDUP(W173/20,0),"Lần " &amp; ROUNDUP(W174/20,0),"")</f>
        <v/>
      </c>
      <c r="AI174" s="11">
        <f>IF(ROUNDUP(X174/20,0)&gt;ROUNDUP(X173/20,0),"Lần " &amp; ROUNDUP(X174/20,0),"")</f>
        <v/>
      </c>
      <c r="AJ174" s="11">
        <f>IF(ROUNDUP(Y174/20,0)&gt;ROUNDUP(Y173/20,0),"Lần " &amp; ROUNDUP(Y174/20,0),"")</f>
        <v/>
      </c>
      <c r="AK174" s="11">
        <f>IF(ROUNDUP(Z174/20,0)&gt;ROUNDUP(Z173/20,0),"Lần " &amp; ROUNDUP(Z174/20,0),"")</f>
        <v/>
      </c>
      <c r="AL174" s="6" t="n"/>
      <c r="AN174" t="inlineStr">
        <is>
          <t>Than</t>
        </is>
      </c>
      <c r="AO174" t="n">
        <v>46</v>
      </c>
    </row>
    <row r="175" ht="19" customHeight="1">
      <c r="A175" s="6" t="n">
        <v>168</v>
      </c>
      <c r="B175" s="7" t="inlineStr">
        <is>
          <t>Trụ T2 (Thân trụ)</t>
        </is>
      </c>
      <c r="C175" s="7" t="inlineStr">
        <is>
          <t>Thân trụ đặc</t>
        </is>
      </c>
      <c r="D175" s="18" t="inlineStr">
        <is>
          <t>T3c</t>
        </is>
      </c>
      <c r="E175" s="19" t="n">
        <v>16</v>
      </c>
      <c r="F175" s="6" t="inlineStr">
        <is>
          <t>CB400-V</t>
        </is>
      </c>
      <c r="G175" s="7" t="inlineStr">
        <is>
          <t>S51</t>
        </is>
      </c>
      <c r="H175" s="20" t="n">
        <v>9.206</v>
      </c>
      <c r="I175" s="21" t="n">
        <v>108</v>
      </c>
      <c r="J175" s="22" t="n">
        <v>1.578</v>
      </c>
      <c r="K175" s="9">
        <f>ROUND(H175*I175*J175, 2)</f>
        <v/>
      </c>
      <c r="L175" s="23">
        <f>ROUND(K175/1000, 3)</f>
        <v/>
      </c>
      <c r="M175" s="8">
        <f>IF(AO175="","",IF(INDEX(Theo_Doi_Tan_Suat_Be_Tong!$C:$C,AO175)="","",INDEX(Theo_Doi_Tan_Suat_Be_Tong!$C:$C,AO175)-VLOOKUP(AN175,$AQ$2:$AR$7,2,FALSE)))</f>
        <v/>
      </c>
      <c r="N175" s="6" t="n"/>
      <c r="O175" s="24">
        <f>IF(ROUNDUP(S175/20,0)&gt;ROUNDUP(S174/20,0),"TN Ø16 (Lần " &amp; ROUNDUP(S175/20,0) &amp; ")","")</f>
        <v/>
      </c>
      <c r="P175" s="20">
        <f>ROUND(P174+IF(AND(E175&lt;=10,F175&lt;&gt;"ASTM A416"),L175,0),3)</f>
        <v/>
      </c>
      <c r="Q175" s="20">
        <f>ROUND(Q174+IF(AND(E175=12,F175&lt;&gt;"ASTM A416"),L175,0),3)</f>
        <v/>
      </c>
      <c r="R175" s="20">
        <f>ROUND(R174+IF(AND(E175=14,F175&lt;&gt;"ASTM A416"),L175,0),3)</f>
        <v/>
      </c>
      <c r="S175" s="20">
        <f>ROUND(S174+IF(AND(E175=16,F175&lt;&gt;"ASTM A416"),L175,0),3)</f>
        <v/>
      </c>
      <c r="T175" s="20">
        <f>ROUND(T174+IF(AND(E175=18,F175&lt;&gt;"ASTM A416"),L175,0),3)</f>
        <v/>
      </c>
      <c r="U175" s="20">
        <f>ROUND(U174+IF(AND(E175=20,F175&lt;&gt;"ASTM A416"),L175,0),3)</f>
        <v/>
      </c>
      <c r="V175" s="20">
        <f>ROUND(V174+IF(AND(E175=22,F175&lt;&gt;"ASTM A416"),L175,0),3)</f>
        <v/>
      </c>
      <c r="W175" s="20">
        <f>ROUND(W174+IF(AND(E175=25,F175&lt;&gt;"ASTM A416"),L175,0),3)</f>
        <v/>
      </c>
      <c r="X175" s="20">
        <f>ROUND(X174+IF(AND(E175=28,F175&lt;&gt;"ASTM A416"),L175,0),3)</f>
        <v/>
      </c>
      <c r="Y175" s="20">
        <f>ROUND(Y174+IF(AND(E175=32,F175&lt;&gt;"ASTM A416"),L175,0),3)</f>
        <v/>
      </c>
      <c r="Z175" s="20">
        <f>ROUND(Z174+IF(F175="ASTM A416",L175,0),3)</f>
        <v/>
      </c>
      <c r="AA175" s="11">
        <f>IF(ROUNDUP(P175/20,0)&gt;ROUNDUP(P174/20,0),"Lần " &amp; ROUNDUP(P175/20,0),"")</f>
        <v/>
      </c>
      <c r="AB175" s="11">
        <f>IF(ROUNDUP(Q175/20,0)&gt;ROUNDUP(Q174/20,0),"Lần " &amp; ROUNDUP(Q175/20,0),"")</f>
        <v/>
      </c>
      <c r="AC175" s="11">
        <f>IF(ROUNDUP(R175/20,0)&gt;ROUNDUP(R174/20,0),"Lần " &amp; ROUNDUP(R175/20,0),"")</f>
        <v/>
      </c>
      <c r="AD175" s="11">
        <f>IF(ROUNDUP(S175/20,0)&gt;ROUNDUP(S174/20,0),"Lần " &amp; ROUNDUP(S175/20,0),"")</f>
        <v/>
      </c>
      <c r="AE175" s="11">
        <f>IF(ROUNDUP(T175/20,0)&gt;ROUNDUP(T174/20,0),"Lần " &amp; ROUNDUP(T175/20,0),"")</f>
        <v/>
      </c>
      <c r="AF175" s="11">
        <f>IF(ROUNDUP(U175/20,0)&gt;ROUNDUP(U174/20,0),"Lần " &amp; ROUNDUP(U175/20,0),"")</f>
        <v/>
      </c>
      <c r="AG175" s="11">
        <f>IF(ROUNDUP(V175/20,0)&gt;ROUNDUP(V174/20,0),"Lần " &amp; ROUNDUP(V175/20,0),"")</f>
        <v/>
      </c>
      <c r="AH175" s="11">
        <f>IF(ROUNDUP(W175/20,0)&gt;ROUNDUP(W174/20,0),"Lần " &amp; ROUNDUP(W175/20,0),"")</f>
        <v/>
      </c>
      <c r="AI175" s="11">
        <f>IF(ROUNDUP(X175/20,0)&gt;ROUNDUP(X174/20,0),"Lần " &amp; ROUNDUP(X175/20,0),"")</f>
        <v/>
      </c>
      <c r="AJ175" s="11">
        <f>IF(ROUNDUP(Y175/20,0)&gt;ROUNDUP(Y174/20,0),"Lần " &amp; ROUNDUP(Y175/20,0),"")</f>
        <v/>
      </c>
      <c r="AK175" s="11">
        <f>IF(ROUNDUP(Z175/20,0)&gt;ROUNDUP(Z174/20,0),"Lần " &amp; ROUNDUP(Z175/20,0),"")</f>
        <v/>
      </c>
      <c r="AL175" s="6" t="n"/>
      <c r="AN175" t="inlineStr">
        <is>
          <t>Than</t>
        </is>
      </c>
      <c r="AO175" t="n">
        <v>46</v>
      </c>
    </row>
    <row r="176" ht="19" customHeight="1">
      <c r="A176" s="6" t="n">
        <v>169</v>
      </c>
      <c r="B176" s="7" t="inlineStr">
        <is>
          <t>Trụ T2 (Thân trụ)</t>
        </is>
      </c>
      <c r="C176" s="7" t="inlineStr">
        <is>
          <t>Thân trụ đặc</t>
        </is>
      </c>
      <c r="D176" s="18" t="inlineStr">
        <is>
          <t>T4c</t>
        </is>
      </c>
      <c r="E176" s="19" t="n">
        <v>16</v>
      </c>
      <c r="F176" s="6" t="inlineStr">
        <is>
          <t>CB400-V</t>
        </is>
      </c>
      <c r="G176" s="7" t="inlineStr">
        <is>
          <t>S06</t>
        </is>
      </c>
      <c r="H176" s="20" t="n">
        <v>6.532</v>
      </c>
      <c r="I176" s="21" t="n">
        <v>13</v>
      </c>
      <c r="J176" s="22" t="n">
        <v>1.578</v>
      </c>
      <c r="K176" s="9">
        <f>ROUND(H176*I176*J176, 2)</f>
        <v/>
      </c>
      <c r="L176" s="23">
        <f>ROUND(K176/1000, 3)</f>
        <v/>
      </c>
      <c r="M176" s="8">
        <f>IF(AO176="","",IF(INDEX(Theo_Doi_Tan_Suat_Be_Tong!$C:$C,AO176)="","",INDEX(Theo_Doi_Tan_Suat_Be_Tong!$C:$C,AO176)-VLOOKUP(AN176,$AQ$2:$AR$7,2,FALSE)))</f>
        <v/>
      </c>
      <c r="N176" s="6" t="n"/>
      <c r="O176" s="24">
        <f>IF(ROUNDUP(S176/20,0)&gt;ROUNDUP(S175/20,0),"TN Ø16 (Lần " &amp; ROUNDUP(S176/20,0) &amp; ")","")</f>
        <v/>
      </c>
      <c r="P176" s="20">
        <f>ROUND(P175+IF(AND(E176&lt;=10,F176&lt;&gt;"ASTM A416"),L176,0),3)</f>
        <v/>
      </c>
      <c r="Q176" s="20">
        <f>ROUND(Q175+IF(AND(E176=12,F176&lt;&gt;"ASTM A416"),L176,0),3)</f>
        <v/>
      </c>
      <c r="R176" s="20">
        <f>ROUND(R175+IF(AND(E176=14,F176&lt;&gt;"ASTM A416"),L176,0),3)</f>
        <v/>
      </c>
      <c r="S176" s="20">
        <f>ROUND(S175+IF(AND(E176=16,F176&lt;&gt;"ASTM A416"),L176,0),3)</f>
        <v/>
      </c>
      <c r="T176" s="20">
        <f>ROUND(T175+IF(AND(E176=18,F176&lt;&gt;"ASTM A416"),L176,0),3)</f>
        <v/>
      </c>
      <c r="U176" s="20">
        <f>ROUND(U175+IF(AND(E176=20,F176&lt;&gt;"ASTM A416"),L176,0),3)</f>
        <v/>
      </c>
      <c r="V176" s="20">
        <f>ROUND(V175+IF(AND(E176=22,F176&lt;&gt;"ASTM A416"),L176,0),3)</f>
        <v/>
      </c>
      <c r="W176" s="20">
        <f>ROUND(W175+IF(AND(E176=25,F176&lt;&gt;"ASTM A416"),L176,0),3)</f>
        <v/>
      </c>
      <c r="X176" s="20">
        <f>ROUND(X175+IF(AND(E176=28,F176&lt;&gt;"ASTM A416"),L176,0),3)</f>
        <v/>
      </c>
      <c r="Y176" s="20">
        <f>ROUND(Y175+IF(AND(E176=32,F176&lt;&gt;"ASTM A416"),L176,0),3)</f>
        <v/>
      </c>
      <c r="Z176" s="20">
        <f>ROUND(Z175+IF(F176="ASTM A416",L176,0),3)</f>
        <v/>
      </c>
      <c r="AA176" s="11">
        <f>IF(ROUNDUP(P176/20,0)&gt;ROUNDUP(P175/20,0),"Lần " &amp; ROUNDUP(P176/20,0),"")</f>
        <v/>
      </c>
      <c r="AB176" s="11">
        <f>IF(ROUNDUP(Q176/20,0)&gt;ROUNDUP(Q175/20,0),"Lần " &amp; ROUNDUP(Q176/20,0),"")</f>
        <v/>
      </c>
      <c r="AC176" s="11">
        <f>IF(ROUNDUP(R176/20,0)&gt;ROUNDUP(R175/20,0),"Lần " &amp; ROUNDUP(R176/20,0),"")</f>
        <v/>
      </c>
      <c r="AD176" s="11">
        <f>IF(ROUNDUP(S176/20,0)&gt;ROUNDUP(S175/20,0),"Lần " &amp; ROUNDUP(S176/20,0),"")</f>
        <v/>
      </c>
      <c r="AE176" s="11">
        <f>IF(ROUNDUP(T176/20,0)&gt;ROUNDUP(T175/20,0),"Lần " &amp; ROUNDUP(T176/20,0),"")</f>
        <v/>
      </c>
      <c r="AF176" s="11">
        <f>IF(ROUNDUP(U176/20,0)&gt;ROUNDUP(U175/20,0),"Lần " &amp; ROUNDUP(U176/20,0),"")</f>
        <v/>
      </c>
      <c r="AG176" s="11">
        <f>IF(ROUNDUP(V176/20,0)&gt;ROUNDUP(V175/20,0),"Lần " &amp; ROUNDUP(V176/20,0),"")</f>
        <v/>
      </c>
      <c r="AH176" s="11">
        <f>IF(ROUNDUP(W176/20,0)&gt;ROUNDUP(W175/20,0),"Lần " &amp; ROUNDUP(W176/20,0),"")</f>
        <v/>
      </c>
      <c r="AI176" s="11">
        <f>IF(ROUNDUP(X176/20,0)&gt;ROUNDUP(X175/20,0),"Lần " &amp; ROUNDUP(X176/20,0),"")</f>
        <v/>
      </c>
      <c r="AJ176" s="11">
        <f>IF(ROUNDUP(Y176/20,0)&gt;ROUNDUP(Y175/20,0),"Lần " &amp; ROUNDUP(Y176/20,0),"")</f>
        <v/>
      </c>
      <c r="AK176" s="11">
        <f>IF(ROUNDUP(Z176/20,0)&gt;ROUNDUP(Z175/20,0),"Lần " &amp; ROUNDUP(Z176/20,0),"")</f>
        <v/>
      </c>
      <c r="AL176" s="6" t="n"/>
      <c r="AN176" t="inlineStr">
        <is>
          <t>Than</t>
        </is>
      </c>
      <c r="AO176" t="n">
        <v>46</v>
      </c>
    </row>
    <row r="177" ht="20" customHeight="1">
      <c r="A177" s="6" t="n">
        <v>170</v>
      </c>
      <c r="B177" s="7" t="inlineStr">
        <is>
          <t>Trụ T2 (Thân trụ)</t>
        </is>
      </c>
      <c r="C177" s="7" t="inlineStr">
        <is>
          <t>Thân trụ đặc</t>
        </is>
      </c>
      <c r="D177" s="18" t="inlineStr">
        <is>
          <t>T4c1</t>
        </is>
      </c>
      <c r="E177" s="19" t="n">
        <v>16</v>
      </c>
      <c r="F177" s="6" t="inlineStr">
        <is>
          <t>CB400-V</t>
        </is>
      </c>
      <c r="G177" s="7" t="inlineStr">
        <is>
          <t>S06</t>
        </is>
      </c>
      <c r="H177" s="20" t="n">
        <v>6.202</v>
      </c>
      <c r="I177" s="21" t="n">
        <v>26</v>
      </c>
      <c r="J177" s="22" t="n">
        <v>1.578</v>
      </c>
      <c r="K177" s="9">
        <f>ROUND(H177*I177*J177, 2)</f>
        <v/>
      </c>
      <c r="L177" s="23">
        <f>ROUND(K177/1000, 3)</f>
        <v/>
      </c>
      <c r="M177" s="8">
        <f>IF(AO177="","",IF(INDEX(Theo_Doi_Tan_Suat_Be_Tong!$C:$C,AO177)="","",INDEX(Theo_Doi_Tan_Suat_Be_Tong!$C:$C,AO177)-VLOOKUP(AN177,$AQ$2:$AR$7,2,FALSE)))</f>
        <v/>
      </c>
      <c r="N177" s="6" t="n"/>
      <c r="O177" s="24">
        <f>IF(ROUNDUP(S177/20,0)&gt;ROUNDUP(S176/20,0),"TN Ø16 (Lần " &amp; ROUNDUP(S177/20,0) &amp; ")","")</f>
        <v/>
      </c>
      <c r="P177" s="20">
        <f>ROUND(P176+IF(AND(E177&lt;=10,F177&lt;&gt;"ASTM A416"),L177,0),3)</f>
        <v/>
      </c>
      <c r="Q177" s="20">
        <f>ROUND(Q176+IF(AND(E177=12,F177&lt;&gt;"ASTM A416"),L177,0),3)</f>
        <v/>
      </c>
      <c r="R177" s="20">
        <f>ROUND(R176+IF(AND(E177=14,F177&lt;&gt;"ASTM A416"),L177,0),3)</f>
        <v/>
      </c>
      <c r="S177" s="20">
        <f>ROUND(S176+IF(AND(E177=16,F177&lt;&gt;"ASTM A416"),L177,0),3)</f>
        <v/>
      </c>
      <c r="T177" s="20">
        <f>ROUND(T176+IF(AND(E177=18,F177&lt;&gt;"ASTM A416"),L177,0),3)</f>
        <v/>
      </c>
      <c r="U177" s="20">
        <f>ROUND(U176+IF(AND(E177=20,F177&lt;&gt;"ASTM A416"),L177,0),3)</f>
        <v/>
      </c>
      <c r="V177" s="20">
        <f>ROUND(V176+IF(AND(E177=22,F177&lt;&gt;"ASTM A416"),L177,0),3)</f>
        <v/>
      </c>
      <c r="W177" s="20">
        <f>ROUND(W176+IF(AND(E177=25,F177&lt;&gt;"ASTM A416"),L177,0),3)</f>
        <v/>
      </c>
      <c r="X177" s="20">
        <f>ROUND(X176+IF(AND(E177=28,F177&lt;&gt;"ASTM A416"),L177,0),3)</f>
        <v/>
      </c>
      <c r="Y177" s="20">
        <f>ROUND(Y176+IF(AND(E177=32,F177&lt;&gt;"ASTM A416"),L177,0),3)</f>
        <v/>
      </c>
      <c r="Z177" s="20">
        <f>ROUND(Z176+IF(F177="ASTM A416",L177,0),3)</f>
        <v/>
      </c>
      <c r="AA177" s="11">
        <f>IF(ROUNDUP(P177/20,0)&gt;ROUNDUP(P176/20,0),"Lần " &amp; ROUNDUP(P177/20,0),"")</f>
        <v/>
      </c>
      <c r="AB177" s="11">
        <f>IF(ROUNDUP(Q177/20,0)&gt;ROUNDUP(Q176/20,0),"Lần " &amp; ROUNDUP(Q177/20,0),"")</f>
        <v/>
      </c>
      <c r="AC177" s="11">
        <f>IF(ROUNDUP(R177/20,0)&gt;ROUNDUP(R176/20,0),"Lần " &amp; ROUNDUP(R177/20,0),"")</f>
        <v/>
      </c>
      <c r="AD177" s="11">
        <f>IF(ROUNDUP(S177/20,0)&gt;ROUNDUP(S176/20,0),"Lần " &amp; ROUNDUP(S177/20,0),"")</f>
        <v/>
      </c>
      <c r="AE177" s="11">
        <f>IF(ROUNDUP(T177/20,0)&gt;ROUNDUP(T176/20,0),"Lần " &amp; ROUNDUP(T177/20,0),"")</f>
        <v/>
      </c>
      <c r="AF177" s="11">
        <f>IF(ROUNDUP(U177/20,0)&gt;ROUNDUP(U176/20,0),"Lần " &amp; ROUNDUP(U177/20,0),"")</f>
        <v/>
      </c>
      <c r="AG177" s="11">
        <f>IF(ROUNDUP(V177/20,0)&gt;ROUNDUP(V176/20,0),"Lần " &amp; ROUNDUP(V177/20,0),"")</f>
        <v/>
      </c>
      <c r="AH177" s="11">
        <f>IF(ROUNDUP(W177/20,0)&gt;ROUNDUP(W176/20,0),"Lần " &amp; ROUNDUP(W177/20,0),"")</f>
        <v/>
      </c>
      <c r="AI177" s="11">
        <f>IF(ROUNDUP(X177/20,0)&gt;ROUNDUP(X176/20,0),"Lần " &amp; ROUNDUP(X177/20,0),"")</f>
        <v/>
      </c>
      <c r="AJ177" s="11">
        <f>IF(ROUNDUP(Y177/20,0)&gt;ROUNDUP(Y176/20,0),"Lần " &amp; ROUNDUP(Y177/20,0),"")</f>
        <v/>
      </c>
      <c r="AK177" s="11">
        <f>IF(ROUNDUP(Z177/20,0)&gt;ROUNDUP(Z176/20,0),"Lần " &amp; ROUNDUP(Z177/20,0),"")</f>
        <v/>
      </c>
      <c r="AL177" s="6" t="n"/>
      <c r="AN177" t="inlineStr">
        <is>
          <t>Than</t>
        </is>
      </c>
      <c r="AO177" t="n">
        <v>46</v>
      </c>
    </row>
    <row r="178" ht="19" customHeight="1">
      <c r="A178" s="17" t="inlineStr">
        <is>
          <t>--- TRỤ T1, T2 (XÀ MŨ TRỤ) ---</t>
        </is>
      </c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 t="n"/>
      <c r="AF178" s="35" t="n"/>
      <c r="AG178" s="35" t="n"/>
      <c r="AH178" s="35" t="n"/>
      <c r="AI178" s="35" t="n"/>
      <c r="AJ178" s="35" t="n"/>
      <c r="AK178" s="35" t="n"/>
      <c r="AL178" s="34" t="n"/>
    </row>
    <row r="179" ht="19" customHeight="1">
      <c r="A179" s="6" t="n">
        <v>171</v>
      </c>
      <c r="B179" s="7" t="inlineStr">
        <is>
          <t>Trụ T1, T2 (Xà mũ trụ)</t>
        </is>
      </c>
      <c r="C179" s="7" t="inlineStr">
        <is>
          <t>Xà mũ trụ T1 (tr.51)</t>
        </is>
      </c>
      <c r="D179" s="18" t="inlineStr">
        <is>
          <t>X1</t>
        </is>
      </c>
      <c r="E179" s="19" t="n">
        <v>32</v>
      </c>
      <c r="F179" s="6" t="inlineStr">
        <is>
          <t>CB400-V</t>
        </is>
      </c>
      <c r="G179" s="7" t="inlineStr"/>
      <c r="H179" s="20" t="n">
        <v>14.312</v>
      </c>
      <c r="I179" s="21" t="n">
        <v>15</v>
      </c>
      <c r="J179" s="22" t="n">
        <v>6.313</v>
      </c>
      <c r="K179" s="9">
        <f>ROUND(H179*I179*J179, 2)</f>
        <v/>
      </c>
      <c r="L179" s="23">
        <f>ROUND(K179/1000, 3)</f>
        <v/>
      </c>
      <c r="M179" s="8">
        <f>IF(AO179="","",IF(INDEX(Theo_Doi_Tan_Suat_Be_Tong!$C:$C,AO179)="","",INDEX(Theo_Doi_Tan_Suat_Be_Tong!$C:$C,AO179)-VLOOKUP(AN179,$AQ$2:$AR$7,2,FALSE)))</f>
        <v/>
      </c>
      <c r="N179" s="6" t="n"/>
      <c r="O179" s="24">
        <f>IF(ROUNDUP(Y179/20,0)&gt;ROUNDUP(Y177/20,0),"TN Ø32 (Lần " &amp; ROUNDUP(Y179/20,0) &amp; ")","")</f>
        <v/>
      </c>
      <c r="P179" s="20">
        <f>ROUND(P177+IF(AND(E179&lt;=10,F179&lt;&gt;"ASTM A416"),L179,0),3)</f>
        <v/>
      </c>
      <c r="Q179" s="20">
        <f>ROUND(Q177+IF(AND(E179=12,F179&lt;&gt;"ASTM A416"),L179,0),3)</f>
        <v/>
      </c>
      <c r="R179" s="20">
        <f>ROUND(R177+IF(AND(E179=14,F179&lt;&gt;"ASTM A416"),L179,0),3)</f>
        <v/>
      </c>
      <c r="S179" s="20">
        <f>ROUND(S177+IF(AND(E179=16,F179&lt;&gt;"ASTM A416"),L179,0),3)</f>
        <v/>
      </c>
      <c r="T179" s="20">
        <f>ROUND(T177+IF(AND(E179=18,F179&lt;&gt;"ASTM A416"),L179,0),3)</f>
        <v/>
      </c>
      <c r="U179" s="20">
        <f>ROUND(U177+IF(AND(E179=20,F179&lt;&gt;"ASTM A416"),L179,0),3)</f>
        <v/>
      </c>
      <c r="V179" s="20">
        <f>ROUND(V177+IF(AND(E179=22,F179&lt;&gt;"ASTM A416"),L179,0),3)</f>
        <v/>
      </c>
      <c r="W179" s="20">
        <f>ROUND(W177+IF(AND(E179=25,F179&lt;&gt;"ASTM A416"),L179,0),3)</f>
        <v/>
      </c>
      <c r="X179" s="20">
        <f>ROUND(X177+IF(AND(E179=28,F179&lt;&gt;"ASTM A416"),L179,0),3)</f>
        <v/>
      </c>
      <c r="Y179" s="20">
        <f>ROUND(Y177+IF(AND(E179=32,F179&lt;&gt;"ASTM A416"),L179,0),3)</f>
        <v/>
      </c>
      <c r="Z179" s="20">
        <f>ROUND(Z177+IF(F179="ASTM A416",L179,0),3)</f>
        <v/>
      </c>
      <c r="AA179" s="11">
        <f>IF(ROUNDUP(P179/20,0)&gt;ROUNDUP(P177/20,0),"Lần " &amp; ROUNDUP(P179/20,0),"")</f>
        <v/>
      </c>
      <c r="AB179" s="11">
        <f>IF(ROUNDUP(Q179/20,0)&gt;ROUNDUP(Q177/20,0),"Lần " &amp; ROUNDUP(Q179/20,0),"")</f>
        <v/>
      </c>
      <c r="AC179" s="11">
        <f>IF(ROUNDUP(R179/20,0)&gt;ROUNDUP(R177/20,0),"Lần " &amp; ROUNDUP(R179/20,0),"")</f>
        <v/>
      </c>
      <c r="AD179" s="11">
        <f>IF(ROUNDUP(S179/20,0)&gt;ROUNDUP(S177/20,0),"Lần " &amp; ROUNDUP(S179/20,0),"")</f>
        <v/>
      </c>
      <c r="AE179" s="11">
        <f>IF(ROUNDUP(T179/20,0)&gt;ROUNDUP(T177/20,0),"Lần " &amp; ROUNDUP(T179/20,0),"")</f>
        <v/>
      </c>
      <c r="AF179" s="11">
        <f>IF(ROUNDUP(U179/20,0)&gt;ROUNDUP(U177/20,0),"Lần " &amp; ROUNDUP(U179/20,0),"")</f>
        <v/>
      </c>
      <c r="AG179" s="11">
        <f>IF(ROUNDUP(V179/20,0)&gt;ROUNDUP(V177/20,0),"Lần " &amp; ROUNDUP(V179/20,0),"")</f>
        <v/>
      </c>
      <c r="AH179" s="11">
        <f>IF(ROUNDUP(W179/20,0)&gt;ROUNDUP(W177/20,0),"Lần " &amp; ROUNDUP(W179/20,0),"")</f>
        <v/>
      </c>
      <c r="AI179" s="11">
        <f>IF(ROUNDUP(X179/20,0)&gt;ROUNDUP(X177/20,0),"Lần " &amp; ROUNDUP(X179/20,0),"")</f>
        <v/>
      </c>
      <c r="AJ179" s="11">
        <f>IF(ROUNDUP(Y179/20,0)&gt;ROUNDUP(Y177/20,0),"Lần " &amp; ROUNDUP(Y179/20,0),"")</f>
        <v/>
      </c>
      <c r="AK179" s="11">
        <f>IF(ROUNDUP(Z179/20,0)&gt;ROUNDUP(Z177/20,0),"Lần " &amp; ROUNDUP(Z179/20,0),"")</f>
        <v/>
      </c>
      <c r="AL179" s="6" t="n"/>
      <c r="AN179" t="inlineStr">
        <is>
          <t>Than</t>
        </is>
      </c>
      <c r="AO179" t="n">
        <v>45</v>
      </c>
    </row>
    <row r="180" ht="19" customHeight="1">
      <c r="A180" s="6" t="n">
        <v>172</v>
      </c>
      <c r="B180" s="7" t="inlineStr">
        <is>
          <t>Trụ T1, T2 (Xà mũ trụ)</t>
        </is>
      </c>
      <c r="C180" s="7" t="inlineStr">
        <is>
          <t>Xà mũ trụ T1 (tr.51)</t>
        </is>
      </c>
      <c r="D180" s="18" t="inlineStr">
        <is>
          <t>X1A</t>
        </is>
      </c>
      <c r="E180" s="19" t="n">
        <v>32</v>
      </c>
      <c r="F180" s="6" t="inlineStr">
        <is>
          <t>CB400-V</t>
        </is>
      </c>
      <c r="G180" s="7" t="inlineStr"/>
      <c r="H180" s="20" t="n">
        <v>13.48</v>
      </c>
      <c r="I180" s="21" t="n">
        <v>15</v>
      </c>
      <c r="J180" s="22" t="n">
        <v>6.313</v>
      </c>
      <c r="K180" s="9">
        <f>ROUND(H180*I180*J180, 2)</f>
        <v/>
      </c>
      <c r="L180" s="23">
        <f>ROUND(K180/1000, 3)</f>
        <v/>
      </c>
      <c r="M180" s="8">
        <f>IF(AO180="","",IF(INDEX(Theo_Doi_Tan_Suat_Be_Tong!$C:$C,AO180)="","",INDEX(Theo_Doi_Tan_Suat_Be_Tong!$C:$C,AO180)-VLOOKUP(AN180,$AQ$2:$AR$7,2,FALSE)))</f>
        <v/>
      </c>
      <c r="N180" s="6" t="n"/>
      <c r="O180" s="24">
        <f>IF(ROUNDUP(Y180/20,0)&gt;ROUNDUP(Y179/20,0),"TN Ø32 (Lần " &amp; ROUNDUP(Y180/20,0) &amp; ")","")</f>
        <v/>
      </c>
      <c r="P180" s="20">
        <f>ROUND(P179+IF(AND(E180&lt;=10,F180&lt;&gt;"ASTM A416"),L180,0),3)</f>
        <v/>
      </c>
      <c r="Q180" s="20">
        <f>ROUND(Q179+IF(AND(E180=12,F180&lt;&gt;"ASTM A416"),L180,0),3)</f>
        <v/>
      </c>
      <c r="R180" s="20">
        <f>ROUND(R179+IF(AND(E180=14,F180&lt;&gt;"ASTM A416"),L180,0),3)</f>
        <v/>
      </c>
      <c r="S180" s="20">
        <f>ROUND(S179+IF(AND(E180=16,F180&lt;&gt;"ASTM A416"),L180,0),3)</f>
        <v/>
      </c>
      <c r="T180" s="20">
        <f>ROUND(T179+IF(AND(E180=18,F180&lt;&gt;"ASTM A416"),L180,0),3)</f>
        <v/>
      </c>
      <c r="U180" s="20">
        <f>ROUND(U179+IF(AND(E180=20,F180&lt;&gt;"ASTM A416"),L180,0),3)</f>
        <v/>
      </c>
      <c r="V180" s="20">
        <f>ROUND(V179+IF(AND(E180=22,F180&lt;&gt;"ASTM A416"),L180,0),3)</f>
        <v/>
      </c>
      <c r="W180" s="20">
        <f>ROUND(W179+IF(AND(E180=25,F180&lt;&gt;"ASTM A416"),L180,0),3)</f>
        <v/>
      </c>
      <c r="X180" s="20">
        <f>ROUND(X179+IF(AND(E180=28,F180&lt;&gt;"ASTM A416"),L180,0),3)</f>
        <v/>
      </c>
      <c r="Y180" s="20">
        <f>ROUND(Y179+IF(AND(E180=32,F180&lt;&gt;"ASTM A416"),L180,0),3)</f>
        <v/>
      </c>
      <c r="Z180" s="20">
        <f>ROUND(Z179+IF(F180="ASTM A416",L180,0),3)</f>
        <v/>
      </c>
      <c r="AA180" s="11">
        <f>IF(ROUNDUP(P180/20,0)&gt;ROUNDUP(P179/20,0),"Lần " &amp; ROUNDUP(P180/20,0),"")</f>
        <v/>
      </c>
      <c r="AB180" s="11">
        <f>IF(ROUNDUP(Q180/20,0)&gt;ROUNDUP(Q179/20,0),"Lần " &amp; ROUNDUP(Q180/20,0),"")</f>
        <v/>
      </c>
      <c r="AC180" s="11">
        <f>IF(ROUNDUP(R180/20,0)&gt;ROUNDUP(R179/20,0),"Lần " &amp; ROUNDUP(R180/20,0),"")</f>
        <v/>
      </c>
      <c r="AD180" s="11">
        <f>IF(ROUNDUP(S180/20,0)&gt;ROUNDUP(S179/20,0),"Lần " &amp; ROUNDUP(S180/20,0),"")</f>
        <v/>
      </c>
      <c r="AE180" s="11">
        <f>IF(ROUNDUP(T180/20,0)&gt;ROUNDUP(T179/20,0),"Lần " &amp; ROUNDUP(T180/20,0),"")</f>
        <v/>
      </c>
      <c r="AF180" s="11">
        <f>IF(ROUNDUP(U180/20,0)&gt;ROUNDUP(U179/20,0),"Lần " &amp; ROUNDUP(U180/20,0),"")</f>
        <v/>
      </c>
      <c r="AG180" s="11">
        <f>IF(ROUNDUP(V180/20,0)&gt;ROUNDUP(V179/20,0),"Lần " &amp; ROUNDUP(V180/20,0),"")</f>
        <v/>
      </c>
      <c r="AH180" s="11">
        <f>IF(ROUNDUP(W180/20,0)&gt;ROUNDUP(W179/20,0),"Lần " &amp; ROUNDUP(W180/20,0),"")</f>
        <v/>
      </c>
      <c r="AI180" s="11">
        <f>IF(ROUNDUP(X180/20,0)&gt;ROUNDUP(X179/20,0),"Lần " &amp; ROUNDUP(X180/20,0),"")</f>
        <v/>
      </c>
      <c r="AJ180" s="11">
        <f>IF(ROUNDUP(Y180/20,0)&gt;ROUNDUP(Y179/20,0),"Lần " &amp; ROUNDUP(Y180/20,0),"")</f>
        <v/>
      </c>
      <c r="AK180" s="11">
        <f>IF(ROUNDUP(Z180/20,0)&gt;ROUNDUP(Z179/20,0),"Lần " &amp; ROUNDUP(Z180/20,0),"")</f>
        <v/>
      </c>
      <c r="AL180" s="6" t="n"/>
      <c r="AN180" t="inlineStr">
        <is>
          <t>Than</t>
        </is>
      </c>
      <c r="AO180" t="n">
        <v>45</v>
      </c>
    </row>
    <row r="181" ht="19" customHeight="1">
      <c r="A181" s="6" t="n">
        <v>173</v>
      </c>
      <c r="B181" s="7" t="inlineStr">
        <is>
          <t>Trụ T1, T2 (Xà mũ trụ)</t>
        </is>
      </c>
      <c r="C181" s="7" t="inlineStr">
        <is>
          <t>Xà mũ trụ T1 (tr.51)</t>
        </is>
      </c>
      <c r="D181" s="18" t="inlineStr">
        <is>
          <t>X2</t>
        </is>
      </c>
      <c r="E181" s="19" t="n">
        <v>16</v>
      </c>
      <c r="F181" s="6" t="inlineStr">
        <is>
          <t>CB400-V</t>
        </is>
      </c>
      <c r="G181" s="7" t="inlineStr"/>
      <c r="H181" s="20" t="n">
        <v>13.139</v>
      </c>
      <c r="I181" s="21" t="n">
        <v>24</v>
      </c>
      <c r="J181" s="22" t="n">
        <v>1.578</v>
      </c>
      <c r="K181" s="9">
        <f>ROUND(H181*I181*J181, 2)</f>
        <v/>
      </c>
      <c r="L181" s="23">
        <f>ROUND(K181/1000, 3)</f>
        <v/>
      </c>
      <c r="M181" s="8">
        <f>IF(AO181="","",IF(INDEX(Theo_Doi_Tan_Suat_Be_Tong!$C:$C,AO181)="","",INDEX(Theo_Doi_Tan_Suat_Be_Tong!$C:$C,AO181)-VLOOKUP(AN181,$AQ$2:$AR$7,2,FALSE)))</f>
        <v/>
      </c>
      <c r="N181" s="6" t="n"/>
      <c r="O181" s="24">
        <f>IF(ROUNDUP(S181/20,0)&gt;ROUNDUP(S180/20,0),"TN Ø16 (Lần " &amp; ROUNDUP(S181/20,0) &amp; ")","")</f>
        <v/>
      </c>
      <c r="P181" s="20">
        <f>ROUND(P180+IF(AND(E181&lt;=10,F181&lt;&gt;"ASTM A416"),L181,0),3)</f>
        <v/>
      </c>
      <c r="Q181" s="20">
        <f>ROUND(Q180+IF(AND(E181=12,F181&lt;&gt;"ASTM A416"),L181,0),3)</f>
        <v/>
      </c>
      <c r="R181" s="20">
        <f>ROUND(R180+IF(AND(E181=14,F181&lt;&gt;"ASTM A416"),L181,0),3)</f>
        <v/>
      </c>
      <c r="S181" s="20">
        <f>ROUND(S180+IF(AND(E181=16,F181&lt;&gt;"ASTM A416"),L181,0),3)</f>
        <v/>
      </c>
      <c r="T181" s="20">
        <f>ROUND(T180+IF(AND(E181=18,F181&lt;&gt;"ASTM A416"),L181,0),3)</f>
        <v/>
      </c>
      <c r="U181" s="20">
        <f>ROUND(U180+IF(AND(E181=20,F181&lt;&gt;"ASTM A416"),L181,0),3)</f>
        <v/>
      </c>
      <c r="V181" s="20">
        <f>ROUND(V180+IF(AND(E181=22,F181&lt;&gt;"ASTM A416"),L181,0),3)</f>
        <v/>
      </c>
      <c r="W181" s="20">
        <f>ROUND(W180+IF(AND(E181=25,F181&lt;&gt;"ASTM A416"),L181,0),3)</f>
        <v/>
      </c>
      <c r="X181" s="20">
        <f>ROUND(X180+IF(AND(E181=28,F181&lt;&gt;"ASTM A416"),L181,0),3)</f>
        <v/>
      </c>
      <c r="Y181" s="20">
        <f>ROUND(Y180+IF(AND(E181=32,F181&lt;&gt;"ASTM A416"),L181,0),3)</f>
        <v/>
      </c>
      <c r="Z181" s="20">
        <f>ROUND(Z180+IF(F181="ASTM A416",L181,0),3)</f>
        <v/>
      </c>
      <c r="AA181" s="11">
        <f>IF(ROUNDUP(P181/20,0)&gt;ROUNDUP(P180/20,0),"Lần " &amp; ROUNDUP(P181/20,0),"")</f>
        <v/>
      </c>
      <c r="AB181" s="11">
        <f>IF(ROUNDUP(Q181/20,0)&gt;ROUNDUP(Q180/20,0),"Lần " &amp; ROUNDUP(Q181/20,0),"")</f>
        <v/>
      </c>
      <c r="AC181" s="11">
        <f>IF(ROUNDUP(R181/20,0)&gt;ROUNDUP(R180/20,0),"Lần " &amp; ROUNDUP(R181/20,0),"")</f>
        <v/>
      </c>
      <c r="AD181" s="11">
        <f>IF(ROUNDUP(S181/20,0)&gt;ROUNDUP(S180/20,0),"Lần " &amp; ROUNDUP(S181/20,0),"")</f>
        <v/>
      </c>
      <c r="AE181" s="11">
        <f>IF(ROUNDUP(T181/20,0)&gt;ROUNDUP(T180/20,0),"Lần " &amp; ROUNDUP(T181/20,0),"")</f>
        <v/>
      </c>
      <c r="AF181" s="11">
        <f>IF(ROUNDUP(U181/20,0)&gt;ROUNDUP(U180/20,0),"Lần " &amp; ROUNDUP(U181/20,0),"")</f>
        <v/>
      </c>
      <c r="AG181" s="11">
        <f>IF(ROUNDUP(V181/20,0)&gt;ROUNDUP(V180/20,0),"Lần " &amp; ROUNDUP(V181/20,0),"")</f>
        <v/>
      </c>
      <c r="AH181" s="11">
        <f>IF(ROUNDUP(W181/20,0)&gt;ROUNDUP(W180/20,0),"Lần " &amp; ROUNDUP(W181/20,0),"")</f>
        <v/>
      </c>
      <c r="AI181" s="11">
        <f>IF(ROUNDUP(X181/20,0)&gt;ROUNDUP(X180/20,0),"Lần " &amp; ROUNDUP(X181/20,0),"")</f>
        <v/>
      </c>
      <c r="AJ181" s="11">
        <f>IF(ROUNDUP(Y181/20,0)&gt;ROUNDUP(Y180/20,0),"Lần " &amp; ROUNDUP(Y181/20,0),"")</f>
        <v/>
      </c>
      <c r="AK181" s="11">
        <f>IF(ROUNDUP(Z181/20,0)&gt;ROUNDUP(Z180/20,0),"Lần " &amp; ROUNDUP(Z181/20,0),"")</f>
        <v/>
      </c>
      <c r="AL181" s="6" t="n"/>
      <c r="AN181" t="inlineStr">
        <is>
          <t>Than</t>
        </is>
      </c>
      <c r="AO181" t="n">
        <v>45</v>
      </c>
    </row>
    <row r="182" ht="19" customHeight="1">
      <c r="A182" s="6" t="n">
        <v>174</v>
      </c>
      <c r="B182" s="7" t="inlineStr">
        <is>
          <t>Trụ T1, T2 (Xà mũ trụ)</t>
        </is>
      </c>
      <c r="C182" s="7" t="inlineStr">
        <is>
          <t>Xà mũ trụ T1 (tr.51)</t>
        </is>
      </c>
      <c r="D182" s="18" t="inlineStr">
        <is>
          <t>X3</t>
        </is>
      </c>
      <c r="E182" s="19" t="n">
        <v>25</v>
      </c>
      <c r="F182" s="6" t="inlineStr">
        <is>
          <t>CB400-V</t>
        </is>
      </c>
      <c r="G182" s="7" t="inlineStr"/>
      <c r="H182" s="20" t="n">
        <v>7.468</v>
      </c>
      <c r="I182" s="21" t="n">
        <v>158</v>
      </c>
      <c r="J182" s="22" t="n">
        <v>3.853</v>
      </c>
      <c r="K182" s="9">
        <f>ROUND(H182*I182*J182, 2)</f>
        <v/>
      </c>
      <c r="L182" s="23">
        <f>ROUND(K182/1000, 3)</f>
        <v/>
      </c>
      <c r="M182" s="8">
        <f>IF(AO182="","",IF(INDEX(Theo_Doi_Tan_Suat_Be_Tong!$C:$C,AO182)="","",INDEX(Theo_Doi_Tan_Suat_Be_Tong!$C:$C,AO182)-VLOOKUP(AN182,$AQ$2:$AR$7,2,FALSE)))</f>
        <v/>
      </c>
      <c r="N182" s="6" t="n"/>
      <c r="O182" s="24">
        <f>IF(ROUNDUP(W182/20,0)&gt;ROUNDUP(W181/20,0),"TN Ø25 (Lần " &amp; ROUNDUP(W182/20,0) &amp; ")","")</f>
        <v/>
      </c>
      <c r="P182" s="20">
        <f>ROUND(P181+IF(AND(E182&lt;=10,F182&lt;&gt;"ASTM A416"),L182,0),3)</f>
        <v/>
      </c>
      <c r="Q182" s="20">
        <f>ROUND(Q181+IF(AND(E182=12,F182&lt;&gt;"ASTM A416"),L182,0),3)</f>
        <v/>
      </c>
      <c r="R182" s="20">
        <f>ROUND(R181+IF(AND(E182=14,F182&lt;&gt;"ASTM A416"),L182,0),3)</f>
        <v/>
      </c>
      <c r="S182" s="20">
        <f>ROUND(S181+IF(AND(E182=16,F182&lt;&gt;"ASTM A416"),L182,0),3)</f>
        <v/>
      </c>
      <c r="T182" s="20">
        <f>ROUND(T181+IF(AND(E182=18,F182&lt;&gt;"ASTM A416"),L182,0),3)</f>
        <v/>
      </c>
      <c r="U182" s="20">
        <f>ROUND(U181+IF(AND(E182=20,F182&lt;&gt;"ASTM A416"),L182,0),3)</f>
        <v/>
      </c>
      <c r="V182" s="20">
        <f>ROUND(V181+IF(AND(E182=22,F182&lt;&gt;"ASTM A416"),L182,0),3)</f>
        <v/>
      </c>
      <c r="W182" s="20">
        <f>ROUND(W181+IF(AND(E182=25,F182&lt;&gt;"ASTM A416"),L182,0),3)</f>
        <v/>
      </c>
      <c r="X182" s="20">
        <f>ROUND(X181+IF(AND(E182=28,F182&lt;&gt;"ASTM A416"),L182,0),3)</f>
        <v/>
      </c>
      <c r="Y182" s="20">
        <f>ROUND(Y181+IF(AND(E182=32,F182&lt;&gt;"ASTM A416"),L182,0),3)</f>
        <v/>
      </c>
      <c r="Z182" s="20">
        <f>ROUND(Z181+IF(F182="ASTM A416",L182,0),3)</f>
        <v/>
      </c>
      <c r="AA182" s="11">
        <f>IF(ROUNDUP(P182/20,0)&gt;ROUNDUP(P181/20,0),"Lần " &amp; ROUNDUP(P182/20,0),"")</f>
        <v/>
      </c>
      <c r="AB182" s="11">
        <f>IF(ROUNDUP(Q182/20,0)&gt;ROUNDUP(Q181/20,0),"Lần " &amp; ROUNDUP(Q182/20,0),"")</f>
        <v/>
      </c>
      <c r="AC182" s="11">
        <f>IF(ROUNDUP(R182/20,0)&gt;ROUNDUP(R181/20,0),"Lần " &amp; ROUNDUP(R182/20,0),"")</f>
        <v/>
      </c>
      <c r="AD182" s="11">
        <f>IF(ROUNDUP(S182/20,0)&gt;ROUNDUP(S181/20,0),"Lần " &amp; ROUNDUP(S182/20,0),"")</f>
        <v/>
      </c>
      <c r="AE182" s="11">
        <f>IF(ROUNDUP(T182/20,0)&gt;ROUNDUP(T181/20,0),"Lần " &amp; ROUNDUP(T182/20,0),"")</f>
        <v/>
      </c>
      <c r="AF182" s="11">
        <f>IF(ROUNDUP(U182/20,0)&gt;ROUNDUP(U181/20,0),"Lần " &amp; ROUNDUP(U182/20,0),"")</f>
        <v/>
      </c>
      <c r="AG182" s="11">
        <f>IF(ROUNDUP(V182/20,0)&gt;ROUNDUP(V181/20,0),"Lần " &amp; ROUNDUP(V182/20,0),"")</f>
        <v/>
      </c>
      <c r="AH182" s="11">
        <f>IF(ROUNDUP(W182/20,0)&gt;ROUNDUP(W181/20,0),"Lần " &amp; ROUNDUP(W182/20,0),"")</f>
        <v/>
      </c>
      <c r="AI182" s="11">
        <f>IF(ROUNDUP(X182/20,0)&gt;ROUNDUP(X181/20,0),"Lần " &amp; ROUNDUP(X182/20,0),"")</f>
        <v/>
      </c>
      <c r="AJ182" s="11">
        <f>IF(ROUNDUP(Y182/20,0)&gt;ROUNDUP(Y181/20,0),"Lần " &amp; ROUNDUP(Y182/20,0),"")</f>
        <v/>
      </c>
      <c r="AK182" s="11">
        <f>IF(ROUNDUP(Z182/20,0)&gt;ROUNDUP(Z181/20,0),"Lần " &amp; ROUNDUP(Z182/20,0),"")</f>
        <v/>
      </c>
      <c r="AL182" s="6" t="n"/>
      <c r="AN182" t="inlineStr">
        <is>
          <t>Than</t>
        </is>
      </c>
      <c r="AO182" t="n">
        <v>45</v>
      </c>
    </row>
    <row r="183" ht="19" customHeight="1">
      <c r="A183" s="6" t="n">
        <v>175</v>
      </c>
      <c r="B183" s="7" t="inlineStr">
        <is>
          <t>Trụ T1, T2 (Xà mũ trụ)</t>
        </is>
      </c>
      <c r="C183" s="7" t="inlineStr">
        <is>
          <t>Xà mũ trụ T1 (tr.51)</t>
        </is>
      </c>
      <c r="D183" s="18" t="inlineStr">
        <is>
          <t>(?)</t>
        </is>
      </c>
      <c r="E183" s="19" t="n">
        <v>16</v>
      </c>
      <c r="F183" s="6" t="inlineStr">
        <is>
          <t>CB400-V</t>
        </is>
      </c>
      <c r="G183" s="7" t="inlineStr"/>
      <c r="H183" s="20" t="n">
        <v>3.6</v>
      </c>
      <c r="I183" s="21" t="n">
        <v>158</v>
      </c>
      <c r="J183" s="22" t="n">
        <v>1.578</v>
      </c>
      <c r="K183" s="9">
        <f>ROUND(H183*I183*J183, 2)</f>
        <v/>
      </c>
      <c r="L183" s="23">
        <f>ROUND(K183/1000, 3)</f>
        <v/>
      </c>
      <c r="M183" s="8">
        <f>IF(AO183="","",IF(INDEX(Theo_Doi_Tan_Suat_Be_Tong!$C:$C,AO183)="","",INDEX(Theo_Doi_Tan_Suat_Be_Tong!$C:$C,AO183)-VLOOKUP(AN183,$AQ$2:$AR$7,2,FALSE)))</f>
        <v/>
      </c>
      <c r="N183" s="6" t="n"/>
      <c r="O183" s="24">
        <f>IF(ROUNDUP(S183/20,0)&gt;ROUNDUP(S182/20,0),"TN Ø16 (Lần " &amp; ROUNDUP(S183/20,0) &amp; ")","")</f>
        <v/>
      </c>
      <c r="P183" s="20">
        <f>ROUND(P182+IF(AND(E183&lt;=10,F183&lt;&gt;"ASTM A416"),L183,0),3)</f>
        <v/>
      </c>
      <c r="Q183" s="20">
        <f>ROUND(Q182+IF(AND(E183=12,F183&lt;&gt;"ASTM A416"),L183,0),3)</f>
        <v/>
      </c>
      <c r="R183" s="20">
        <f>ROUND(R182+IF(AND(E183=14,F183&lt;&gt;"ASTM A416"),L183,0),3)</f>
        <v/>
      </c>
      <c r="S183" s="20">
        <f>ROUND(S182+IF(AND(E183=16,F183&lt;&gt;"ASTM A416"),L183,0),3)</f>
        <v/>
      </c>
      <c r="T183" s="20">
        <f>ROUND(T182+IF(AND(E183=18,F183&lt;&gt;"ASTM A416"),L183,0),3)</f>
        <v/>
      </c>
      <c r="U183" s="20">
        <f>ROUND(U182+IF(AND(E183=20,F183&lt;&gt;"ASTM A416"),L183,0),3)</f>
        <v/>
      </c>
      <c r="V183" s="20">
        <f>ROUND(V182+IF(AND(E183=22,F183&lt;&gt;"ASTM A416"),L183,0),3)</f>
        <v/>
      </c>
      <c r="W183" s="20">
        <f>ROUND(W182+IF(AND(E183=25,F183&lt;&gt;"ASTM A416"),L183,0),3)</f>
        <v/>
      </c>
      <c r="X183" s="20">
        <f>ROUND(X182+IF(AND(E183=28,F183&lt;&gt;"ASTM A416"),L183,0),3)</f>
        <v/>
      </c>
      <c r="Y183" s="20">
        <f>ROUND(Y182+IF(AND(E183=32,F183&lt;&gt;"ASTM A416"),L183,0),3)</f>
        <v/>
      </c>
      <c r="Z183" s="20">
        <f>ROUND(Z182+IF(F183="ASTM A416",L183,0),3)</f>
        <v/>
      </c>
      <c r="AA183" s="11">
        <f>IF(ROUNDUP(P183/20,0)&gt;ROUNDUP(P182/20,0),"Lần " &amp; ROUNDUP(P183/20,0),"")</f>
        <v/>
      </c>
      <c r="AB183" s="11">
        <f>IF(ROUNDUP(Q183/20,0)&gt;ROUNDUP(Q182/20,0),"Lần " &amp; ROUNDUP(Q183/20,0),"")</f>
        <v/>
      </c>
      <c r="AC183" s="11">
        <f>IF(ROUNDUP(R183/20,0)&gt;ROUNDUP(R182/20,0),"Lần " &amp; ROUNDUP(R183/20,0),"")</f>
        <v/>
      </c>
      <c r="AD183" s="11">
        <f>IF(ROUNDUP(S183/20,0)&gt;ROUNDUP(S182/20,0),"Lần " &amp; ROUNDUP(S183/20,0),"")</f>
        <v/>
      </c>
      <c r="AE183" s="11">
        <f>IF(ROUNDUP(T183/20,0)&gt;ROUNDUP(T182/20,0),"Lần " &amp; ROUNDUP(T183/20,0),"")</f>
        <v/>
      </c>
      <c r="AF183" s="11">
        <f>IF(ROUNDUP(U183/20,0)&gt;ROUNDUP(U182/20,0),"Lần " &amp; ROUNDUP(U183/20,0),"")</f>
        <v/>
      </c>
      <c r="AG183" s="11">
        <f>IF(ROUNDUP(V183/20,0)&gt;ROUNDUP(V182/20,0),"Lần " &amp; ROUNDUP(V183/20,0),"")</f>
        <v/>
      </c>
      <c r="AH183" s="11">
        <f>IF(ROUNDUP(W183/20,0)&gt;ROUNDUP(W182/20,0),"Lần " &amp; ROUNDUP(W183/20,0),"")</f>
        <v/>
      </c>
      <c r="AI183" s="11">
        <f>IF(ROUNDUP(X183/20,0)&gt;ROUNDUP(X182/20,0),"Lần " &amp; ROUNDUP(X183/20,0),"")</f>
        <v/>
      </c>
      <c r="AJ183" s="11">
        <f>IF(ROUNDUP(Y183/20,0)&gt;ROUNDUP(Y182/20,0),"Lần " &amp; ROUNDUP(Y183/20,0),"")</f>
        <v/>
      </c>
      <c r="AK183" s="11">
        <f>IF(ROUNDUP(Z183/20,0)&gt;ROUNDUP(Z182/20,0),"Lần " &amp; ROUNDUP(Z183/20,0),"")</f>
        <v/>
      </c>
      <c r="AL183" s="6" t="n"/>
      <c r="AN183" t="inlineStr">
        <is>
          <t>Than</t>
        </is>
      </c>
      <c r="AO183" t="n">
        <v>45</v>
      </c>
    </row>
    <row r="184" ht="19" customHeight="1">
      <c r="A184" s="6" t="n">
        <v>176</v>
      </c>
      <c r="B184" s="7" t="inlineStr">
        <is>
          <t>Trụ T1, T2 (Xà mũ trụ)</t>
        </is>
      </c>
      <c r="C184" s="7" t="inlineStr">
        <is>
          <t>Xà mũ trụ T1 (tr.51)</t>
        </is>
      </c>
      <c r="D184" s="18" t="inlineStr">
        <is>
          <t>X5</t>
        </is>
      </c>
      <c r="E184" s="19" t="n">
        <v>25</v>
      </c>
      <c r="F184" s="6" t="inlineStr">
        <is>
          <t>CB400-V</t>
        </is>
      </c>
      <c r="G184" s="7" t="inlineStr"/>
      <c r="H184" s="20" t="n">
        <v>13.608</v>
      </c>
      <c r="I184" s="21" t="n">
        <v>12</v>
      </c>
      <c r="J184" s="22" t="n">
        <v>3.853</v>
      </c>
      <c r="K184" s="9">
        <f>ROUND(H184*I184*J184, 2)</f>
        <v/>
      </c>
      <c r="L184" s="23">
        <f>ROUND(K184/1000, 3)</f>
        <v/>
      </c>
      <c r="M184" s="8">
        <f>IF(AO184="","",IF(INDEX(Theo_Doi_Tan_Suat_Be_Tong!$C:$C,AO184)="","",INDEX(Theo_Doi_Tan_Suat_Be_Tong!$C:$C,AO184)-VLOOKUP(AN184,$AQ$2:$AR$7,2,FALSE)))</f>
        <v/>
      </c>
      <c r="N184" s="6" t="n"/>
      <c r="O184" s="24">
        <f>IF(ROUNDUP(W184/20,0)&gt;ROUNDUP(W183/20,0),"TN Ø25 (Lần " &amp; ROUNDUP(W184/20,0) &amp; ")","")</f>
        <v/>
      </c>
      <c r="P184" s="20">
        <f>ROUND(P183+IF(AND(E184&lt;=10,F184&lt;&gt;"ASTM A416"),L184,0),3)</f>
        <v/>
      </c>
      <c r="Q184" s="20">
        <f>ROUND(Q183+IF(AND(E184=12,F184&lt;&gt;"ASTM A416"),L184,0),3)</f>
        <v/>
      </c>
      <c r="R184" s="20">
        <f>ROUND(R183+IF(AND(E184=14,F184&lt;&gt;"ASTM A416"),L184,0),3)</f>
        <v/>
      </c>
      <c r="S184" s="20">
        <f>ROUND(S183+IF(AND(E184=16,F184&lt;&gt;"ASTM A416"),L184,0),3)</f>
        <v/>
      </c>
      <c r="T184" s="20">
        <f>ROUND(T183+IF(AND(E184=18,F184&lt;&gt;"ASTM A416"),L184,0),3)</f>
        <v/>
      </c>
      <c r="U184" s="20">
        <f>ROUND(U183+IF(AND(E184=20,F184&lt;&gt;"ASTM A416"),L184,0),3)</f>
        <v/>
      </c>
      <c r="V184" s="20">
        <f>ROUND(V183+IF(AND(E184=22,F184&lt;&gt;"ASTM A416"),L184,0),3)</f>
        <v/>
      </c>
      <c r="W184" s="20">
        <f>ROUND(W183+IF(AND(E184=25,F184&lt;&gt;"ASTM A416"),L184,0),3)</f>
        <v/>
      </c>
      <c r="X184" s="20">
        <f>ROUND(X183+IF(AND(E184=28,F184&lt;&gt;"ASTM A416"),L184,0),3)</f>
        <v/>
      </c>
      <c r="Y184" s="20">
        <f>ROUND(Y183+IF(AND(E184=32,F184&lt;&gt;"ASTM A416"),L184,0),3)</f>
        <v/>
      </c>
      <c r="Z184" s="20">
        <f>ROUND(Z183+IF(F184="ASTM A416",L184,0),3)</f>
        <v/>
      </c>
      <c r="AA184" s="11">
        <f>IF(ROUNDUP(P184/20,0)&gt;ROUNDUP(P183/20,0),"Lần " &amp; ROUNDUP(P184/20,0),"")</f>
        <v/>
      </c>
      <c r="AB184" s="11">
        <f>IF(ROUNDUP(Q184/20,0)&gt;ROUNDUP(Q183/20,0),"Lần " &amp; ROUNDUP(Q184/20,0),"")</f>
        <v/>
      </c>
      <c r="AC184" s="11">
        <f>IF(ROUNDUP(R184/20,0)&gt;ROUNDUP(R183/20,0),"Lần " &amp; ROUNDUP(R184/20,0),"")</f>
        <v/>
      </c>
      <c r="AD184" s="11">
        <f>IF(ROUNDUP(S184/20,0)&gt;ROUNDUP(S183/20,0),"Lần " &amp; ROUNDUP(S184/20,0),"")</f>
        <v/>
      </c>
      <c r="AE184" s="11">
        <f>IF(ROUNDUP(T184/20,0)&gt;ROUNDUP(T183/20,0),"Lần " &amp; ROUNDUP(T184/20,0),"")</f>
        <v/>
      </c>
      <c r="AF184" s="11">
        <f>IF(ROUNDUP(U184/20,0)&gt;ROUNDUP(U183/20,0),"Lần " &amp; ROUNDUP(U184/20,0),"")</f>
        <v/>
      </c>
      <c r="AG184" s="11">
        <f>IF(ROUNDUP(V184/20,0)&gt;ROUNDUP(V183/20,0),"Lần " &amp; ROUNDUP(V184/20,0),"")</f>
        <v/>
      </c>
      <c r="AH184" s="11">
        <f>IF(ROUNDUP(W184/20,0)&gt;ROUNDUP(W183/20,0),"Lần " &amp; ROUNDUP(W184/20,0),"")</f>
        <v/>
      </c>
      <c r="AI184" s="11">
        <f>IF(ROUNDUP(X184/20,0)&gt;ROUNDUP(X183/20,0),"Lần " &amp; ROUNDUP(X184/20,0),"")</f>
        <v/>
      </c>
      <c r="AJ184" s="11">
        <f>IF(ROUNDUP(Y184/20,0)&gt;ROUNDUP(Y183/20,0),"Lần " &amp; ROUNDUP(Y184/20,0),"")</f>
        <v/>
      </c>
      <c r="AK184" s="11">
        <f>IF(ROUNDUP(Z184/20,0)&gt;ROUNDUP(Z183/20,0),"Lần " &amp; ROUNDUP(Z184/20,0),"")</f>
        <v/>
      </c>
      <c r="AL184" s="6" t="n"/>
      <c r="AN184" t="inlineStr">
        <is>
          <t>Than</t>
        </is>
      </c>
      <c r="AO184" t="n">
        <v>45</v>
      </c>
    </row>
    <row r="185" ht="19" customHeight="1">
      <c r="A185" s="6" t="n">
        <v>177</v>
      </c>
      <c r="B185" s="7" t="inlineStr">
        <is>
          <t>Trụ T1, T2 (Xà mũ trụ)</t>
        </is>
      </c>
      <c r="C185" s="7" t="inlineStr">
        <is>
          <t>Xà mũ trụ T1 (tr.51)</t>
        </is>
      </c>
      <c r="D185" s="18" t="inlineStr">
        <is>
          <t>X5A</t>
        </is>
      </c>
      <c r="E185" s="19" t="n">
        <v>16</v>
      </c>
      <c r="F185" s="6" t="inlineStr">
        <is>
          <t>CB400-V</t>
        </is>
      </c>
      <c r="G185" s="7" t="inlineStr"/>
      <c r="H185" s="20" t="n">
        <v>13.005</v>
      </c>
      <c r="I185" s="21" t="n">
        <v>10</v>
      </c>
      <c r="J185" s="22" t="n">
        <v>1.578</v>
      </c>
      <c r="K185" s="9">
        <f>ROUND(H185*I185*J185, 2)</f>
        <v/>
      </c>
      <c r="L185" s="23">
        <f>ROUND(K185/1000, 3)</f>
        <v/>
      </c>
      <c r="M185" s="8">
        <f>IF(AO185="","",IF(INDEX(Theo_Doi_Tan_Suat_Be_Tong!$C:$C,AO185)="","",INDEX(Theo_Doi_Tan_Suat_Be_Tong!$C:$C,AO185)-VLOOKUP(AN185,$AQ$2:$AR$7,2,FALSE)))</f>
        <v/>
      </c>
      <c r="N185" s="6" t="n"/>
      <c r="O185" s="24">
        <f>IF(ROUNDUP(S185/20,0)&gt;ROUNDUP(S184/20,0),"TN Ø16 (Lần " &amp; ROUNDUP(S185/20,0) &amp; ")","")</f>
        <v/>
      </c>
      <c r="P185" s="20">
        <f>ROUND(P184+IF(AND(E185&lt;=10,F185&lt;&gt;"ASTM A416"),L185,0),3)</f>
        <v/>
      </c>
      <c r="Q185" s="20">
        <f>ROUND(Q184+IF(AND(E185=12,F185&lt;&gt;"ASTM A416"),L185,0),3)</f>
        <v/>
      </c>
      <c r="R185" s="20">
        <f>ROUND(R184+IF(AND(E185=14,F185&lt;&gt;"ASTM A416"),L185,0),3)</f>
        <v/>
      </c>
      <c r="S185" s="20">
        <f>ROUND(S184+IF(AND(E185=16,F185&lt;&gt;"ASTM A416"),L185,0),3)</f>
        <v/>
      </c>
      <c r="T185" s="20">
        <f>ROUND(T184+IF(AND(E185=18,F185&lt;&gt;"ASTM A416"),L185,0),3)</f>
        <v/>
      </c>
      <c r="U185" s="20">
        <f>ROUND(U184+IF(AND(E185=20,F185&lt;&gt;"ASTM A416"),L185,0),3)</f>
        <v/>
      </c>
      <c r="V185" s="20">
        <f>ROUND(V184+IF(AND(E185=22,F185&lt;&gt;"ASTM A416"),L185,0),3)</f>
        <v/>
      </c>
      <c r="W185" s="20">
        <f>ROUND(W184+IF(AND(E185=25,F185&lt;&gt;"ASTM A416"),L185,0),3)</f>
        <v/>
      </c>
      <c r="X185" s="20">
        <f>ROUND(X184+IF(AND(E185=28,F185&lt;&gt;"ASTM A416"),L185,0),3)</f>
        <v/>
      </c>
      <c r="Y185" s="20">
        <f>ROUND(Y184+IF(AND(E185=32,F185&lt;&gt;"ASTM A416"),L185,0),3)</f>
        <v/>
      </c>
      <c r="Z185" s="20">
        <f>ROUND(Z184+IF(F185="ASTM A416",L185,0),3)</f>
        <v/>
      </c>
      <c r="AA185" s="11">
        <f>IF(ROUNDUP(P185/20,0)&gt;ROUNDUP(P184/20,0),"Lần " &amp; ROUNDUP(P185/20,0),"")</f>
        <v/>
      </c>
      <c r="AB185" s="11">
        <f>IF(ROUNDUP(Q185/20,0)&gt;ROUNDUP(Q184/20,0),"Lần " &amp; ROUNDUP(Q185/20,0),"")</f>
        <v/>
      </c>
      <c r="AC185" s="11">
        <f>IF(ROUNDUP(R185/20,0)&gt;ROUNDUP(R184/20,0),"Lần " &amp; ROUNDUP(R185/20,0),"")</f>
        <v/>
      </c>
      <c r="AD185" s="11">
        <f>IF(ROUNDUP(S185/20,0)&gt;ROUNDUP(S184/20,0),"Lần " &amp; ROUNDUP(S185/20,0),"")</f>
        <v/>
      </c>
      <c r="AE185" s="11">
        <f>IF(ROUNDUP(T185/20,0)&gt;ROUNDUP(T184/20,0),"Lần " &amp; ROUNDUP(T185/20,0),"")</f>
        <v/>
      </c>
      <c r="AF185" s="11">
        <f>IF(ROUNDUP(U185/20,0)&gt;ROUNDUP(U184/20,0),"Lần " &amp; ROUNDUP(U185/20,0),"")</f>
        <v/>
      </c>
      <c r="AG185" s="11">
        <f>IF(ROUNDUP(V185/20,0)&gt;ROUNDUP(V184/20,0),"Lần " &amp; ROUNDUP(V185/20,0),"")</f>
        <v/>
      </c>
      <c r="AH185" s="11">
        <f>IF(ROUNDUP(W185/20,0)&gt;ROUNDUP(W184/20,0),"Lần " &amp; ROUNDUP(W185/20,0),"")</f>
        <v/>
      </c>
      <c r="AI185" s="11">
        <f>IF(ROUNDUP(X185/20,0)&gt;ROUNDUP(X184/20,0),"Lần " &amp; ROUNDUP(X185/20,0),"")</f>
        <v/>
      </c>
      <c r="AJ185" s="11">
        <f>IF(ROUNDUP(Y185/20,0)&gt;ROUNDUP(Y184/20,0),"Lần " &amp; ROUNDUP(Y185/20,0),"")</f>
        <v/>
      </c>
      <c r="AK185" s="11">
        <f>IF(ROUNDUP(Z185/20,0)&gt;ROUNDUP(Z184/20,0),"Lần " &amp; ROUNDUP(Z185/20,0),"")</f>
        <v/>
      </c>
      <c r="AL185" s="6" t="n"/>
      <c r="AN185" t="inlineStr">
        <is>
          <t>Than</t>
        </is>
      </c>
      <c r="AO185" t="n">
        <v>45</v>
      </c>
    </row>
    <row r="186" ht="19" customHeight="1">
      <c r="A186" s="6" t="n">
        <v>178</v>
      </c>
      <c r="B186" s="7" t="inlineStr">
        <is>
          <t>Trụ T1, T2 (Xà mũ trụ)</t>
        </is>
      </c>
      <c r="C186" s="7" t="inlineStr">
        <is>
          <t>Xà mũ trụ T1 (tr.51)</t>
        </is>
      </c>
      <c r="D186" s="18" t="inlineStr">
        <is>
          <t>X6</t>
        </is>
      </c>
      <c r="E186" s="19" t="n">
        <v>25</v>
      </c>
      <c r="F186" s="6" t="inlineStr">
        <is>
          <t>CB400-V</t>
        </is>
      </c>
      <c r="G186" s="7" t="inlineStr"/>
      <c r="H186" s="20" t="n">
        <v>3.825</v>
      </c>
      <c r="I186" s="21" t="n">
        <v>79</v>
      </c>
      <c r="J186" s="22" t="n">
        <v>3.853</v>
      </c>
      <c r="K186" s="9">
        <f>ROUND(H186*I186*J186, 2)</f>
        <v/>
      </c>
      <c r="L186" s="23">
        <f>ROUND(K186/1000, 3)</f>
        <v/>
      </c>
      <c r="M186" s="8">
        <f>IF(AO186="","",IF(INDEX(Theo_Doi_Tan_Suat_Be_Tong!$C:$C,AO186)="","",INDEX(Theo_Doi_Tan_Suat_Be_Tong!$C:$C,AO186)-VLOOKUP(AN186,$AQ$2:$AR$7,2,FALSE)))</f>
        <v/>
      </c>
      <c r="N186" s="6" t="n"/>
      <c r="O186" s="24">
        <f>IF(ROUNDUP(W186/20,0)&gt;ROUNDUP(W185/20,0),"TN Ø25 (Lần " &amp; ROUNDUP(W186/20,0) &amp; ")","")</f>
        <v/>
      </c>
      <c r="P186" s="20">
        <f>ROUND(P185+IF(AND(E186&lt;=10,F186&lt;&gt;"ASTM A416"),L186,0),3)</f>
        <v/>
      </c>
      <c r="Q186" s="20">
        <f>ROUND(Q185+IF(AND(E186=12,F186&lt;&gt;"ASTM A416"),L186,0),3)</f>
        <v/>
      </c>
      <c r="R186" s="20">
        <f>ROUND(R185+IF(AND(E186=14,F186&lt;&gt;"ASTM A416"),L186,0),3)</f>
        <v/>
      </c>
      <c r="S186" s="20">
        <f>ROUND(S185+IF(AND(E186=16,F186&lt;&gt;"ASTM A416"),L186,0),3)</f>
        <v/>
      </c>
      <c r="T186" s="20">
        <f>ROUND(T185+IF(AND(E186=18,F186&lt;&gt;"ASTM A416"),L186,0),3)</f>
        <v/>
      </c>
      <c r="U186" s="20">
        <f>ROUND(U185+IF(AND(E186=20,F186&lt;&gt;"ASTM A416"),L186,0),3)</f>
        <v/>
      </c>
      <c r="V186" s="20">
        <f>ROUND(V185+IF(AND(E186=22,F186&lt;&gt;"ASTM A416"),L186,0),3)</f>
        <v/>
      </c>
      <c r="W186" s="20">
        <f>ROUND(W185+IF(AND(E186=25,F186&lt;&gt;"ASTM A416"),L186,0),3)</f>
        <v/>
      </c>
      <c r="X186" s="20">
        <f>ROUND(X185+IF(AND(E186=28,F186&lt;&gt;"ASTM A416"),L186,0),3)</f>
        <v/>
      </c>
      <c r="Y186" s="20">
        <f>ROUND(Y185+IF(AND(E186=32,F186&lt;&gt;"ASTM A416"),L186,0),3)</f>
        <v/>
      </c>
      <c r="Z186" s="20">
        <f>ROUND(Z185+IF(F186="ASTM A416",L186,0),3)</f>
        <v/>
      </c>
      <c r="AA186" s="11">
        <f>IF(ROUNDUP(P186/20,0)&gt;ROUNDUP(P185/20,0),"Lần " &amp; ROUNDUP(P186/20,0),"")</f>
        <v/>
      </c>
      <c r="AB186" s="11">
        <f>IF(ROUNDUP(Q186/20,0)&gt;ROUNDUP(Q185/20,0),"Lần " &amp; ROUNDUP(Q186/20,0),"")</f>
        <v/>
      </c>
      <c r="AC186" s="11">
        <f>IF(ROUNDUP(R186/20,0)&gt;ROUNDUP(R185/20,0),"Lần " &amp; ROUNDUP(R186/20,0),"")</f>
        <v/>
      </c>
      <c r="AD186" s="11">
        <f>IF(ROUNDUP(S186/20,0)&gt;ROUNDUP(S185/20,0),"Lần " &amp; ROUNDUP(S186/20,0),"")</f>
        <v/>
      </c>
      <c r="AE186" s="11">
        <f>IF(ROUNDUP(T186/20,0)&gt;ROUNDUP(T185/20,0),"Lần " &amp; ROUNDUP(T186/20,0),"")</f>
        <v/>
      </c>
      <c r="AF186" s="11">
        <f>IF(ROUNDUP(U186/20,0)&gt;ROUNDUP(U185/20,0),"Lần " &amp; ROUNDUP(U186/20,0),"")</f>
        <v/>
      </c>
      <c r="AG186" s="11">
        <f>IF(ROUNDUP(V186/20,0)&gt;ROUNDUP(V185/20,0),"Lần " &amp; ROUNDUP(V186/20,0),"")</f>
        <v/>
      </c>
      <c r="AH186" s="11">
        <f>IF(ROUNDUP(W186/20,0)&gt;ROUNDUP(W185/20,0),"Lần " &amp; ROUNDUP(W186/20,0),"")</f>
        <v/>
      </c>
      <c r="AI186" s="11">
        <f>IF(ROUNDUP(X186/20,0)&gt;ROUNDUP(X185/20,0),"Lần " &amp; ROUNDUP(X186/20,0),"")</f>
        <v/>
      </c>
      <c r="AJ186" s="11">
        <f>IF(ROUNDUP(Y186/20,0)&gt;ROUNDUP(Y185/20,0),"Lần " &amp; ROUNDUP(Y186/20,0),"")</f>
        <v/>
      </c>
      <c r="AK186" s="11">
        <f>IF(ROUNDUP(Z186/20,0)&gt;ROUNDUP(Z185/20,0),"Lần " &amp; ROUNDUP(Z186/20,0),"")</f>
        <v/>
      </c>
      <c r="AL186" s="6" t="n"/>
      <c r="AN186" t="inlineStr">
        <is>
          <t>Than</t>
        </is>
      </c>
      <c r="AO186" t="n">
        <v>45</v>
      </c>
    </row>
    <row r="187" ht="19" customHeight="1">
      <c r="A187" s="6" t="n">
        <v>179</v>
      </c>
      <c r="B187" s="7" t="inlineStr">
        <is>
          <t>Trụ T1, T2 (Xà mũ trụ)</t>
        </is>
      </c>
      <c r="C187" s="7" t="inlineStr">
        <is>
          <t>Xà mũ trụ T1 (tr.51)</t>
        </is>
      </c>
      <c r="D187" s="18" t="inlineStr">
        <is>
          <t>X6A</t>
        </is>
      </c>
      <c r="E187" s="19" t="n">
        <v>16</v>
      </c>
      <c r="F187" s="6" t="inlineStr">
        <is>
          <t>CB400-V</t>
        </is>
      </c>
      <c r="G187" s="7" t="inlineStr"/>
      <c r="H187" s="20" t="n">
        <v>3.582</v>
      </c>
      <c r="I187" s="21" t="n">
        <v>158</v>
      </c>
      <c r="J187" s="22" t="n">
        <v>1.578</v>
      </c>
      <c r="K187" s="9">
        <f>ROUND(H187*I187*J187, 2)</f>
        <v/>
      </c>
      <c r="L187" s="23">
        <f>ROUND(K187/1000, 3)</f>
        <v/>
      </c>
      <c r="M187" s="8">
        <f>IF(AO187="","",IF(INDEX(Theo_Doi_Tan_Suat_Be_Tong!$C:$C,AO187)="","",INDEX(Theo_Doi_Tan_Suat_Be_Tong!$C:$C,AO187)-VLOOKUP(AN187,$AQ$2:$AR$7,2,FALSE)))</f>
        <v/>
      </c>
      <c r="N187" s="6" t="n"/>
      <c r="O187" s="24">
        <f>IF(ROUNDUP(S187/20,0)&gt;ROUNDUP(S186/20,0),"TN Ø16 (Lần " &amp; ROUNDUP(S187/20,0) &amp; ")","")</f>
        <v/>
      </c>
      <c r="P187" s="20">
        <f>ROUND(P186+IF(AND(E187&lt;=10,F187&lt;&gt;"ASTM A416"),L187,0),3)</f>
        <v/>
      </c>
      <c r="Q187" s="20">
        <f>ROUND(Q186+IF(AND(E187=12,F187&lt;&gt;"ASTM A416"),L187,0),3)</f>
        <v/>
      </c>
      <c r="R187" s="20">
        <f>ROUND(R186+IF(AND(E187=14,F187&lt;&gt;"ASTM A416"),L187,0),3)</f>
        <v/>
      </c>
      <c r="S187" s="20">
        <f>ROUND(S186+IF(AND(E187=16,F187&lt;&gt;"ASTM A416"),L187,0),3)</f>
        <v/>
      </c>
      <c r="T187" s="20">
        <f>ROUND(T186+IF(AND(E187=18,F187&lt;&gt;"ASTM A416"),L187,0),3)</f>
        <v/>
      </c>
      <c r="U187" s="20">
        <f>ROUND(U186+IF(AND(E187=20,F187&lt;&gt;"ASTM A416"),L187,0),3)</f>
        <v/>
      </c>
      <c r="V187" s="20">
        <f>ROUND(V186+IF(AND(E187=22,F187&lt;&gt;"ASTM A416"),L187,0),3)</f>
        <v/>
      </c>
      <c r="W187" s="20">
        <f>ROUND(W186+IF(AND(E187=25,F187&lt;&gt;"ASTM A416"),L187,0),3)</f>
        <v/>
      </c>
      <c r="X187" s="20">
        <f>ROUND(X186+IF(AND(E187=28,F187&lt;&gt;"ASTM A416"),L187,0),3)</f>
        <v/>
      </c>
      <c r="Y187" s="20">
        <f>ROUND(Y186+IF(AND(E187=32,F187&lt;&gt;"ASTM A416"),L187,0),3)</f>
        <v/>
      </c>
      <c r="Z187" s="20">
        <f>ROUND(Z186+IF(F187="ASTM A416",L187,0),3)</f>
        <v/>
      </c>
      <c r="AA187" s="11">
        <f>IF(ROUNDUP(P187/20,0)&gt;ROUNDUP(P186/20,0),"Lần " &amp; ROUNDUP(P187/20,0),"")</f>
        <v/>
      </c>
      <c r="AB187" s="11">
        <f>IF(ROUNDUP(Q187/20,0)&gt;ROUNDUP(Q186/20,0),"Lần " &amp; ROUNDUP(Q187/20,0),"")</f>
        <v/>
      </c>
      <c r="AC187" s="11">
        <f>IF(ROUNDUP(R187/20,0)&gt;ROUNDUP(R186/20,0),"Lần " &amp; ROUNDUP(R187/20,0),"")</f>
        <v/>
      </c>
      <c r="AD187" s="11">
        <f>IF(ROUNDUP(S187/20,0)&gt;ROUNDUP(S186/20,0),"Lần " &amp; ROUNDUP(S187/20,0),"")</f>
        <v/>
      </c>
      <c r="AE187" s="11">
        <f>IF(ROUNDUP(T187/20,0)&gt;ROUNDUP(T186/20,0),"Lần " &amp; ROUNDUP(T187/20,0),"")</f>
        <v/>
      </c>
      <c r="AF187" s="11">
        <f>IF(ROUNDUP(U187/20,0)&gt;ROUNDUP(U186/20,0),"Lần " &amp; ROUNDUP(U187/20,0),"")</f>
        <v/>
      </c>
      <c r="AG187" s="11">
        <f>IF(ROUNDUP(V187/20,0)&gt;ROUNDUP(V186/20,0),"Lần " &amp; ROUNDUP(V187/20,0),"")</f>
        <v/>
      </c>
      <c r="AH187" s="11">
        <f>IF(ROUNDUP(W187/20,0)&gt;ROUNDUP(W186/20,0),"Lần " &amp; ROUNDUP(W187/20,0),"")</f>
        <v/>
      </c>
      <c r="AI187" s="11">
        <f>IF(ROUNDUP(X187/20,0)&gt;ROUNDUP(X186/20,0),"Lần " &amp; ROUNDUP(X187/20,0),"")</f>
        <v/>
      </c>
      <c r="AJ187" s="11">
        <f>IF(ROUNDUP(Y187/20,0)&gt;ROUNDUP(Y186/20,0),"Lần " &amp; ROUNDUP(Y187/20,0),"")</f>
        <v/>
      </c>
      <c r="AK187" s="11">
        <f>IF(ROUNDUP(Z187/20,0)&gt;ROUNDUP(Z186/20,0),"Lần " &amp; ROUNDUP(Z187/20,0),"")</f>
        <v/>
      </c>
      <c r="AL187" s="6" t="n"/>
      <c r="AN187" t="inlineStr">
        <is>
          <t>Than</t>
        </is>
      </c>
      <c r="AO187" t="n">
        <v>45</v>
      </c>
    </row>
    <row r="188" ht="19" customHeight="1">
      <c r="A188" s="6" t="n">
        <v>180</v>
      </c>
      <c r="B188" s="7" t="inlineStr">
        <is>
          <t>Trụ T1, T2 (Xà mũ trụ)</t>
        </is>
      </c>
      <c r="C188" s="7" t="inlineStr">
        <is>
          <t>Xà mũ trụ T1 (tr.51)</t>
        </is>
      </c>
      <c r="D188" s="18" t="inlineStr">
        <is>
          <t>X</t>
        </is>
      </c>
      <c r="E188" s="19" t="n">
        <v>16</v>
      </c>
      <c r="F188" s="6" t="inlineStr">
        <is>
          <t>CB400-V</t>
        </is>
      </c>
      <c r="G188" s="7" t="inlineStr"/>
      <c r="H188" s="20" t="n">
        <v>17.474</v>
      </c>
      <c r="I188" s="21" t="n">
        <v>10</v>
      </c>
      <c r="J188" s="22" t="n">
        <v>1.578</v>
      </c>
      <c r="K188" s="9">
        <f>ROUND(H188*I188*J188, 2)</f>
        <v/>
      </c>
      <c r="L188" s="23">
        <f>ROUND(K188/1000, 3)</f>
        <v/>
      </c>
      <c r="M188" s="8">
        <f>IF(AO188="","",IF(INDEX(Theo_Doi_Tan_Suat_Be_Tong!$C:$C,AO188)="","",INDEX(Theo_Doi_Tan_Suat_Be_Tong!$C:$C,AO188)-VLOOKUP(AN188,$AQ$2:$AR$7,2,FALSE)))</f>
        <v/>
      </c>
      <c r="N188" s="6" t="n"/>
      <c r="O188" s="24">
        <f>IF(ROUNDUP(S188/20,0)&gt;ROUNDUP(S187/20,0),"TN Ø16 (Lần " &amp; ROUNDUP(S188/20,0) &amp; ")","")</f>
        <v/>
      </c>
      <c r="P188" s="20">
        <f>ROUND(P187+IF(AND(E188&lt;=10,F188&lt;&gt;"ASTM A416"),L188,0),3)</f>
        <v/>
      </c>
      <c r="Q188" s="20">
        <f>ROUND(Q187+IF(AND(E188=12,F188&lt;&gt;"ASTM A416"),L188,0),3)</f>
        <v/>
      </c>
      <c r="R188" s="20">
        <f>ROUND(R187+IF(AND(E188=14,F188&lt;&gt;"ASTM A416"),L188,0),3)</f>
        <v/>
      </c>
      <c r="S188" s="20">
        <f>ROUND(S187+IF(AND(E188=16,F188&lt;&gt;"ASTM A416"),L188,0),3)</f>
        <v/>
      </c>
      <c r="T188" s="20">
        <f>ROUND(T187+IF(AND(E188=18,F188&lt;&gt;"ASTM A416"),L188,0),3)</f>
        <v/>
      </c>
      <c r="U188" s="20">
        <f>ROUND(U187+IF(AND(E188=20,F188&lt;&gt;"ASTM A416"),L188,0),3)</f>
        <v/>
      </c>
      <c r="V188" s="20">
        <f>ROUND(V187+IF(AND(E188=22,F188&lt;&gt;"ASTM A416"),L188,0),3)</f>
        <v/>
      </c>
      <c r="W188" s="20">
        <f>ROUND(W187+IF(AND(E188=25,F188&lt;&gt;"ASTM A416"),L188,0),3)</f>
        <v/>
      </c>
      <c r="X188" s="20">
        <f>ROUND(X187+IF(AND(E188=28,F188&lt;&gt;"ASTM A416"),L188,0),3)</f>
        <v/>
      </c>
      <c r="Y188" s="20">
        <f>ROUND(Y187+IF(AND(E188=32,F188&lt;&gt;"ASTM A416"),L188,0),3)</f>
        <v/>
      </c>
      <c r="Z188" s="20">
        <f>ROUND(Z187+IF(F188="ASTM A416",L188,0),3)</f>
        <v/>
      </c>
      <c r="AA188" s="11">
        <f>IF(ROUNDUP(P188/20,0)&gt;ROUNDUP(P187/20,0),"Lần " &amp; ROUNDUP(P188/20,0),"")</f>
        <v/>
      </c>
      <c r="AB188" s="11">
        <f>IF(ROUNDUP(Q188/20,0)&gt;ROUNDUP(Q187/20,0),"Lần " &amp; ROUNDUP(Q188/20,0),"")</f>
        <v/>
      </c>
      <c r="AC188" s="11">
        <f>IF(ROUNDUP(R188/20,0)&gt;ROUNDUP(R187/20,0),"Lần " &amp; ROUNDUP(R188/20,0),"")</f>
        <v/>
      </c>
      <c r="AD188" s="11">
        <f>IF(ROUNDUP(S188/20,0)&gt;ROUNDUP(S187/20,0),"Lần " &amp; ROUNDUP(S188/20,0),"")</f>
        <v/>
      </c>
      <c r="AE188" s="11">
        <f>IF(ROUNDUP(T188/20,0)&gt;ROUNDUP(T187/20,0),"Lần " &amp; ROUNDUP(T188/20,0),"")</f>
        <v/>
      </c>
      <c r="AF188" s="11">
        <f>IF(ROUNDUP(U188/20,0)&gt;ROUNDUP(U187/20,0),"Lần " &amp; ROUNDUP(U188/20,0),"")</f>
        <v/>
      </c>
      <c r="AG188" s="11">
        <f>IF(ROUNDUP(V188/20,0)&gt;ROUNDUP(V187/20,0),"Lần " &amp; ROUNDUP(V188/20,0),"")</f>
        <v/>
      </c>
      <c r="AH188" s="11">
        <f>IF(ROUNDUP(W188/20,0)&gt;ROUNDUP(W187/20,0),"Lần " &amp; ROUNDUP(W188/20,0),"")</f>
        <v/>
      </c>
      <c r="AI188" s="11">
        <f>IF(ROUNDUP(X188/20,0)&gt;ROUNDUP(X187/20,0),"Lần " &amp; ROUNDUP(X188/20,0),"")</f>
        <v/>
      </c>
      <c r="AJ188" s="11">
        <f>IF(ROUNDUP(Y188/20,0)&gt;ROUNDUP(Y187/20,0),"Lần " &amp; ROUNDUP(Y188/20,0),"")</f>
        <v/>
      </c>
      <c r="AK188" s="11">
        <f>IF(ROUNDUP(Z188/20,0)&gt;ROUNDUP(Z187/20,0),"Lần " &amp; ROUNDUP(Z188/20,0),"")</f>
        <v/>
      </c>
      <c r="AL188" s="6" t="n"/>
      <c r="AN188" t="inlineStr">
        <is>
          <t>Than</t>
        </is>
      </c>
      <c r="AO188" t="n">
        <v>45</v>
      </c>
    </row>
    <row r="189" ht="19" customHeight="1">
      <c r="A189" s="6" t="n">
        <v>181</v>
      </c>
      <c r="B189" s="7" t="inlineStr">
        <is>
          <t>Trụ T1, T2 (Xà mũ trụ)</t>
        </is>
      </c>
      <c r="C189" s="7" t="inlineStr">
        <is>
          <t>Xà mũ trụ T1 (tr.51)</t>
        </is>
      </c>
      <c r="D189" s="18" t="inlineStr">
        <is>
          <t>VLX</t>
        </is>
      </c>
      <c r="E189" s="19" t="n">
        <v>16</v>
      </c>
      <c r="F189" s="6" t="inlineStr">
        <is>
          <t>CB400-V</t>
        </is>
      </c>
      <c r="G189" s="7" t="inlineStr"/>
      <c r="H189" s="20" t="n">
        <v>16.854</v>
      </c>
      <c r="I189" s="21" t="n">
        <v>12</v>
      </c>
      <c r="J189" s="22" t="n">
        <v>1.578</v>
      </c>
      <c r="K189" s="9">
        <f>ROUND(H189*I189*J189, 2)</f>
        <v/>
      </c>
      <c r="L189" s="23">
        <f>ROUND(K189/1000, 3)</f>
        <v/>
      </c>
      <c r="M189" s="8">
        <f>IF(AO189="","",IF(INDEX(Theo_Doi_Tan_Suat_Be_Tong!$C:$C,AO189)="","",INDEX(Theo_Doi_Tan_Suat_Be_Tong!$C:$C,AO189)-VLOOKUP(AN189,$AQ$2:$AR$7,2,FALSE)))</f>
        <v/>
      </c>
      <c r="N189" s="6" t="n"/>
      <c r="O189" s="24">
        <f>IF(ROUNDUP(S189/20,0)&gt;ROUNDUP(S188/20,0),"TN Ø16 (Lần " &amp; ROUNDUP(S189/20,0) &amp; ")","")</f>
        <v/>
      </c>
      <c r="P189" s="20">
        <f>ROUND(P188+IF(AND(E189&lt;=10,F189&lt;&gt;"ASTM A416"),L189,0),3)</f>
        <v/>
      </c>
      <c r="Q189" s="20">
        <f>ROUND(Q188+IF(AND(E189=12,F189&lt;&gt;"ASTM A416"),L189,0),3)</f>
        <v/>
      </c>
      <c r="R189" s="20">
        <f>ROUND(R188+IF(AND(E189=14,F189&lt;&gt;"ASTM A416"),L189,0),3)</f>
        <v/>
      </c>
      <c r="S189" s="20">
        <f>ROUND(S188+IF(AND(E189=16,F189&lt;&gt;"ASTM A416"),L189,0),3)</f>
        <v/>
      </c>
      <c r="T189" s="20">
        <f>ROUND(T188+IF(AND(E189=18,F189&lt;&gt;"ASTM A416"),L189,0),3)</f>
        <v/>
      </c>
      <c r="U189" s="20">
        <f>ROUND(U188+IF(AND(E189=20,F189&lt;&gt;"ASTM A416"),L189,0),3)</f>
        <v/>
      </c>
      <c r="V189" s="20">
        <f>ROUND(V188+IF(AND(E189=22,F189&lt;&gt;"ASTM A416"),L189,0),3)</f>
        <v/>
      </c>
      <c r="W189" s="20">
        <f>ROUND(W188+IF(AND(E189=25,F189&lt;&gt;"ASTM A416"),L189,0),3)</f>
        <v/>
      </c>
      <c r="X189" s="20">
        <f>ROUND(X188+IF(AND(E189=28,F189&lt;&gt;"ASTM A416"),L189,0),3)</f>
        <v/>
      </c>
      <c r="Y189" s="20">
        <f>ROUND(Y188+IF(AND(E189=32,F189&lt;&gt;"ASTM A416"),L189,0),3)</f>
        <v/>
      </c>
      <c r="Z189" s="20">
        <f>ROUND(Z188+IF(F189="ASTM A416",L189,0),3)</f>
        <v/>
      </c>
      <c r="AA189" s="11">
        <f>IF(ROUNDUP(P189/20,0)&gt;ROUNDUP(P188/20,0),"Lần " &amp; ROUNDUP(P189/20,0),"")</f>
        <v/>
      </c>
      <c r="AB189" s="11">
        <f>IF(ROUNDUP(Q189/20,0)&gt;ROUNDUP(Q188/20,0),"Lần " &amp; ROUNDUP(Q189/20,0),"")</f>
        <v/>
      </c>
      <c r="AC189" s="11">
        <f>IF(ROUNDUP(R189/20,0)&gt;ROUNDUP(R188/20,0),"Lần " &amp; ROUNDUP(R189/20,0),"")</f>
        <v/>
      </c>
      <c r="AD189" s="11">
        <f>IF(ROUNDUP(S189/20,0)&gt;ROUNDUP(S188/20,0),"Lần " &amp; ROUNDUP(S189/20,0),"")</f>
        <v/>
      </c>
      <c r="AE189" s="11">
        <f>IF(ROUNDUP(T189/20,0)&gt;ROUNDUP(T188/20,0),"Lần " &amp; ROUNDUP(T189/20,0),"")</f>
        <v/>
      </c>
      <c r="AF189" s="11">
        <f>IF(ROUNDUP(U189/20,0)&gt;ROUNDUP(U188/20,0),"Lần " &amp; ROUNDUP(U189/20,0),"")</f>
        <v/>
      </c>
      <c r="AG189" s="11">
        <f>IF(ROUNDUP(V189/20,0)&gt;ROUNDUP(V188/20,0),"Lần " &amp; ROUNDUP(V189/20,0),"")</f>
        <v/>
      </c>
      <c r="AH189" s="11">
        <f>IF(ROUNDUP(W189/20,0)&gt;ROUNDUP(W188/20,0),"Lần " &amp; ROUNDUP(W189/20,0),"")</f>
        <v/>
      </c>
      <c r="AI189" s="11">
        <f>IF(ROUNDUP(X189/20,0)&gt;ROUNDUP(X188/20,0),"Lần " &amp; ROUNDUP(X189/20,0),"")</f>
        <v/>
      </c>
      <c r="AJ189" s="11">
        <f>IF(ROUNDUP(Y189/20,0)&gt;ROUNDUP(Y188/20,0),"Lần " &amp; ROUNDUP(Y189/20,0),"")</f>
        <v/>
      </c>
      <c r="AK189" s="11">
        <f>IF(ROUNDUP(Z189/20,0)&gt;ROUNDUP(Z188/20,0),"Lần " &amp; ROUNDUP(Z189/20,0),"")</f>
        <v/>
      </c>
      <c r="AL189" s="6" t="n"/>
      <c r="AN189" t="inlineStr">
        <is>
          <t>Than</t>
        </is>
      </c>
      <c r="AO189" t="n">
        <v>45</v>
      </c>
    </row>
    <row r="190" ht="19" customHeight="1">
      <c r="A190" s="6" t="n">
        <v>182</v>
      </c>
      <c r="B190" s="7" t="inlineStr">
        <is>
          <t>Trụ T1, T2 (Xà mũ trụ)</t>
        </is>
      </c>
      <c r="C190" s="7" t="inlineStr">
        <is>
          <t>Xà mũ trụ T1 (tr.51)</t>
        </is>
      </c>
      <c r="D190" s="18" t="inlineStr">
        <is>
          <t>X8</t>
        </is>
      </c>
      <c r="E190" s="19" t="n">
        <v>16</v>
      </c>
      <c r="F190" s="6" t="inlineStr">
        <is>
          <t>CB400-V</t>
        </is>
      </c>
      <c r="G190" s="7" t="inlineStr"/>
      <c r="H190" s="20" t="n">
        <v>12.866</v>
      </c>
      <c r="I190" s="21" t="n">
        <v>8</v>
      </c>
      <c r="J190" s="22" t="n">
        <v>1.578</v>
      </c>
      <c r="K190" s="9">
        <f>ROUND(H190*I190*J190, 2)</f>
        <v/>
      </c>
      <c r="L190" s="23">
        <f>ROUND(K190/1000, 3)</f>
        <v/>
      </c>
      <c r="M190" s="8">
        <f>IF(AO190="","",IF(INDEX(Theo_Doi_Tan_Suat_Be_Tong!$C:$C,AO190)="","",INDEX(Theo_Doi_Tan_Suat_Be_Tong!$C:$C,AO190)-VLOOKUP(AN190,$AQ$2:$AR$7,2,FALSE)))</f>
        <v/>
      </c>
      <c r="N190" s="6" t="n"/>
      <c r="O190" s="24">
        <f>IF(ROUNDUP(S190/20,0)&gt;ROUNDUP(S189/20,0),"TN Ø16 (Lần " &amp; ROUNDUP(S190/20,0) &amp; ")","")</f>
        <v/>
      </c>
      <c r="P190" s="20">
        <f>ROUND(P189+IF(AND(E190&lt;=10,F190&lt;&gt;"ASTM A416"),L190,0),3)</f>
        <v/>
      </c>
      <c r="Q190" s="20">
        <f>ROUND(Q189+IF(AND(E190=12,F190&lt;&gt;"ASTM A416"),L190,0),3)</f>
        <v/>
      </c>
      <c r="R190" s="20">
        <f>ROUND(R189+IF(AND(E190=14,F190&lt;&gt;"ASTM A416"),L190,0),3)</f>
        <v/>
      </c>
      <c r="S190" s="20">
        <f>ROUND(S189+IF(AND(E190=16,F190&lt;&gt;"ASTM A416"),L190,0),3)</f>
        <v/>
      </c>
      <c r="T190" s="20">
        <f>ROUND(T189+IF(AND(E190=18,F190&lt;&gt;"ASTM A416"),L190,0),3)</f>
        <v/>
      </c>
      <c r="U190" s="20">
        <f>ROUND(U189+IF(AND(E190=20,F190&lt;&gt;"ASTM A416"),L190,0),3)</f>
        <v/>
      </c>
      <c r="V190" s="20">
        <f>ROUND(V189+IF(AND(E190=22,F190&lt;&gt;"ASTM A416"),L190,0),3)</f>
        <v/>
      </c>
      <c r="W190" s="20">
        <f>ROUND(W189+IF(AND(E190=25,F190&lt;&gt;"ASTM A416"),L190,0),3)</f>
        <v/>
      </c>
      <c r="X190" s="20">
        <f>ROUND(X189+IF(AND(E190=28,F190&lt;&gt;"ASTM A416"),L190,0),3)</f>
        <v/>
      </c>
      <c r="Y190" s="20">
        <f>ROUND(Y189+IF(AND(E190=32,F190&lt;&gt;"ASTM A416"),L190,0),3)</f>
        <v/>
      </c>
      <c r="Z190" s="20">
        <f>ROUND(Z189+IF(F190="ASTM A416",L190,0),3)</f>
        <v/>
      </c>
      <c r="AA190" s="11">
        <f>IF(ROUNDUP(P190/20,0)&gt;ROUNDUP(P189/20,0),"Lần " &amp; ROUNDUP(P190/20,0),"")</f>
        <v/>
      </c>
      <c r="AB190" s="11">
        <f>IF(ROUNDUP(Q190/20,0)&gt;ROUNDUP(Q189/20,0),"Lần " &amp; ROUNDUP(Q190/20,0),"")</f>
        <v/>
      </c>
      <c r="AC190" s="11">
        <f>IF(ROUNDUP(R190/20,0)&gt;ROUNDUP(R189/20,0),"Lần " &amp; ROUNDUP(R190/20,0),"")</f>
        <v/>
      </c>
      <c r="AD190" s="11">
        <f>IF(ROUNDUP(S190/20,0)&gt;ROUNDUP(S189/20,0),"Lần " &amp; ROUNDUP(S190/20,0),"")</f>
        <v/>
      </c>
      <c r="AE190" s="11">
        <f>IF(ROUNDUP(T190/20,0)&gt;ROUNDUP(T189/20,0),"Lần " &amp; ROUNDUP(T190/20,0),"")</f>
        <v/>
      </c>
      <c r="AF190" s="11">
        <f>IF(ROUNDUP(U190/20,0)&gt;ROUNDUP(U189/20,0),"Lần " &amp; ROUNDUP(U190/20,0),"")</f>
        <v/>
      </c>
      <c r="AG190" s="11">
        <f>IF(ROUNDUP(V190/20,0)&gt;ROUNDUP(V189/20,0),"Lần " &amp; ROUNDUP(V190/20,0),"")</f>
        <v/>
      </c>
      <c r="AH190" s="11">
        <f>IF(ROUNDUP(W190/20,0)&gt;ROUNDUP(W189/20,0),"Lần " &amp; ROUNDUP(W190/20,0),"")</f>
        <v/>
      </c>
      <c r="AI190" s="11">
        <f>IF(ROUNDUP(X190/20,0)&gt;ROUNDUP(X189/20,0),"Lần " &amp; ROUNDUP(X190/20,0),"")</f>
        <v/>
      </c>
      <c r="AJ190" s="11">
        <f>IF(ROUNDUP(Y190/20,0)&gt;ROUNDUP(Y189/20,0),"Lần " &amp; ROUNDUP(Y190/20,0),"")</f>
        <v/>
      </c>
      <c r="AK190" s="11">
        <f>IF(ROUNDUP(Z190/20,0)&gt;ROUNDUP(Z189/20,0),"Lần " &amp; ROUNDUP(Z190/20,0),"")</f>
        <v/>
      </c>
      <c r="AL190" s="6" t="n"/>
      <c r="AN190" t="inlineStr">
        <is>
          <t>Than</t>
        </is>
      </c>
      <c r="AO190" t="n">
        <v>45</v>
      </c>
    </row>
    <row r="191" ht="19" customHeight="1">
      <c r="A191" s="6" t="n">
        <v>183</v>
      </c>
      <c r="B191" s="7" t="inlineStr">
        <is>
          <t>Trụ T1, T2 (Xà mũ trụ)</t>
        </is>
      </c>
      <c r="C191" s="7" t="inlineStr">
        <is>
          <t>Xà mũ trụ T1 (tr.51)</t>
        </is>
      </c>
      <c r="D191" s="18" t="inlineStr">
        <is>
          <t>6X</t>
        </is>
      </c>
      <c r="E191" s="19" t="n">
        <v>16</v>
      </c>
      <c r="F191" s="6" t="inlineStr">
        <is>
          <t>CB400-V</t>
        </is>
      </c>
      <c r="G191" s="7" t="inlineStr"/>
      <c r="H191" s="20" t="n">
        <v>1.132</v>
      </c>
      <c r="I191" s="21" t="n">
        <v>40</v>
      </c>
      <c r="J191" s="22" t="n">
        <v>1.578</v>
      </c>
      <c r="K191" s="9">
        <f>ROUND(H191*I191*J191, 2)</f>
        <v/>
      </c>
      <c r="L191" s="23">
        <f>ROUND(K191/1000, 3)</f>
        <v/>
      </c>
      <c r="M191" s="8">
        <f>IF(AO191="","",IF(INDEX(Theo_Doi_Tan_Suat_Be_Tong!$C:$C,AO191)="","",INDEX(Theo_Doi_Tan_Suat_Be_Tong!$C:$C,AO191)-VLOOKUP(AN191,$AQ$2:$AR$7,2,FALSE)))</f>
        <v/>
      </c>
      <c r="N191" s="6" t="n"/>
      <c r="O191" s="24">
        <f>IF(ROUNDUP(S191/20,0)&gt;ROUNDUP(S190/20,0),"TN Ø16 (Lần " &amp; ROUNDUP(S191/20,0) &amp; ")","")</f>
        <v/>
      </c>
      <c r="P191" s="20">
        <f>ROUND(P190+IF(AND(E191&lt;=10,F191&lt;&gt;"ASTM A416"),L191,0),3)</f>
        <v/>
      </c>
      <c r="Q191" s="20">
        <f>ROUND(Q190+IF(AND(E191=12,F191&lt;&gt;"ASTM A416"),L191,0),3)</f>
        <v/>
      </c>
      <c r="R191" s="20">
        <f>ROUND(R190+IF(AND(E191=14,F191&lt;&gt;"ASTM A416"),L191,0),3)</f>
        <v/>
      </c>
      <c r="S191" s="20">
        <f>ROUND(S190+IF(AND(E191=16,F191&lt;&gt;"ASTM A416"),L191,0),3)</f>
        <v/>
      </c>
      <c r="T191" s="20">
        <f>ROUND(T190+IF(AND(E191=18,F191&lt;&gt;"ASTM A416"),L191,0),3)</f>
        <v/>
      </c>
      <c r="U191" s="20">
        <f>ROUND(U190+IF(AND(E191=20,F191&lt;&gt;"ASTM A416"),L191,0),3)</f>
        <v/>
      </c>
      <c r="V191" s="20">
        <f>ROUND(V190+IF(AND(E191=22,F191&lt;&gt;"ASTM A416"),L191,0),3)</f>
        <v/>
      </c>
      <c r="W191" s="20">
        <f>ROUND(W190+IF(AND(E191=25,F191&lt;&gt;"ASTM A416"),L191,0),3)</f>
        <v/>
      </c>
      <c r="X191" s="20">
        <f>ROUND(X190+IF(AND(E191=28,F191&lt;&gt;"ASTM A416"),L191,0),3)</f>
        <v/>
      </c>
      <c r="Y191" s="20">
        <f>ROUND(Y190+IF(AND(E191=32,F191&lt;&gt;"ASTM A416"),L191,0),3)</f>
        <v/>
      </c>
      <c r="Z191" s="20">
        <f>ROUND(Z190+IF(F191="ASTM A416",L191,0),3)</f>
        <v/>
      </c>
      <c r="AA191" s="11">
        <f>IF(ROUNDUP(P191/20,0)&gt;ROUNDUP(P190/20,0),"Lần " &amp; ROUNDUP(P191/20,0),"")</f>
        <v/>
      </c>
      <c r="AB191" s="11">
        <f>IF(ROUNDUP(Q191/20,0)&gt;ROUNDUP(Q190/20,0),"Lần " &amp; ROUNDUP(Q191/20,0),"")</f>
        <v/>
      </c>
      <c r="AC191" s="11">
        <f>IF(ROUNDUP(R191/20,0)&gt;ROUNDUP(R190/20,0),"Lần " &amp; ROUNDUP(R191/20,0),"")</f>
        <v/>
      </c>
      <c r="AD191" s="11">
        <f>IF(ROUNDUP(S191/20,0)&gt;ROUNDUP(S190/20,0),"Lần " &amp; ROUNDUP(S191/20,0),"")</f>
        <v/>
      </c>
      <c r="AE191" s="11">
        <f>IF(ROUNDUP(T191/20,0)&gt;ROUNDUP(T190/20,0),"Lần " &amp; ROUNDUP(T191/20,0),"")</f>
        <v/>
      </c>
      <c r="AF191" s="11">
        <f>IF(ROUNDUP(U191/20,0)&gt;ROUNDUP(U190/20,0),"Lần " &amp; ROUNDUP(U191/20,0),"")</f>
        <v/>
      </c>
      <c r="AG191" s="11">
        <f>IF(ROUNDUP(V191/20,0)&gt;ROUNDUP(V190/20,0),"Lần " &amp; ROUNDUP(V191/20,0),"")</f>
        <v/>
      </c>
      <c r="AH191" s="11">
        <f>IF(ROUNDUP(W191/20,0)&gt;ROUNDUP(W190/20,0),"Lần " &amp; ROUNDUP(W191/20,0),"")</f>
        <v/>
      </c>
      <c r="AI191" s="11">
        <f>IF(ROUNDUP(X191/20,0)&gt;ROUNDUP(X190/20,0),"Lần " &amp; ROUNDUP(X191/20,0),"")</f>
        <v/>
      </c>
      <c r="AJ191" s="11">
        <f>IF(ROUNDUP(Y191/20,0)&gt;ROUNDUP(Y190/20,0),"Lần " &amp; ROUNDUP(Y191/20,0),"")</f>
        <v/>
      </c>
      <c r="AK191" s="11">
        <f>IF(ROUNDUP(Z191/20,0)&gt;ROUNDUP(Z190/20,0),"Lần " &amp; ROUNDUP(Z191/20,0),"")</f>
        <v/>
      </c>
      <c r="AL191" s="6" t="n"/>
      <c r="AN191" t="inlineStr">
        <is>
          <t>Than</t>
        </is>
      </c>
      <c r="AO191" t="n">
        <v>45</v>
      </c>
    </row>
    <row r="192" ht="19" customHeight="1">
      <c r="A192" s="6" t="n">
        <v>184</v>
      </c>
      <c r="B192" s="7" t="inlineStr">
        <is>
          <t>Trụ T1, T2 (Xà mũ trụ)</t>
        </is>
      </c>
      <c r="C192" s="7" t="inlineStr">
        <is>
          <t>Xà mũ trụ T1 (tr.51)</t>
        </is>
      </c>
      <c r="D192" s="18" t="inlineStr">
        <is>
          <t>X10</t>
        </is>
      </c>
      <c r="E192" s="19" t="n">
        <v>16</v>
      </c>
      <c r="F192" s="6" t="inlineStr">
        <is>
          <t>CB400-V</t>
        </is>
      </c>
      <c r="G192" s="7" t="inlineStr"/>
      <c r="H192" s="20" t="n">
        <v>3.2</v>
      </c>
      <c r="I192" s="21" t="n">
        <v>30</v>
      </c>
      <c r="J192" s="22" t="n">
        <v>1.578</v>
      </c>
      <c r="K192" s="9">
        <f>ROUND(H192*I192*J192, 2)</f>
        <v/>
      </c>
      <c r="L192" s="23">
        <f>ROUND(K192/1000, 3)</f>
        <v/>
      </c>
      <c r="M192" s="8">
        <f>IF(AO192="","",IF(INDEX(Theo_Doi_Tan_Suat_Be_Tong!$C:$C,AO192)="","",INDEX(Theo_Doi_Tan_Suat_Be_Tong!$C:$C,AO192)-VLOOKUP(AN192,$AQ$2:$AR$7,2,FALSE)))</f>
        <v/>
      </c>
      <c r="N192" s="6" t="n"/>
      <c r="O192" s="24">
        <f>IF(ROUNDUP(S192/20,0)&gt;ROUNDUP(S191/20,0),"TN Ø16 (Lần " &amp; ROUNDUP(S192/20,0) &amp; ")","")</f>
        <v/>
      </c>
      <c r="P192" s="20">
        <f>ROUND(P191+IF(AND(E192&lt;=10,F192&lt;&gt;"ASTM A416"),L192,0),3)</f>
        <v/>
      </c>
      <c r="Q192" s="20">
        <f>ROUND(Q191+IF(AND(E192=12,F192&lt;&gt;"ASTM A416"),L192,0),3)</f>
        <v/>
      </c>
      <c r="R192" s="20">
        <f>ROUND(R191+IF(AND(E192=14,F192&lt;&gt;"ASTM A416"),L192,0),3)</f>
        <v/>
      </c>
      <c r="S192" s="20">
        <f>ROUND(S191+IF(AND(E192=16,F192&lt;&gt;"ASTM A416"),L192,0),3)</f>
        <v/>
      </c>
      <c r="T192" s="20">
        <f>ROUND(T191+IF(AND(E192=18,F192&lt;&gt;"ASTM A416"),L192,0),3)</f>
        <v/>
      </c>
      <c r="U192" s="20">
        <f>ROUND(U191+IF(AND(E192=20,F192&lt;&gt;"ASTM A416"),L192,0),3)</f>
        <v/>
      </c>
      <c r="V192" s="20">
        <f>ROUND(V191+IF(AND(E192=22,F192&lt;&gt;"ASTM A416"),L192,0),3)</f>
        <v/>
      </c>
      <c r="W192" s="20">
        <f>ROUND(W191+IF(AND(E192=25,F192&lt;&gt;"ASTM A416"),L192,0),3)</f>
        <v/>
      </c>
      <c r="X192" s="20">
        <f>ROUND(X191+IF(AND(E192=28,F192&lt;&gt;"ASTM A416"),L192,0),3)</f>
        <v/>
      </c>
      <c r="Y192" s="20">
        <f>ROUND(Y191+IF(AND(E192=32,F192&lt;&gt;"ASTM A416"),L192,0),3)</f>
        <v/>
      </c>
      <c r="Z192" s="20">
        <f>ROUND(Z191+IF(F192="ASTM A416",L192,0),3)</f>
        <v/>
      </c>
      <c r="AA192" s="11">
        <f>IF(ROUNDUP(P192/20,0)&gt;ROUNDUP(P191/20,0),"Lần " &amp; ROUNDUP(P192/20,0),"")</f>
        <v/>
      </c>
      <c r="AB192" s="11">
        <f>IF(ROUNDUP(Q192/20,0)&gt;ROUNDUP(Q191/20,0),"Lần " &amp; ROUNDUP(Q192/20,0),"")</f>
        <v/>
      </c>
      <c r="AC192" s="11">
        <f>IF(ROUNDUP(R192/20,0)&gt;ROUNDUP(R191/20,0),"Lần " &amp; ROUNDUP(R192/20,0),"")</f>
        <v/>
      </c>
      <c r="AD192" s="11">
        <f>IF(ROUNDUP(S192/20,0)&gt;ROUNDUP(S191/20,0),"Lần " &amp; ROUNDUP(S192/20,0),"")</f>
        <v/>
      </c>
      <c r="AE192" s="11">
        <f>IF(ROUNDUP(T192/20,0)&gt;ROUNDUP(T191/20,0),"Lần " &amp; ROUNDUP(T192/20,0),"")</f>
        <v/>
      </c>
      <c r="AF192" s="11">
        <f>IF(ROUNDUP(U192/20,0)&gt;ROUNDUP(U191/20,0),"Lần " &amp; ROUNDUP(U192/20,0),"")</f>
        <v/>
      </c>
      <c r="AG192" s="11">
        <f>IF(ROUNDUP(V192/20,0)&gt;ROUNDUP(V191/20,0),"Lần " &amp; ROUNDUP(V192/20,0),"")</f>
        <v/>
      </c>
      <c r="AH192" s="11">
        <f>IF(ROUNDUP(W192/20,0)&gt;ROUNDUP(W191/20,0),"Lần " &amp; ROUNDUP(W192/20,0),"")</f>
        <v/>
      </c>
      <c r="AI192" s="11">
        <f>IF(ROUNDUP(X192/20,0)&gt;ROUNDUP(X191/20,0),"Lần " &amp; ROUNDUP(X192/20,0),"")</f>
        <v/>
      </c>
      <c r="AJ192" s="11">
        <f>IF(ROUNDUP(Y192/20,0)&gt;ROUNDUP(Y191/20,0),"Lần " &amp; ROUNDUP(Y192/20,0),"")</f>
        <v/>
      </c>
      <c r="AK192" s="11">
        <f>IF(ROUNDUP(Z192/20,0)&gt;ROUNDUP(Z191/20,0),"Lần " &amp; ROUNDUP(Z192/20,0),"")</f>
        <v/>
      </c>
      <c r="AL192" s="6" t="n"/>
      <c r="AN192" t="inlineStr">
        <is>
          <t>Than</t>
        </is>
      </c>
      <c r="AO192" t="n">
        <v>45</v>
      </c>
    </row>
    <row r="193" ht="20" customHeight="1">
      <c r="A193" s="6" t="n">
        <v>185</v>
      </c>
      <c r="B193" s="7" t="inlineStr">
        <is>
          <t>Trụ T1, T2 (Xà mũ trụ)</t>
        </is>
      </c>
      <c r="C193" s="7" t="inlineStr">
        <is>
          <t>Xà mũ trụ T1 (tr.51)</t>
        </is>
      </c>
      <c r="D193" s="18" t="inlineStr">
        <is>
          <t>X10A</t>
        </is>
      </c>
      <c r="E193" s="19" t="n">
        <v>16</v>
      </c>
      <c r="F193" s="6" t="inlineStr">
        <is>
          <t>CB400-V</t>
        </is>
      </c>
      <c r="G193" s="7" t="inlineStr"/>
      <c r="H193" s="20" t="n">
        <v>1.5</v>
      </c>
      <c r="I193" s="21" t="n">
        <v>4</v>
      </c>
      <c r="J193" s="22" t="n">
        <v>1.578</v>
      </c>
      <c r="K193" s="9">
        <f>ROUND(H193*I193*J193, 2)</f>
        <v/>
      </c>
      <c r="L193" s="23">
        <f>ROUND(K193/1000, 3)</f>
        <v/>
      </c>
      <c r="M193" s="8">
        <f>IF(AO193="","",IF(INDEX(Theo_Doi_Tan_Suat_Be_Tong!$C:$C,AO193)="","",INDEX(Theo_Doi_Tan_Suat_Be_Tong!$C:$C,AO193)-VLOOKUP(AN193,$AQ$2:$AR$7,2,FALSE)))</f>
        <v/>
      </c>
      <c r="N193" s="6" t="n"/>
      <c r="O193" s="24">
        <f>IF(ROUNDUP(S193/20,0)&gt;ROUNDUP(S192/20,0),"TN Ø16 (Lần " &amp; ROUNDUP(S193/20,0) &amp; ")","")</f>
        <v/>
      </c>
      <c r="P193" s="20">
        <f>ROUND(P192+IF(AND(E193&lt;=10,F193&lt;&gt;"ASTM A416"),L193,0),3)</f>
        <v/>
      </c>
      <c r="Q193" s="20">
        <f>ROUND(Q192+IF(AND(E193=12,F193&lt;&gt;"ASTM A416"),L193,0),3)</f>
        <v/>
      </c>
      <c r="R193" s="20">
        <f>ROUND(R192+IF(AND(E193=14,F193&lt;&gt;"ASTM A416"),L193,0),3)</f>
        <v/>
      </c>
      <c r="S193" s="20">
        <f>ROUND(S192+IF(AND(E193=16,F193&lt;&gt;"ASTM A416"),L193,0),3)</f>
        <v/>
      </c>
      <c r="T193" s="20">
        <f>ROUND(T192+IF(AND(E193=18,F193&lt;&gt;"ASTM A416"),L193,0),3)</f>
        <v/>
      </c>
      <c r="U193" s="20">
        <f>ROUND(U192+IF(AND(E193=20,F193&lt;&gt;"ASTM A416"),L193,0),3)</f>
        <v/>
      </c>
      <c r="V193" s="20">
        <f>ROUND(V192+IF(AND(E193=22,F193&lt;&gt;"ASTM A416"),L193,0),3)</f>
        <v/>
      </c>
      <c r="W193" s="20">
        <f>ROUND(W192+IF(AND(E193=25,F193&lt;&gt;"ASTM A416"),L193,0),3)</f>
        <v/>
      </c>
      <c r="X193" s="20">
        <f>ROUND(X192+IF(AND(E193=28,F193&lt;&gt;"ASTM A416"),L193,0),3)</f>
        <v/>
      </c>
      <c r="Y193" s="20">
        <f>ROUND(Y192+IF(AND(E193=32,F193&lt;&gt;"ASTM A416"),L193,0),3)</f>
        <v/>
      </c>
      <c r="Z193" s="20">
        <f>ROUND(Z192+IF(F193="ASTM A416",L193,0),3)</f>
        <v/>
      </c>
      <c r="AA193" s="11">
        <f>IF(ROUNDUP(P193/20,0)&gt;ROUNDUP(P192/20,0),"Lần " &amp; ROUNDUP(P193/20,0),"")</f>
        <v/>
      </c>
      <c r="AB193" s="11">
        <f>IF(ROUNDUP(Q193/20,0)&gt;ROUNDUP(Q192/20,0),"Lần " &amp; ROUNDUP(Q193/20,0),"")</f>
        <v/>
      </c>
      <c r="AC193" s="11">
        <f>IF(ROUNDUP(R193/20,0)&gt;ROUNDUP(R192/20,0),"Lần " &amp; ROUNDUP(R193/20,0),"")</f>
        <v/>
      </c>
      <c r="AD193" s="11">
        <f>IF(ROUNDUP(S193/20,0)&gt;ROUNDUP(S192/20,0),"Lần " &amp; ROUNDUP(S193/20,0),"")</f>
        <v/>
      </c>
      <c r="AE193" s="11">
        <f>IF(ROUNDUP(T193/20,0)&gt;ROUNDUP(T192/20,0),"Lần " &amp; ROUNDUP(T193/20,0),"")</f>
        <v/>
      </c>
      <c r="AF193" s="11">
        <f>IF(ROUNDUP(U193/20,0)&gt;ROUNDUP(U192/20,0),"Lần " &amp; ROUNDUP(U193/20,0),"")</f>
        <v/>
      </c>
      <c r="AG193" s="11">
        <f>IF(ROUNDUP(V193/20,0)&gt;ROUNDUP(V192/20,0),"Lần " &amp; ROUNDUP(V193/20,0),"")</f>
        <v/>
      </c>
      <c r="AH193" s="11">
        <f>IF(ROUNDUP(W193/20,0)&gt;ROUNDUP(W192/20,0),"Lần " &amp; ROUNDUP(W193/20,0),"")</f>
        <v/>
      </c>
      <c r="AI193" s="11">
        <f>IF(ROUNDUP(X193/20,0)&gt;ROUNDUP(X192/20,0),"Lần " &amp; ROUNDUP(X193/20,0),"")</f>
        <v/>
      </c>
      <c r="AJ193" s="11">
        <f>IF(ROUNDUP(Y193/20,0)&gt;ROUNDUP(Y192/20,0),"Lần " &amp; ROUNDUP(Y193/20,0),"")</f>
        <v/>
      </c>
      <c r="AK193" s="11">
        <f>IF(ROUNDUP(Z193/20,0)&gt;ROUNDUP(Z192/20,0),"Lần " &amp; ROUNDUP(Z193/20,0),"")</f>
        <v/>
      </c>
      <c r="AL193" s="6" t="n"/>
      <c r="AN193" t="inlineStr">
        <is>
          <t>Than</t>
        </is>
      </c>
      <c r="AO193" t="n">
        <v>45</v>
      </c>
    </row>
    <row r="194" ht="19" customHeight="1">
      <c r="A194" s="6" t="n">
        <v>186</v>
      </c>
      <c r="B194" s="7" t="inlineStr">
        <is>
          <t>Trụ T1, T2 (Xà mũ trụ)</t>
        </is>
      </c>
      <c r="C194" s="7" t="inlineStr">
        <is>
          <t>Xà mũ trụ T1 (tr.51)</t>
        </is>
      </c>
      <c r="D194" s="18" t="inlineStr">
        <is>
          <t>U1</t>
        </is>
      </c>
      <c r="E194" s="19" t="n">
        <v>16</v>
      </c>
      <c r="F194" s="6" t="inlineStr">
        <is>
          <t>CB400-V</t>
        </is>
      </c>
      <c r="G194" s="7" t="inlineStr"/>
      <c r="H194" s="20" t="n">
        <v>4.192</v>
      </c>
      <c r="I194" s="21" t="n">
        <v>16</v>
      </c>
      <c r="J194" s="22" t="n">
        <v>1.578</v>
      </c>
      <c r="K194" s="9">
        <f>ROUND(H194*I194*J194, 2)</f>
        <v/>
      </c>
      <c r="L194" s="23">
        <f>ROUND(K194/1000, 3)</f>
        <v/>
      </c>
      <c r="M194" s="8">
        <f>IF(AO194="","",IF(INDEX(Theo_Doi_Tan_Suat_Be_Tong!$C:$C,AO194)="","",INDEX(Theo_Doi_Tan_Suat_Be_Tong!$C:$C,AO194)-VLOOKUP(AN194,$AQ$2:$AR$7,2,FALSE)))</f>
        <v/>
      </c>
      <c r="N194" s="6" t="n"/>
      <c r="O194" s="24">
        <f>IF(ROUNDUP(S194/20,0)&gt;ROUNDUP(S193/20,0),"TN Ø16 (Lần " &amp; ROUNDUP(S194/20,0) &amp; ")","")</f>
        <v/>
      </c>
      <c r="P194" s="20">
        <f>ROUND(P193+IF(AND(E194&lt;=10,F194&lt;&gt;"ASTM A416"),L194,0),3)</f>
        <v/>
      </c>
      <c r="Q194" s="20">
        <f>ROUND(Q193+IF(AND(E194=12,F194&lt;&gt;"ASTM A416"),L194,0),3)</f>
        <v/>
      </c>
      <c r="R194" s="20">
        <f>ROUND(R193+IF(AND(E194=14,F194&lt;&gt;"ASTM A416"),L194,0),3)</f>
        <v/>
      </c>
      <c r="S194" s="20">
        <f>ROUND(S193+IF(AND(E194=16,F194&lt;&gt;"ASTM A416"),L194,0),3)</f>
        <v/>
      </c>
      <c r="T194" s="20">
        <f>ROUND(T193+IF(AND(E194=18,F194&lt;&gt;"ASTM A416"),L194,0),3)</f>
        <v/>
      </c>
      <c r="U194" s="20">
        <f>ROUND(U193+IF(AND(E194=20,F194&lt;&gt;"ASTM A416"),L194,0),3)</f>
        <v/>
      </c>
      <c r="V194" s="20">
        <f>ROUND(V193+IF(AND(E194=22,F194&lt;&gt;"ASTM A416"),L194,0),3)</f>
        <v/>
      </c>
      <c r="W194" s="20">
        <f>ROUND(W193+IF(AND(E194=25,F194&lt;&gt;"ASTM A416"),L194,0),3)</f>
        <v/>
      </c>
      <c r="X194" s="20">
        <f>ROUND(X193+IF(AND(E194=28,F194&lt;&gt;"ASTM A416"),L194,0),3)</f>
        <v/>
      </c>
      <c r="Y194" s="20">
        <f>ROUND(Y193+IF(AND(E194=32,F194&lt;&gt;"ASTM A416"),L194,0),3)</f>
        <v/>
      </c>
      <c r="Z194" s="20">
        <f>ROUND(Z193+IF(F194="ASTM A416",L194,0),3)</f>
        <v/>
      </c>
      <c r="AA194" s="11">
        <f>IF(ROUNDUP(P194/20,0)&gt;ROUNDUP(P193/20,0),"Lần " &amp; ROUNDUP(P194/20,0),"")</f>
        <v/>
      </c>
      <c r="AB194" s="11">
        <f>IF(ROUNDUP(Q194/20,0)&gt;ROUNDUP(Q193/20,0),"Lần " &amp; ROUNDUP(Q194/20,0),"")</f>
        <v/>
      </c>
      <c r="AC194" s="11">
        <f>IF(ROUNDUP(R194/20,0)&gt;ROUNDUP(R193/20,0),"Lần " &amp; ROUNDUP(R194/20,0),"")</f>
        <v/>
      </c>
      <c r="AD194" s="11">
        <f>IF(ROUNDUP(S194/20,0)&gt;ROUNDUP(S193/20,0),"Lần " &amp; ROUNDUP(S194/20,0),"")</f>
        <v/>
      </c>
      <c r="AE194" s="11">
        <f>IF(ROUNDUP(T194/20,0)&gt;ROUNDUP(T193/20,0),"Lần " &amp; ROUNDUP(T194/20,0),"")</f>
        <v/>
      </c>
      <c r="AF194" s="11">
        <f>IF(ROUNDUP(U194/20,0)&gt;ROUNDUP(U193/20,0),"Lần " &amp; ROUNDUP(U194/20,0),"")</f>
        <v/>
      </c>
      <c r="AG194" s="11">
        <f>IF(ROUNDUP(V194/20,0)&gt;ROUNDUP(V193/20,0),"Lần " &amp; ROUNDUP(V194/20,0),"")</f>
        <v/>
      </c>
      <c r="AH194" s="11">
        <f>IF(ROUNDUP(W194/20,0)&gt;ROUNDUP(W193/20,0),"Lần " &amp; ROUNDUP(W194/20,0),"")</f>
        <v/>
      </c>
      <c r="AI194" s="11">
        <f>IF(ROUNDUP(X194/20,0)&gt;ROUNDUP(X193/20,0),"Lần " &amp; ROUNDUP(X194/20,0),"")</f>
        <v/>
      </c>
      <c r="AJ194" s="11">
        <f>IF(ROUNDUP(Y194/20,0)&gt;ROUNDUP(Y193/20,0),"Lần " &amp; ROUNDUP(Y194/20,0),"")</f>
        <v/>
      </c>
      <c r="AK194" s="11">
        <f>IF(ROUNDUP(Z194/20,0)&gt;ROUNDUP(Z193/20,0),"Lần " &amp; ROUNDUP(Z194/20,0),"")</f>
        <v/>
      </c>
      <c r="AL194" s="6" t="n"/>
      <c r="AN194" t="inlineStr">
        <is>
          <t>Than</t>
        </is>
      </c>
      <c r="AO194" t="n">
        <v>45</v>
      </c>
    </row>
    <row r="195" ht="19" customHeight="1">
      <c r="A195" s="6" t="n">
        <v>187</v>
      </c>
      <c r="B195" s="7" t="inlineStr">
        <is>
          <t>Trụ T1, T2 (Xà mũ trụ)</t>
        </is>
      </c>
      <c r="C195" s="7" t="inlineStr">
        <is>
          <t>Xà mũ trụ T1 (tr.51)</t>
        </is>
      </c>
      <c r="D195" s="18" t="inlineStr">
        <is>
          <t>U2</t>
        </is>
      </c>
      <c r="E195" s="19" t="n">
        <v>16</v>
      </c>
      <c r="F195" s="6" t="inlineStr">
        <is>
          <t>CB400-V</t>
        </is>
      </c>
      <c r="G195" s="7" t="inlineStr"/>
      <c r="H195" s="20" t="n">
        <v>3.892</v>
      </c>
      <c r="I195" s="21" t="n">
        <v>28</v>
      </c>
      <c r="J195" s="22" t="n">
        <v>1.578</v>
      </c>
      <c r="K195" s="9">
        <f>ROUND(H195*I195*J195, 2)</f>
        <v/>
      </c>
      <c r="L195" s="23">
        <f>ROUND(K195/1000, 3)</f>
        <v/>
      </c>
      <c r="M195" s="8">
        <f>IF(AO195="","",IF(INDEX(Theo_Doi_Tan_Suat_Be_Tong!$C:$C,AO195)="","",INDEX(Theo_Doi_Tan_Suat_Be_Tong!$C:$C,AO195)-VLOOKUP(AN195,$AQ$2:$AR$7,2,FALSE)))</f>
        <v/>
      </c>
      <c r="N195" s="6" t="n"/>
      <c r="O195" s="24">
        <f>IF(ROUNDUP(S195/20,0)&gt;ROUNDUP(S194/20,0),"TN Ø16 (Lần " &amp; ROUNDUP(S195/20,0) &amp; ")","")</f>
        <v/>
      </c>
      <c r="P195" s="20">
        <f>ROUND(P194+IF(AND(E195&lt;=10,F195&lt;&gt;"ASTM A416"),L195,0),3)</f>
        <v/>
      </c>
      <c r="Q195" s="20">
        <f>ROUND(Q194+IF(AND(E195=12,F195&lt;&gt;"ASTM A416"),L195,0),3)</f>
        <v/>
      </c>
      <c r="R195" s="20">
        <f>ROUND(R194+IF(AND(E195=14,F195&lt;&gt;"ASTM A416"),L195,0),3)</f>
        <v/>
      </c>
      <c r="S195" s="20">
        <f>ROUND(S194+IF(AND(E195=16,F195&lt;&gt;"ASTM A416"),L195,0),3)</f>
        <v/>
      </c>
      <c r="T195" s="20">
        <f>ROUND(T194+IF(AND(E195=18,F195&lt;&gt;"ASTM A416"),L195,0),3)</f>
        <v/>
      </c>
      <c r="U195" s="20">
        <f>ROUND(U194+IF(AND(E195=20,F195&lt;&gt;"ASTM A416"),L195,0),3)</f>
        <v/>
      </c>
      <c r="V195" s="20">
        <f>ROUND(V194+IF(AND(E195=22,F195&lt;&gt;"ASTM A416"),L195,0),3)</f>
        <v/>
      </c>
      <c r="W195" s="20">
        <f>ROUND(W194+IF(AND(E195=25,F195&lt;&gt;"ASTM A416"),L195,0),3)</f>
        <v/>
      </c>
      <c r="X195" s="20">
        <f>ROUND(X194+IF(AND(E195=28,F195&lt;&gt;"ASTM A416"),L195,0),3)</f>
        <v/>
      </c>
      <c r="Y195" s="20">
        <f>ROUND(Y194+IF(AND(E195=32,F195&lt;&gt;"ASTM A416"),L195,0),3)</f>
        <v/>
      </c>
      <c r="Z195" s="20">
        <f>ROUND(Z194+IF(F195="ASTM A416",L195,0),3)</f>
        <v/>
      </c>
      <c r="AA195" s="11">
        <f>IF(ROUNDUP(P195/20,0)&gt;ROUNDUP(P194/20,0),"Lần " &amp; ROUNDUP(P195/20,0),"")</f>
        <v/>
      </c>
      <c r="AB195" s="11">
        <f>IF(ROUNDUP(Q195/20,0)&gt;ROUNDUP(Q194/20,0),"Lần " &amp; ROUNDUP(Q195/20,0),"")</f>
        <v/>
      </c>
      <c r="AC195" s="11">
        <f>IF(ROUNDUP(R195/20,0)&gt;ROUNDUP(R194/20,0),"Lần " &amp; ROUNDUP(R195/20,0),"")</f>
        <v/>
      </c>
      <c r="AD195" s="11">
        <f>IF(ROUNDUP(S195/20,0)&gt;ROUNDUP(S194/20,0),"Lần " &amp; ROUNDUP(S195/20,0),"")</f>
        <v/>
      </c>
      <c r="AE195" s="11">
        <f>IF(ROUNDUP(T195/20,0)&gt;ROUNDUP(T194/20,0),"Lần " &amp; ROUNDUP(T195/20,0),"")</f>
        <v/>
      </c>
      <c r="AF195" s="11">
        <f>IF(ROUNDUP(U195/20,0)&gt;ROUNDUP(U194/20,0),"Lần " &amp; ROUNDUP(U195/20,0),"")</f>
        <v/>
      </c>
      <c r="AG195" s="11">
        <f>IF(ROUNDUP(V195/20,0)&gt;ROUNDUP(V194/20,0),"Lần " &amp; ROUNDUP(V195/20,0),"")</f>
        <v/>
      </c>
      <c r="AH195" s="11">
        <f>IF(ROUNDUP(W195/20,0)&gt;ROUNDUP(W194/20,0),"Lần " &amp; ROUNDUP(W195/20,0),"")</f>
        <v/>
      </c>
      <c r="AI195" s="11">
        <f>IF(ROUNDUP(X195/20,0)&gt;ROUNDUP(X194/20,0),"Lần " &amp; ROUNDUP(X195/20,0),"")</f>
        <v/>
      </c>
      <c r="AJ195" s="11">
        <f>IF(ROUNDUP(Y195/20,0)&gt;ROUNDUP(Y194/20,0),"Lần " &amp; ROUNDUP(Y195/20,0),"")</f>
        <v/>
      </c>
      <c r="AK195" s="11">
        <f>IF(ROUNDUP(Z195/20,0)&gt;ROUNDUP(Z194/20,0),"Lần " &amp; ROUNDUP(Z195/20,0),"")</f>
        <v/>
      </c>
      <c r="AL195" s="6" t="n"/>
      <c r="AN195" t="inlineStr">
        <is>
          <t>Than</t>
        </is>
      </c>
      <c r="AO195" t="n">
        <v>45</v>
      </c>
    </row>
    <row r="196" ht="19" customHeight="1">
      <c r="A196" s="6" t="n">
        <v>188</v>
      </c>
      <c r="B196" s="7" t="inlineStr">
        <is>
          <t>Trụ T1, T2 (Xà mũ trụ)</t>
        </is>
      </c>
      <c r="C196" s="7" t="inlineStr">
        <is>
          <t>Xà mũ trụ T1 (tr.51)</t>
        </is>
      </c>
      <c r="D196" s="18" t="inlineStr">
        <is>
          <t>U3</t>
        </is>
      </c>
      <c r="E196" s="19" t="n">
        <v>16</v>
      </c>
      <c r="F196" s="6" t="inlineStr">
        <is>
          <t>CB400-V</t>
        </is>
      </c>
      <c r="G196" s="7" t="inlineStr">
        <is>
          <t>S51</t>
        </is>
      </c>
      <c r="H196" s="20" t="n">
        <v>3.256</v>
      </c>
      <c r="I196" s="21" t="n">
        <v>48</v>
      </c>
      <c r="J196" s="22" t="n">
        <v>1.578</v>
      </c>
      <c r="K196" s="9">
        <f>ROUND(H196*I196*J196, 2)</f>
        <v/>
      </c>
      <c r="L196" s="23">
        <f>ROUND(K196/1000, 3)</f>
        <v/>
      </c>
      <c r="M196" s="8">
        <f>IF(AO196="","",IF(INDEX(Theo_Doi_Tan_Suat_Be_Tong!$C:$C,AO196)="","",INDEX(Theo_Doi_Tan_Suat_Be_Tong!$C:$C,AO196)-VLOOKUP(AN196,$AQ$2:$AR$7,2,FALSE)))</f>
        <v/>
      </c>
      <c r="N196" s="6" t="n"/>
      <c r="O196" s="24">
        <f>IF(ROUNDUP(S196/20,0)&gt;ROUNDUP(S195/20,0),"TN Ø16 (Lần " &amp; ROUNDUP(S196/20,0) &amp; ")","")</f>
        <v/>
      </c>
      <c r="P196" s="20">
        <f>ROUND(P195+IF(AND(E196&lt;=10,F196&lt;&gt;"ASTM A416"),L196,0),3)</f>
        <v/>
      </c>
      <c r="Q196" s="20">
        <f>ROUND(Q195+IF(AND(E196=12,F196&lt;&gt;"ASTM A416"),L196,0),3)</f>
        <v/>
      </c>
      <c r="R196" s="20">
        <f>ROUND(R195+IF(AND(E196=14,F196&lt;&gt;"ASTM A416"),L196,0),3)</f>
        <v/>
      </c>
      <c r="S196" s="20">
        <f>ROUND(S195+IF(AND(E196=16,F196&lt;&gt;"ASTM A416"),L196,0),3)</f>
        <v/>
      </c>
      <c r="T196" s="20">
        <f>ROUND(T195+IF(AND(E196=18,F196&lt;&gt;"ASTM A416"),L196,0),3)</f>
        <v/>
      </c>
      <c r="U196" s="20">
        <f>ROUND(U195+IF(AND(E196=20,F196&lt;&gt;"ASTM A416"),L196,0),3)</f>
        <v/>
      </c>
      <c r="V196" s="20">
        <f>ROUND(V195+IF(AND(E196=22,F196&lt;&gt;"ASTM A416"),L196,0),3)</f>
        <v/>
      </c>
      <c r="W196" s="20">
        <f>ROUND(W195+IF(AND(E196=25,F196&lt;&gt;"ASTM A416"),L196,0),3)</f>
        <v/>
      </c>
      <c r="X196" s="20">
        <f>ROUND(X195+IF(AND(E196=28,F196&lt;&gt;"ASTM A416"),L196,0),3)</f>
        <v/>
      </c>
      <c r="Y196" s="20">
        <f>ROUND(Y195+IF(AND(E196=32,F196&lt;&gt;"ASTM A416"),L196,0),3)</f>
        <v/>
      </c>
      <c r="Z196" s="20">
        <f>ROUND(Z195+IF(F196="ASTM A416",L196,0),3)</f>
        <v/>
      </c>
      <c r="AA196" s="11">
        <f>IF(ROUNDUP(P196/20,0)&gt;ROUNDUP(P195/20,0),"Lần " &amp; ROUNDUP(P196/20,0),"")</f>
        <v/>
      </c>
      <c r="AB196" s="11">
        <f>IF(ROUNDUP(Q196/20,0)&gt;ROUNDUP(Q195/20,0),"Lần " &amp; ROUNDUP(Q196/20,0),"")</f>
        <v/>
      </c>
      <c r="AC196" s="11">
        <f>IF(ROUNDUP(R196/20,0)&gt;ROUNDUP(R195/20,0),"Lần " &amp; ROUNDUP(R196/20,0),"")</f>
        <v/>
      </c>
      <c r="AD196" s="11">
        <f>IF(ROUNDUP(S196/20,0)&gt;ROUNDUP(S195/20,0),"Lần " &amp; ROUNDUP(S196/20,0),"")</f>
        <v/>
      </c>
      <c r="AE196" s="11">
        <f>IF(ROUNDUP(T196/20,0)&gt;ROUNDUP(T195/20,0),"Lần " &amp; ROUNDUP(T196/20,0),"")</f>
        <v/>
      </c>
      <c r="AF196" s="11">
        <f>IF(ROUNDUP(U196/20,0)&gt;ROUNDUP(U195/20,0),"Lần " &amp; ROUNDUP(U196/20,0),"")</f>
        <v/>
      </c>
      <c r="AG196" s="11">
        <f>IF(ROUNDUP(V196/20,0)&gt;ROUNDUP(V195/20,0),"Lần " &amp; ROUNDUP(V196/20,0),"")</f>
        <v/>
      </c>
      <c r="AH196" s="11">
        <f>IF(ROUNDUP(W196/20,0)&gt;ROUNDUP(W195/20,0),"Lần " &amp; ROUNDUP(W196/20,0),"")</f>
        <v/>
      </c>
      <c r="AI196" s="11">
        <f>IF(ROUNDUP(X196/20,0)&gt;ROUNDUP(X195/20,0),"Lần " &amp; ROUNDUP(X196/20,0),"")</f>
        <v/>
      </c>
      <c r="AJ196" s="11">
        <f>IF(ROUNDUP(Y196/20,0)&gt;ROUNDUP(Y195/20,0),"Lần " &amp; ROUNDUP(Y196/20,0),"")</f>
        <v/>
      </c>
      <c r="AK196" s="11">
        <f>IF(ROUNDUP(Z196/20,0)&gt;ROUNDUP(Z195/20,0),"Lần " &amp; ROUNDUP(Z196/20,0),"")</f>
        <v/>
      </c>
      <c r="AL196" s="6" t="n"/>
      <c r="AN196" t="inlineStr">
        <is>
          <t>Than</t>
        </is>
      </c>
      <c r="AO196" t="n">
        <v>45</v>
      </c>
    </row>
    <row r="197" ht="19" customHeight="1">
      <c r="A197" s="6" t="n">
        <v>189</v>
      </c>
      <c r="B197" s="7" t="inlineStr">
        <is>
          <t>Trụ T1, T2 (Xà mũ trụ)</t>
        </is>
      </c>
      <c r="C197" s="7" t="inlineStr">
        <is>
          <t>Xà mũ trụ T1 (tr.51)</t>
        </is>
      </c>
      <c r="D197" s="18" t="inlineStr">
        <is>
          <t>U4</t>
        </is>
      </c>
      <c r="E197" s="19" t="n">
        <v>8</v>
      </c>
      <c r="F197" s="6" t="inlineStr">
        <is>
          <t>CB240-T</t>
        </is>
      </c>
      <c r="G197" s="7" t="inlineStr">
        <is>
          <t>S32</t>
        </is>
      </c>
      <c r="H197" s="20" t="n">
        <v>1.837</v>
      </c>
      <c r="I197" s="21" t="n">
        <v>8</v>
      </c>
      <c r="J197" s="22" t="n">
        <v>0.395</v>
      </c>
      <c r="K197" s="9">
        <f>ROUND(H197*I197*J197, 2)</f>
        <v/>
      </c>
      <c r="L197" s="23">
        <f>ROUND(K197/1000, 3)</f>
        <v/>
      </c>
      <c r="M197" s="8">
        <f>IF(AO197="","",IF(INDEX(Theo_Doi_Tan_Suat_Be_Tong!$C:$C,AO197)="","",INDEX(Theo_Doi_Tan_Suat_Be_Tong!$C:$C,AO197)-VLOOKUP(AN197,$AQ$2:$AR$7,2,FALSE)))</f>
        <v/>
      </c>
      <c r="N197" s="6" t="n"/>
      <c r="O197" s="24">
        <f>IF(ROUNDUP(P197/20,0)&gt;ROUNDUP(P196/20,0),"TN Ø10 (Lần " &amp; ROUNDUP(P197/20,0) &amp; ")","")</f>
        <v/>
      </c>
      <c r="P197" s="20">
        <f>ROUND(P196+IF(AND(E197&lt;=10,F197&lt;&gt;"ASTM A416"),L197,0),3)</f>
        <v/>
      </c>
      <c r="Q197" s="20">
        <f>ROUND(Q196+IF(AND(E197=12,F197&lt;&gt;"ASTM A416"),L197,0),3)</f>
        <v/>
      </c>
      <c r="R197" s="20">
        <f>ROUND(R196+IF(AND(E197=14,F197&lt;&gt;"ASTM A416"),L197,0),3)</f>
        <v/>
      </c>
      <c r="S197" s="20">
        <f>ROUND(S196+IF(AND(E197=16,F197&lt;&gt;"ASTM A416"),L197,0),3)</f>
        <v/>
      </c>
      <c r="T197" s="20">
        <f>ROUND(T196+IF(AND(E197=18,F197&lt;&gt;"ASTM A416"),L197,0),3)</f>
        <v/>
      </c>
      <c r="U197" s="20">
        <f>ROUND(U196+IF(AND(E197=20,F197&lt;&gt;"ASTM A416"),L197,0),3)</f>
        <v/>
      </c>
      <c r="V197" s="20">
        <f>ROUND(V196+IF(AND(E197=22,F197&lt;&gt;"ASTM A416"),L197,0),3)</f>
        <v/>
      </c>
      <c r="W197" s="20">
        <f>ROUND(W196+IF(AND(E197=25,F197&lt;&gt;"ASTM A416"),L197,0),3)</f>
        <v/>
      </c>
      <c r="X197" s="20">
        <f>ROUND(X196+IF(AND(E197=28,F197&lt;&gt;"ASTM A416"),L197,0),3)</f>
        <v/>
      </c>
      <c r="Y197" s="20">
        <f>ROUND(Y196+IF(AND(E197=32,F197&lt;&gt;"ASTM A416"),L197,0),3)</f>
        <v/>
      </c>
      <c r="Z197" s="20">
        <f>ROUND(Z196+IF(F197="ASTM A416",L197,0),3)</f>
        <v/>
      </c>
      <c r="AA197" s="11">
        <f>IF(ROUNDUP(P197/20,0)&gt;ROUNDUP(P196/20,0),"Lần " &amp; ROUNDUP(P197/20,0),"")</f>
        <v/>
      </c>
      <c r="AB197" s="11">
        <f>IF(ROUNDUP(Q197/20,0)&gt;ROUNDUP(Q196/20,0),"Lần " &amp; ROUNDUP(Q197/20,0),"")</f>
        <v/>
      </c>
      <c r="AC197" s="11">
        <f>IF(ROUNDUP(R197/20,0)&gt;ROUNDUP(R196/20,0),"Lần " &amp; ROUNDUP(R197/20,0),"")</f>
        <v/>
      </c>
      <c r="AD197" s="11">
        <f>IF(ROUNDUP(S197/20,0)&gt;ROUNDUP(S196/20,0),"Lần " &amp; ROUNDUP(S197/20,0),"")</f>
        <v/>
      </c>
      <c r="AE197" s="11">
        <f>IF(ROUNDUP(T197/20,0)&gt;ROUNDUP(T196/20,0),"Lần " &amp; ROUNDUP(T197/20,0),"")</f>
        <v/>
      </c>
      <c r="AF197" s="11">
        <f>IF(ROUNDUP(U197/20,0)&gt;ROUNDUP(U196/20,0),"Lần " &amp; ROUNDUP(U197/20,0),"")</f>
        <v/>
      </c>
      <c r="AG197" s="11">
        <f>IF(ROUNDUP(V197/20,0)&gt;ROUNDUP(V196/20,0),"Lần " &amp; ROUNDUP(V197/20,0),"")</f>
        <v/>
      </c>
      <c r="AH197" s="11">
        <f>IF(ROUNDUP(W197/20,0)&gt;ROUNDUP(W196/20,0),"Lần " &amp; ROUNDUP(W197/20,0),"")</f>
        <v/>
      </c>
      <c r="AI197" s="11">
        <f>IF(ROUNDUP(X197/20,0)&gt;ROUNDUP(X196/20,0),"Lần " &amp; ROUNDUP(X197/20,0),"")</f>
        <v/>
      </c>
      <c r="AJ197" s="11">
        <f>IF(ROUNDUP(Y197/20,0)&gt;ROUNDUP(Y196/20,0),"Lần " &amp; ROUNDUP(Y197/20,0),"")</f>
        <v/>
      </c>
      <c r="AK197" s="11">
        <f>IF(ROUNDUP(Z197/20,0)&gt;ROUNDUP(Z196/20,0),"Lần " &amp; ROUNDUP(Z197/20,0),"")</f>
        <v/>
      </c>
      <c r="AL197" s="6" t="n"/>
      <c r="AN197" t="inlineStr">
        <is>
          <t>Than</t>
        </is>
      </c>
      <c r="AO197" t="n">
        <v>45</v>
      </c>
    </row>
    <row r="198" ht="19" customHeight="1">
      <c r="A198" s="6" t="n">
        <v>190</v>
      </c>
      <c r="B198" s="7" t="inlineStr">
        <is>
          <t>Trụ T1, T2 (Xà mũ trụ)</t>
        </is>
      </c>
      <c r="C198" s="7" t="inlineStr">
        <is>
          <t>Xà mũ trụ T1 (tr.51)</t>
        </is>
      </c>
      <c r="D198" s="18" t="inlineStr">
        <is>
          <t>G1</t>
        </is>
      </c>
      <c r="E198" s="19" t="n">
        <v>6</v>
      </c>
      <c r="F198" s="6" t="inlineStr">
        <is>
          <t>CB240-T</t>
        </is>
      </c>
      <c r="G198" s="7" t="inlineStr"/>
      <c r="H198" s="20" t="n">
        <v>0.46</v>
      </c>
      <c r="I198" s="21" t="n">
        <v>130</v>
      </c>
      <c r="J198" s="22" t="n">
        <v>0.222</v>
      </c>
      <c r="K198" s="9">
        <f>ROUND(H198*I198*J198, 2)</f>
        <v/>
      </c>
      <c r="L198" s="23">
        <f>ROUND(K198/1000, 3)</f>
        <v/>
      </c>
      <c r="M198" s="8">
        <f>IF(AO198="","",IF(INDEX(Theo_Doi_Tan_Suat_Be_Tong!$C:$C,AO198)="","",INDEX(Theo_Doi_Tan_Suat_Be_Tong!$C:$C,AO198)-VLOOKUP(AN198,$AQ$2:$AR$7,2,FALSE)))</f>
        <v/>
      </c>
      <c r="N198" s="6" t="n"/>
      <c r="O198" s="24">
        <f>IF(ROUNDUP(P198/20,0)&gt;ROUNDUP(P197/20,0),"TN Ø10 (Lần " &amp; ROUNDUP(P198/20,0) &amp; ")","")</f>
        <v/>
      </c>
      <c r="P198" s="20">
        <f>ROUND(P197+IF(AND(E198&lt;=10,F198&lt;&gt;"ASTM A416"),L198,0),3)</f>
        <v/>
      </c>
      <c r="Q198" s="20">
        <f>ROUND(Q197+IF(AND(E198=12,F198&lt;&gt;"ASTM A416"),L198,0),3)</f>
        <v/>
      </c>
      <c r="R198" s="20">
        <f>ROUND(R197+IF(AND(E198=14,F198&lt;&gt;"ASTM A416"),L198,0),3)</f>
        <v/>
      </c>
      <c r="S198" s="20">
        <f>ROUND(S197+IF(AND(E198=16,F198&lt;&gt;"ASTM A416"),L198,0),3)</f>
        <v/>
      </c>
      <c r="T198" s="20">
        <f>ROUND(T197+IF(AND(E198=18,F198&lt;&gt;"ASTM A416"),L198,0),3)</f>
        <v/>
      </c>
      <c r="U198" s="20">
        <f>ROUND(U197+IF(AND(E198=20,F198&lt;&gt;"ASTM A416"),L198,0),3)</f>
        <v/>
      </c>
      <c r="V198" s="20">
        <f>ROUND(V197+IF(AND(E198=22,F198&lt;&gt;"ASTM A416"),L198,0),3)</f>
        <v/>
      </c>
      <c r="W198" s="20">
        <f>ROUND(W197+IF(AND(E198=25,F198&lt;&gt;"ASTM A416"),L198,0),3)</f>
        <v/>
      </c>
      <c r="X198" s="20">
        <f>ROUND(X197+IF(AND(E198=28,F198&lt;&gt;"ASTM A416"),L198,0),3)</f>
        <v/>
      </c>
      <c r="Y198" s="20">
        <f>ROUND(Y197+IF(AND(E198=32,F198&lt;&gt;"ASTM A416"),L198,0),3)</f>
        <v/>
      </c>
      <c r="Z198" s="20">
        <f>ROUND(Z197+IF(F198="ASTM A416",L198,0),3)</f>
        <v/>
      </c>
      <c r="AA198" s="11">
        <f>IF(ROUNDUP(P198/20,0)&gt;ROUNDUP(P197/20,0),"Lần " &amp; ROUNDUP(P198/20,0),"")</f>
        <v/>
      </c>
      <c r="AB198" s="11">
        <f>IF(ROUNDUP(Q198/20,0)&gt;ROUNDUP(Q197/20,0),"Lần " &amp; ROUNDUP(Q198/20,0),"")</f>
        <v/>
      </c>
      <c r="AC198" s="11">
        <f>IF(ROUNDUP(R198/20,0)&gt;ROUNDUP(R197/20,0),"Lần " &amp; ROUNDUP(R198/20,0),"")</f>
        <v/>
      </c>
      <c r="AD198" s="11">
        <f>IF(ROUNDUP(S198/20,0)&gt;ROUNDUP(S197/20,0),"Lần " &amp; ROUNDUP(S198/20,0),"")</f>
        <v/>
      </c>
      <c r="AE198" s="11">
        <f>IF(ROUNDUP(T198/20,0)&gt;ROUNDUP(T197/20,0),"Lần " &amp; ROUNDUP(T198/20,0),"")</f>
        <v/>
      </c>
      <c r="AF198" s="11">
        <f>IF(ROUNDUP(U198/20,0)&gt;ROUNDUP(U197/20,0),"Lần " &amp; ROUNDUP(U198/20,0),"")</f>
        <v/>
      </c>
      <c r="AG198" s="11">
        <f>IF(ROUNDUP(V198/20,0)&gt;ROUNDUP(V197/20,0),"Lần " &amp; ROUNDUP(V198/20,0),"")</f>
        <v/>
      </c>
      <c r="AH198" s="11">
        <f>IF(ROUNDUP(W198/20,0)&gt;ROUNDUP(W197/20,0),"Lần " &amp; ROUNDUP(W198/20,0),"")</f>
        <v/>
      </c>
      <c r="AI198" s="11">
        <f>IF(ROUNDUP(X198/20,0)&gt;ROUNDUP(X197/20,0),"Lần " &amp; ROUNDUP(X198/20,0),"")</f>
        <v/>
      </c>
      <c r="AJ198" s="11">
        <f>IF(ROUNDUP(Y198/20,0)&gt;ROUNDUP(Y197/20,0),"Lần " &amp; ROUNDUP(Y198/20,0),"")</f>
        <v/>
      </c>
      <c r="AK198" s="11">
        <f>IF(ROUNDUP(Z198/20,0)&gt;ROUNDUP(Z197/20,0),"Lần " &amp; ROUNDUP(Z198/20,0),"")</f>
        <v/>
      </c>
      <c r="AL198" s="6" t="n"/>
      <c r="AN198" t="inlineStr">
        <is>
          <t>Than</t>
        </is>
      </c>
      <c r="AO198" t="n">
        <v>45</v>
      </c>
    </row>
    <row r="199" ht="19" customHeight="1">
      <c r="A199" s="6" t="n">
        <v>191</v>
      </c>
      <c r="B199" s="7" t="inlineStr">
        <is>
          <t>Trụ T1, T2 (Xà mũ trụ)</t>
        </is>
      </c>
      <c r="C199" s="7" t="inlineStr">
        <is>
          <t>Xà mũ trụ T1 (tr.51)</t>
        </is>
      </c>
      <c r="D199" s="18" t="inlineStr">
        <is>
          <t>G2</t>
        </is>
      </c>
      <c r="E199" s="19" t="n">
        <v>6</v>
      </c>
      <c r="F199" s="6" t="inlineStr">
        <is>
          <t>CB240-T</t>
        </is>
      </c>
      <c r="G199" s="7" t="inlineStr"/>
      <c r="H199" s="20" t="n">
        <v>0.72</v>
      </c>
      <c r="I199" s="21" t="n">
        <v>100</v>
      </c>
      <c r="J199" s="22" t="n">
        <v>0.222</v>
      </c>
      <c r="K199" s="9">
        <f>ROUND(H199*I199*J199, 2)</f>
        <v/>
      </c>
      <c r="L199" s="23">
        <f>ROUND(K199/1000, 3)</f>
        <v/>
      </c>
      <c r="M199" s="8">
        <f>IF(AO199="","",IF(INDEX(Theo_Doi_Tan_Suat_Be_Tong!$C:$C,AO199)="","",INDEX(Theo_Doi_Tan_Suat_Be_Tong!$C:$C,AO199)-VLOOKUP(AN199,$AQ$2:$AR$7,2,FALSE)))</f>
        <v/>
      </c>
      <c r="N199" s="6" t="n"/>
      <c r="O199" s="24">
        <f>IF(ROUNDUP(P199/20,0)&gt;ROUNDUP(P198/20,0),"TN Ø10 (Lần " &amp; ROUNDUP(P199/20,0) &amp; ")","")</f>
        <v/>
      </c>
      <c r="P199" s="20">
        <f>ROUND(P198+IF(AND(E199&lt;=10,F199&lt;&gt;"ASTM A416"),L199,0),3)</f>
        <v/>
      </c>
      <c r="Q199" s="20">
        <f>ROUND(Q198+IF(AND(E199=12,F199&lt;&gt;"ASTM A416"),L199,0),3)</f>
        <v/>
      </c>
      <c r="R199" s="20">
        <f>ROUND(R198+IF(AND(E199=14,F199&lt;&gt;"ASTM A416"),L199,0),3)</f>
        <v/>
      </c>
      <c r="S199" s="20">
        <f>ROUND(S198+IF(AND(E199=16,F199&lt;&gt;"ASTM A416"),L199,0),3)</f>
        <v/>
      </c>
      <c r="T199" s="20">
        <f>ROUND(T198+IF(AND(E199=18,F199&lt;&gt;"ASTM A416"),L199,0),3)</f>
        <v/>
      </c>
      <c r="U199" s="20">
        <f>ROUND(U198+IF(AND(E199=20,F199&lt;&gt;"ASTM A416"),L199,0),3)</f>
        <v/>
      </c>
      <c r="V199" s="20">
        <f>ROUND(V198+IF(AND(E199=22,F199&lt;&gt;"ASTM A416"),L199,0),3)</f>
        <v/>
      </c>
      <c r="W199" s="20">
        <f>ROUND(W198+IF(AND(E199=25,F199&lt;&gt;"ASTM A416"),L199,0),3)</f>
        <v/>
      </c>
      <c r="X199" s="20">
        <f>ROUND(X198+IF(AND(E199=28,F199&lt;&gt;"ASTM A416"),L199,0),3)</f>
        <v/>
      </c>
      <c r="Y199" s="20">
        <f>ROUND(Y198+IF(AND(E199=32,F199&lt;&gt;"ASTM A416"),L199,0),3)</f>
        <v/>
      </c>
      <c r="Z199" s="20">
        <f>ROUND(Z198+IF(F199="ASTM A416",L199,0),3)</f>
        <v/>
      </c>
      <c r="AA199" s="11">
        <f>IF(ROUNDUP(P199/20,0)&gt;ROUNDUP(P198/20,0),"Lần " &amp; ROUNDUP(P199/20,0),"")</f>
        <v/>
      </c>
      <c r="AB199" s="11">
        <f>IF(ROUNDUP(Q199/20,0)&gt;ROUNDUP(Q198/20,0),"Lần " &amp; ROUNDUP(Q199/20,0),"")</f>
        <v/>
      </c>
      <c r="AC199" s="11">
        <f>IF(ROUNDUP(R199/20,0)&gt;ROUNDUP(R198/20,0),"Lần " &amp; ROUNDUP(R199/20,0),"")</f>
        <v/>
      </c>
      <c r="AD199" s="11">
        <f>IF(ROUNDUP(S199/20,0)&gt;ROUNDUP(S198/20,0),"Lần " &amp; ROUNDUP(S199/20,0),"")</f>
        <v/>
      </c>
      <c r="AE199" s="11">
        <f>IF(ROUNDUP(T199/20,0)&gt;ROUNDUP(T198/20,0),"Lần " &amp; ROUNDUP(T199/20,0),"")</f>
        <v/>
      </c>
      <c r="AF199" s="11">
        <f>IF(ROUNDUP(U199/20,0)&gt;ROUNDUP(U198/20,0),"Lần " &amp; ROUNDUP(U199/20,0),"")</f>
        <v/>
      </c>
      <c r="AG199" s="11">
        <f>IF(ROUNDUP(V199/20,0)&gt;ROUNDUP(V198/20,0),"Lần " &amp; ROUNDUP(V199/20,0),"")</f>
        <v/>
      </c>
      <c r="AH199" s="11">
        <f>IF(ROUNDUP(W199/20,0)&gt;ROUNDUP(W198/20,0),"Lần " &amp; ROUNDUP(W199/20,0),"")</f>
        <v/>
      </c>
      <c r="AI199" s="11">
        <f>IF(ROUNDUP(X199/20,0)&gt;ROUNDUP(X198/20,0),"Lần " &amp; ROUNDUP(X199/20,0),"")</f>
        <v/>
      </c>
      <c r="AJ199" s="11">
        <f>IF(ROUNDUP(Y199/20,0)&gt;ROUNDUP(Y198/20,0),"Lần " &amp; ROUNDUP(Y199/20,0),"")</f>
        <v/>
      </c>
      <c r="AK199" s="11">
        <f>IF(ROUNDUP(Z199/20,0)&gt;ROUNDUP(Z198/20,0),"Lần " &amp; ROUNDUP(Z199/20,0),"")</f>
        <v/>
      </c>
      <c r="AL199" s="6" t="n"/>
      <c r="AN199" t="inlineStr">
        <is>
          <t>Than</t>
        </is>
      </c>
      <c r="AO199" t="n">
        <v>45</v>
      </c>
    </row>
    <row r="200" ht="19" customHeight="1">
      <c r="A200" s="6" t="n">
        <v>192</v>
      </c>
      <c r="B200" s="7" t="inlineStr">
        <is>
          <t>Trụ T1, T2 (Xà mũ trụ)</t>
        </is>
      </c>
      <c r="C200" s="7" t="inlineStr">
        <is>
          <t>Xà mũ trụ T2 (tr.62)</t>
        </is>
      </c>
      <c r="D200" s="18" t="inlineStr">
        <is>
          <t>X1</t>
        </is>
      </c>
      <c r="E200" s="19" t="n">
        <v>32</v>
      </c>
      <c r="F200" s="6" t="inlineStr">
        <is>
          <t>CB400-V</t>
        </is>
      </c>
      <c r="G200" s="7" t="inlineStr"/>
      <c r="H200" s="20" t="n">
        <v>14.312</v>
      </c>
      <c r="I200" s="21" t="n">
        <v>15</v>
      </c>
      <c r="J200" s="22" t="n">
        <v>6.313</v>
      </c>
      <c r="K200" s="9">
        <f>ROUND(H200*I200*J200, 2)</f>
        <v/>
      </c>
      <c r="L200" s="23">
        <f>ROUND(K200/1000, 3)</f>
        <v/>
      </c>
      <c r="M200" s="8">
        <f>IF(AO200="","",IF(INDEX(Theo_Doi_Tan_Suat_Be_Tong!$C:$C,AO200)="","",INDEX(Theo_Doi_Tan_Suat_Be_Tong!$C:$C,AO200)-VLOOKUP(AN200,$AQ$2:$AR$7,2,FALSE)))</f>
        <v/>
      </c>
      <c r="N200" s="6" t="n"/>
      <c r="O200" s="24">
        <f>IF(ROUNDUP(Y200/20,0)&gt;ROUNDUP(Y199/20,0),"TN Ø32 (Lần " &amp; ROUNDUP(Y200/20,0) &amp; ")","")</f>
        <v/>
      </c>
      <c r="P200" s="20">
        <f>ROUND(P199+IF(AND(E200&lt;=10,F200&lt;&gt;"ASTM A416"),L200,0),3)</f>
        <v/>
      </c>
      <c r="Q200" s="20">
        <f>ROUND(Q199+IF(AND(E200=12,F200&lt;&gt;"ASTM A416"),L200,0),3)</f>
        <v/>
      </c>
      <c r="R200" s="20">
        <f>ROUND(R199+IF(AND(E200=14,F200&lt;&gt;"ASTM A416"),L200,0),3)</f>
        <v/>
      </c>
      <c r="S200" s="20">
        <f>ROUND(S199+IF(AND(E200=16,F200&lt;&gt;"ASTM A416"),L200,0),3)</f>
        <v/>
      </c>
      <c r="T200" s="20">
        <f>ROUND(T199+IF(AND(E200=18,F200&lt;&gt;"ASTM A416"),L200,0),3)</f>
        <v/>
      </c>
      <c r="U200" s="20">
        <f>ROUND(U199+IF(AND(E200=20,F200&lt;&gt;"ASTM A416"),L200,0),3)</f>
        <v/>
      </c>
      <c r="V200" s="20">
        <f>ROUND(V199+IF(AND(E200=22,F200&lt;&gt;"ASTM A416"),L200,0),3)</f>
        <v/>
      </c>
      <c r="W200" s="20">
        <f>ROUND(W199+IF(AND(E200=25,F200&lt;&gt;"ASTM A416"),L200,0),3)</f>
        <v/>
      </c>
      <c r="X200" s="20">
        <f>ROUND(X199+IF(AND(E200=28,F200&lt;&gt;"ASTM A416"),L200,0),3)</f>
        <v/>
      </c>
      <c r="Y200" s="20">
        <f>ROUND(Y199+IF(AND(E200=32,F200&lt;&gt;"ASTM A416"),L200,0),3)</f>
        <v/>
      </c>
      <c r="Z200" s="20">
        <f>ROUND(Z199+IF(F200="ASTM A416",L200,0),3)</f>
        <v/>
      </c>
      <c r="AA200" s="11">
        <f>IF(ROUNDUP(P200/20,0)&gt;ROUNDUP(P199/20,0),"Lần " &amp; ROUNDUP(P200/20,0),"")</f>
        <v/>
      </c>
      <c r="AB200" s="11">
        <f>IF(ROUNDUP(Q200/20,0)&gt;ROUNDUP(Q199/20,0),"Lần " &amp; ROUNDUP(Q200/20,0),"")</f>
        <v/>
      </c>
      <c r="AC200" s="11">
        <f>IF(ROUNDUP(R200/20,0)&gt;ROUNDUP(R199/20,0),"Lần " &amp; ROUNDUP(R200/20,0),"")</f>
        <v/>
      </c>
      <c r="AD200" s="11">
        <f>IF(ROUNDUP(S200/20,0)&gt;ROUNDUP(S199/20,0),"Lần " &amp; ROUNDUP(S200/20,0),"")</f>
        <v/>
      </c>
      <c r="AE200" s="11">
        <f>IF(ROUNDUP(T200/20,0)&gt;ROUNDUP(T199/20,0),"Lần " &amp; ROUNDUP(T200/20,0),"")</f>
        <v/>
      </c>
      <c r="AF200" s="11">
        <f>IF(ROUNDUP(U200/20,0)&gt;ROUNDUP(U199/20,0),"Lần " &amp; ROUNDUP(U200/20,0),"")</f>
        <v/>
      </c>
      <c r="AG200" s="11">
        <f>IF(ROUNDUP(V200/20,0)&gt;ROUNDUP(V199/20,0),"Lần " &amp; ROUNDUP(V200/20,0),"")</f>
        <v/>
      </c>
      <c r="AH200" s="11">
        <f>IF(ROUNDUP(W200/20,0)&gt;ROUNDUP(W199/20,0),"Lần " &amp; ROUNDUP(W200/20,0),"")</f>
        <v/>
      </c>
      <c r="AI200" s="11">
        <f>IF(ROUNDUP(X200/20,0)&gt;ROUNDUP(X199/20,0),"Lần " &amp; ROUNDUP(X200/20,0),"")</f>
        <v/>
      </c>
      <c r="AJ200" s="11">
        <f>IF(ROUNDUP(Y200/20,0)&gt;ROUNDUP(Y199/20,0),"Lần " &amp; ROUNDUP(Y200/20,0),"")</f>
        <v/>
      </c>
      <c r="AK200" s="11">
        <f>IF(ROUNDUP(Z200/20,0)&gt;ROUNDUP(Z199/20,0),"Lần " &amp; ROUNDUP(Z200/20,0),"")</f>
        <v/>
      </c>
      <c r="AL200" s="6" t="n"/>
      <c r="AN200" t="inlineStr">
        <is>
          <t>Than</t>
        </is>
      </c>
      <c r="AO200" t="n">
        <v>49</v>
      </c>
    </row>
    <row r="201" ht="19" customHeight="1">
      <c r="A201" s="6" t="n">
        <v>193</v>
      </c>
      <c r="B201" s="7" t="inlineStr">
        <is>
          <t>Trụ T1, T2 (Xà mũ trụ)</t>
        </is>
      </c>
      <c r="C201" s="7" t="inlineStr">
        <is>
          <t>Xà mũ trụ T2 (tr.62)</t>
        </is>
      </c>
      <c r="D201" s="18" t="inlineStr">
        <is>
          <t>X1A</t>
        </is>
      </c>
      <c r="E201" s="19" t="n">
        <v>32</v>
      </c>
      <c r="F201" s="6" t="inlineStr">
        <is>
          <t>CB400-V</t>
        </is>
      </c>
      <c r="G201" s="7" t="inlineStr"/>
      <c r="H201" s="20" t="n">
        <v>13.48</v>
      </c>
      <c r="I201" s="21" t="n">
        <v>15</v>
      </c>
      <c r="J201" s="22" t="n">
        <v>6.313</v>
      </c>
      <c r="K201" s="9">
        <f>ROUND(H201*I201*J201, 2)</f>
        <v/>
      </c>
      <c r="L201" s="23">
        <f>ROUND(K201/1000, 3)</f>
        <v/>
      </c>
      <c r="M201" s="8">
        <f>IF(AO201="","",IF(INDEX(Theo_Doi_Tan_Suat_Be_Tong!$C:$C,AO201)="","",INDEX(Theo_Doi_Tan_Suat_Be_Tong!$C:$C,AO201)-VLOOKUP(AN201,$AQ$2:$AR$7,2,FALSE)))</f>
        <v/>
      </c>
      <c r="N201" s="6" t="n"/>
      <c r="O201" s="24">
        <f>IF(ROUNDUP(Y201/20,0)&gt;ROUNDUP(Y200/20,0),"TN Ø32 (Lần " &amp; ROUNDUP(Y201/20,0) &amp; ")","")</f>
        <v/>
      </c>
      <c r="P201" s="20">
        <f>ROUND(P200+IF(AND(E201&lt;=10,F201&lt;&gt;"ASTM A416"),L201,0),3)</f>
        <v/>
      </c>
      <c r="Q201" s="20">
        <f>ROUND(Q200+IF(AND(E201=12,F201&lt;&gt;"ASTM A416"),L201,0),3)</f>
        <v/>
      </c>
      <c r="R201" s="20">
        <f>ROUND(R200+IF(AND(E201=14,F201&lt;&gt;"ASTM A416"),L201,0),3)</f>
        <v/>
      </c>
      <c r="S201" s="20">
        <f>ROUND(S200+IF(AND(E201=16,F201&lt;&gt;"ASTM A416"),L201,0),3)</f>
        <v/>
      </c>
      <c r="T201" s="20">
        <f>ROUND(T200+IF(AND(E201=18,F201&lt;&gt;"ASTM A416"),L201,0),3)</f>
        <v/>
      </c>
      <c r="U201" s="20">
        <f>ROUND(U200+IF(AND(E201=20,F201&lt;&gt;"ASTM A416"),L201,0),3)</f>
        <v/>
      </c>
      <c r="V201" s="20">
        <f>ROUND(V200+IF(AND(E201=22,F201&lt;&gt;"ASTM A416"),L201,0),3)</f>
        <v/>
      </c>
      <c r="W201" s="20">
        <f>ROUND(W200+IF(AND(E201=25,F201&lt;&gt;"ASTM A416"),L201,0),3)</f>
        <v/>
      </c>
      <c r="X201" s="20">
        <f>ROUND(X200+IF(AND(E201=28,F201&lt;&gt;"ASTM A416"),L201,0),3)</f>
        <v/>
      </c>
      <c r="Y201" s="20">
        <f>ROUND(Y200+IF(AND(E201=32,F201&lt;&gt;"ASTM A416"),L201,0),3)</f>
        <v/>
      </c>
      <c r="Z201" s="20">
        <f>ROUND(Z200+IF(F201="ASTM A416",L201,0),3)</f>
        <v/>
      </c>
      <c r="AA201" s="11">
        <f>IF(ROUNDUP(P201/20,0)&gt;ROUNDUP(P200/20,0),"Lần " &amp; ROUNDUP(P201/20,0),"")</f>
        <v/>
      </c>
      <c r="AB201" s="11">
        <f>IF(ROUNDUP(Q201/20,0)&gt;ROUNDUP(Q200/20,0),"Lần " &amp; ROUNDUP(Q201/20,0),"")</f>
        <v/>
      </c>
      <c r="AC201" s="11">
        <f>IF(ROUNDUP(R201/20,0)&gt;ROUNDUP(R200/20,0),"Lần " &amp; ROUNDUP(R201/20,0),"")</f>
        <v/>
      </c>
      <c r="AD201" s="11">
        <f>IF(ROUNDUP(S201/20,0)&gt;ROUNDUP(S200/20,0),"Lần " &amp; ROUNDUP(S201/20,0),"")</f>
        <v/>
      </c>
      <c r="AE201" s="11">
        <f>IF(ROUNDUP(T201/20,0)&gt;ROUNDUP(T200/20,0),"Lần " &amp; ROUNDUP(T201/20,0),"")</f>
        <v/>
      </c>
      <c r="AF201" s="11">
        <f>IF(ROUNDUP(U201/20,0)&gt;ROUNDUP(U200/20,0),"Lần " &amp; ROUNDUP(U201/20,0),"")</f>
        <v/>
      </c>
      <c r="AG201" s="11">
        <f>IF(ROUNDUP(V201/20,0)&gt;ROUNDUP(V200/20,0),"Lần " &amp; ROUNDUP(V201/20,0),"")</f>
        <v/>
      </c>
      <c r="AH201" s="11">
        <f>IF(ROUNDUP(W201/20,0)&gt;ROUNDUP(W200/20,0),"Lần " &amp; ROUNDUP(W201/20,0),"")</f>
        <v/>
      </c>
      <c r="AI201" s="11">
        <f>IF(ROUNDUP(X201/20,0)&gt;ROUNDUP(X200/20,0),"Lần " &amp; ROUNDUP(X201/20,0),"")</f>
        <v/>
      </c>
      <c r="AJ201" s="11">
        <f>IF(ROUNDUP(Y201/20,0)&gt;ROUNDUP(Y200/20,0),"Lần " &amp; ROUNDUP(Y201/20,0),"")</f>
        <v/>
      </c>
      <c r="AK201" s="11">
        <f>IF(ROUNDUP(Z201/20,0)&gt;ROUNDUP(Z200/20,0),"Lần " &amp; ROUNDUP(Z201/20,0),"")</f>
        <v/>
      </c>
      <c r="AL201" s="6" t="n"/>
      <c r="AN201" t="inlineStr">
        <is>
          <t>Than</t>
        </is>
      </c>
      <c r="AO201" t="n">
        <v>49</v>
      </c>
    </row>
    <row r="202" ht="19" customHeight="1">
      <c r="A202" s="6" t="n">
        <v>194</v>
      </c>
      <c r="B202" s="7" t="inlineStr">
        <is>
          <t>Trụ T1, T2 (Xà mũ trụ)</t>
        </is>
      </c>
      <c r="C202" s="7" t="inlineStr">
        <is>
          <t>Xà mũ trụ T2 (tr.62)</t>
        </is>
      </c>
      <c r="D202" s="18" t="inlineStr">
        <is>
          <t>X2</t>
        </is>
      </c>
      <c r="E202" s="19" t="n">
        <v>16</v>
      </c>
      <c r="F202" s="6" t="inlineStr">
        <is>
          <t>CB400-V</t>
        </is>
      </c>
      <c r="G202" s="7" t="inlineStr"/>
      <c r="H202" s="20" t="n">
        <v>13.139</v>
      </c>
      <c r="I202" s="21" t="n">
        <v>24</v>
      </c>
      <c r="J202" s="22" t="n">
        <v>1.578</v>
      </c>
      <c r="K202" s="9">
        <f>ROUND(H202*I202*J202, 2)</f>
        <v/>
      </c>
      <c r="L202" s="23">
        <f>ROUND(K202/1000, 3)</f>
        <v/>
      </c>
      <c r="M202" s="8">
        <f>IF(AO202="","",IF(INDEX(Theo_Doi_Tan_Suat_Be_Tong!$C:$C,AO202)="","",INDEX(Theo_Doi_Tan_Suat_Be_Tong!$C:$C,AO202)-VLOOKUP(AN202,$AQ$2:$AR$7,2,FALSE)))</f>
        <v/>
      </c>
      <c r="N202" s="6" t="n"/>
      <c r="O202" s="24">
        <f>IF(ROUNDUP(S202/20,0)&gt;ROUNDUP(S201/20,0),"TN Ø16 (Lần " &amp; ROUNDUP(S202/20,0) &amp; ")","")</f>
        <v/>
      </c>
      <c r="P202" s="20">
        <f>ROUND(P201+IF(AND(E202&lt;=10,F202&lt;&gt;"ASTM A416"),L202,0),3)</f>
        <v/>
      </c>
      <c r="Q202" s="20">
        <f>ROUND(Q201+IF(AND(E202=12,F202&lt;&gt;"ASTM A416"),L202,0),3)</f>
        <v/>
      </c>
      <c r="R202" s="20">
        <f>ROUND(R201+IF(AND(E202=14,F202&lt;&gt;"ASTM A416"),L202,0),3)</f>
        <v/>
      </c>
      <c r="S202" s="20">
        <f>ROUND(S201+IF(AND(E202=16,F202&lt;&gt;"ASTM A416"),L202,0),3)</f>
        <v/>
      </c>
      <c r="T202" s="20">
        <f>ROUND(T201+IF(AND(E202=18,F202&lt;&gt;"ASTM A416"),L202,0),3)</f>
        <v/>
      </c>
      <c r="U202" s="20">
        <f>ROUND(U201+IF(AND(E202=20,F202&lt;&gt;"ASTM A416"),L202,0),3)</f>
        <v/>
      </c>
      <c r="V202" s="20">
        <f>ROUND(V201+IF(AND(E202=22,F202&lt;&gt;"ASTM A416"),L202,0),3)</f>
        <v/>
      </c>
      <c r="W202" s="20">
        <f>ROUND(W201+IF(AND(E202=25,F202&lt;&gt;"ASTM A416"),L202,0),3)</f>
        <v/>
      </c>
      <c r="X202" s="20">
        <f>ROUND(X201+IF(AND(E202=28,F202&lt;&gt;"ASTM A416"),L202,0),3)</f>
        <v/>
      </c>
      <c r="Y202" s="20">
        <f>ROUND(Y201+IF(AND(E202=32,F202&lt;&gt;"ASTM A416"),L202,0),3)</f>
        <v/>
      </c>
      <c r="Z202" s="20">
        <f>ROUND(Z201+IF(F202="ASTM A416",L202,0),3)</f>
        <v/>
      </c>
      <c r="AA202" s="11">
        <f>IF(ROUNDUP(P202/20,0)&gt;ROUNDUP(P201/20,0),"Lần " &amp; ROUNDUP(P202/20,0),"")</f>
        <v/>
      </c>
      <c r="AB202" s="11">
        <f>IF(ROUNDUP(Q202/20,0)&gt;ROUNDUP(Q201/20,0),"Lần " &amp; ROUNDUP(Q202/20,0),"")</f>
        <v/>
      </c>
      <c r="AC202" s="11">
        <f>IF(ROUNDUP(R202/20,0)&gt;ROUNDUP(R201/20,0),"Lần " &amp; ROUNDUP(R202/20,0),"")</f>
        <v/>
      </c>
      <c r="AD202" s="11">
        <f>IF(ROUNDUP(S202/20,0)&gt;ROUNDUP(S201/20,0),"Lần " &amp; ROUNDUP(S202/20,0),"")</f>
        <v/>
      </c>
      <c r="AE202" s="11">
        <f>IF(ROUNDUP(T202/20,0)&gt;ROUNDUP(T201/20,0),"Lần " &amp; ROUNDUP(T202/20,0),"")</f>
        <v/>
      </c>
      <c r="AF202" s="11">
        <f>IF(ROUNDUP(U202/20,0)&gt;ROUNDUP(U201/20,0),"Lần " &amp; ROUNDUP(U202/20,0),"")</f>
        <v/>
      </c>
      <c r="AG202" s="11">
        <f>IF(ROUNDUP(V202/20,0)&gt;ROUNDUP(V201/20,0),"Lần " &amp; ROUNDUP(V202/20,0),"")</f>
        <v/>
      </c>
      <c r="AH202" s="11">
        <f>IF(ROUNDUP(W202/20,0)&gt;ROUNDUP(W201/20,0),"Lần " &amp; ROUNDUP(W202/20,0),"")</f>
        <v/>
      </c>
      <c r="AI202" s="11">
        <f>IF(ROUNDUP(X202/20,0)&gt;ROUNDUP(X201/20,0),"Lần " &amp; ROUNDUP(X202/20,0),"")</f>
        <v/>
      </c>
      <c r="AJ202" s="11">
        <f>IF(ROUNDUP(Y202/20,0)&gt;ROUNDUP(Y201/20,0),"Lần " &amp; ROUNDUP(Y202/20,0),"")</f>
        <v/>
      </c>
      <c r="AK202" s="11">
        <f>IF(ROUNDUP(Z202/20,0)&gt;ROUNDUP(Z201/20,0),"Lần " &amp; ROUNDUP(Z202/20,0),"")</f>
        <v/>
      </c>
      <c r="AL202" s="6" t="n"/>
      <c r="AN202" t="inlineStr">
        <is>
          <t>Than</t>
        </is>
      </c>
      <c r="AO202" t="n">
        <v>49</v>
      </c>
    </row>
    <row r="203" ht="19" customHeight="1">
      <c r="A203" s="6" t="n">
        <v>195</v>
      </c>
      <c r="B203" s="7" t="inlineStr">
        <is>
          <t>Trụ T1, T2 (Xà mũ trụ)</t>
        </is>
      </c>
      <c r="C203" s="7" t="inlineStr">
        <is>
          <t>Xà mũ trụ T2 (tr.62)</t>
        </is>
      </c>
      <c r="D203" s="18" t="inlineStr">
        <is>
          <t>EX</t>
        </is>
      </c>
      <c r="E203" s="19" t="n">
        <v>25</v>
      </c>
      <c r="F203" s="6" t="inlineStr">
        <is>
          <t>CB400-V</t>
        </is>
      </c>
      <c r="G203" s="7" t="inlineStr"/>
      <c r="H203" s="20" t="n">
        <v>7.468</v>
      </c>
      <c r="I203" s="21" t="n">
        <v>158</v>
      </c>
      <c r="J203" s="22" t="n">
        <v>3.853</v>
      </c>
      <c r="K203" s="9">
        <f>ROUND(H203*I203*J203, 2)</f>
        <v/>
      </c>
      <c r="L203" s="23">
        <f>ROUND(K203/1000, 3)</f>
        <v/>
      </c>
      <c r="M203" s="8">
        <f>IF(AO203="","",IF(INDEX(Theo_Doi_Tan_Suat_Be_Tong!$C:$C,AO203)="","",INDEX(Theo_Doi_Tan_Suat_Be_Tong!$C:$C,AO203)-VLOOKUP(AN203,$AQ$2:$AR$7,2,FALSE)))</f>
        <v/>
      </c>
      <c r="N203" s="6" t="n"/>
      <c r="O203" s="24">
        <f>IF(ROUNDUP(W203/20,0)&gt;ROUNDUP(W202/20,0),"TN Ø25 (Lần " &amp; ROUNDUP(W203/20,0) &amp; ")","")</f>
        <v/>
      </c>
      <c r="P203" s="20">
        <f>ROUND(P202+IF(AND(E203&lt;=10,F203&lt;&gt;"ASTM A416"),L203,0),3)</f>
        <v/>
      </c>
      <c r="Q203" s="20">
        <f>ROUND(Q202+IF(AND(E203=12,F203&lt;&gt;"ASTM A416"),L203,0),3)</f>
        <v/>
      </c>
      <c r="R203" s="20">
        <f>ROUND(R202+IF(AND(E203=14,F203&lt;&gt;"ASTM A416"),L203,0),3)</f>
        <v/>
      </c>
      <c r="S203" s="20">
        <f>ROUND(S202+IF(AND(E203=16,F203&lt;&gt;"ASTM A416"),L203,0),3)</f>
        <v/>
      </c>
      <c r="T203" s="20">
        <f>ROUND(T202+IF(AND(E203=18,F203&lt;&gt;"ASTM A416"),L203,0),3)</f>
        <v/>
      </c>
      <c r="U203" s="20">
        <f>ROUND(U202+IF(AND(E203=20,F203&lt;&gt;"ASTM A416"),L203,0),3)</f>
        <v/>
      </c>
      <c r="V203" s="20">
        <f>ROUND(V202+IF(AND(E203=22,F203&lt;&gt;"ASTM A416"),L203,0),3)</f>
        <v/>
      </c>
      <c r="W203" s="20">
        <f>ROUND(W202+IF(AND(E203=25,F203&lt;&gt;"ASTM A416"),L203,0),3)</f>
        <v/>
      </c>
      <c r="X203" s="20">
        <f>ROUND(X202+IF(AND(E203=28,F203&lt;&gt;"ASTM A416"),L203,0),3)</f>
        <v/>
      </c>
      <c r="Y203" s="20">
        <f>ROUND(Y202+IF(AND(E203=32,F203&lt;&gt;"ASTM A416"),L203,0),3)</f>
        <v/>
      </c>
      <c r="Z203" s="20">
        <f>ROUND(Z202+IF(F203="ASTM A416",L203,0),3)</f>
        <v/>
      </c>
      <c r="AA203" s="11">
        <f>IF(ROUNDUP(P203/20,0)&gt;ROUNDUP(P202/20,0),"Lần " &amp; ROUNDUP(P203/20,0),"")</f>
        <v/>
      </c>
      <c r="AB203" s="11">
        <f>IF(ROUNDUP(Q203/20,0)&gt;ROUNDUP(Q202/20,0),"Lần " &amp; ROUNDUP(Q203/20,0),"")</f>
        <v/>
      </c>
      <c r="AC203" s="11">
        <f>IF(ROUNDUP(R203/20,0)&gt;ROUNDUP(R202/20,0),"Lần " &amp; ROUNDUP(R203/20,0),"")</f>
        <v/>
      </c>
      <c r="AD203" s="11">
        <f>IF(ROUNDUP(S203/20,0)&gt;ROUNDUP(S202/20,0),"Lần " &amp; ROUNDUP(S203/20,0),"")</f>
        <v/>
      </c>
      <c r="AE203" s="11">
        <f>IF(ROUNDUP(T203/20,0)&gt;ROUNDUP(T202/20,0),"Lần " &amp; ROUNDUP(T203/20,0),"")</f>
        <v/>
      </c>
      <c r="AF203" s="11">
        <f>IF(ROUNDUP(U203/20,0)&gt;ROUNDUP(U202/20,0),"Lần " &amp; ROUNDUP(U203/20,0),"")</f>
        <v/>
      </c>
      <c r="AG203" s="11">
        <f>IF(ROUNDUP(V203/20,0)&gt;ROUNDUP(V202/20,0),"Lần " &amp; ROUNDUP(V203/20,0),"")</f>
        <v/>
      </c>
      <c r="AH203" s="11">
        <f>IF(ROUNDUP(W203/20,0)&gt;ROUNDUP(W202/20,0),"Lần " &amp; ROUNDUP(W203/20,0),"")</f>
        <v/>
      </c>
      <c r="AI203" s="11">
        <f>IF(ROUNDUP(X203/20,0)&gt;ROUNDUP(X202/20,0),"Lần " &amp; ROUNDUP(X203/20,0),"")</f>
        <v/>
      </c>
      <c r="AJ203" s="11">
        <f>IF(ROUNDUP(Y203/20,0)&gt;ROUNDUP(Y202/20,0),"Lần " &amp; ROUNDUP(Y203/20,0),"")</f>
        <v/>
      </c>
      <c r="AK203" s="11">
        <f>IF(ROUNDUP(Z203/20,0)&gt;ROUNDUP(Z202/20,0),"Lần " &amp; ROUNDUP(Z203/20,0),"")</f>
        <v/>
      </c>
      <c r="AL203" s="6" t="n"/>
      <c r="AN203" t="inlineStr">
        <is>
          <t>Than</t>
        </is>
      </c>
      <c r="AO203" t="n">
        <v>49</v>
      </c>
    </row>
    <row r="204" ht="19" customHeight="1">
      <c r="A204" s="6" t="n">
        <v>196</v>
      </c>
      <c r="B204" s="7" t="inlineStr">
        <is>
          <t>Trụ T1, T2 (Xà mũ trụ)</t>
        </is>
      </c>
      <c r="C204" s="7" t="inlineStr">
        <is>
          <t>Xà mũ trụ T2 (tr.62)</t>
        </is>
      </c>
      <c r="D204" s="18" t="inlineStr">
        <is>
          <t>(?)</t>
        </is>
      </c>
      <c r="E204" s="19" t="n">
        <v>16</v>
      </c>
      <c r="F204" s="6" t="inlineStr">
        <is>
          <t>CB400-V</t>
        </is>
      </c>
      <c r="G204" s="7" t="inlineStr"/>
      <c r="H204" s="20" t="n">
        <v>3.6</v>
      </c>
      <c r="I204" s="21" t="n">
        <v>158</v>
      </c>
      <c r="J204" s="22" t="n">
        <v>1.578</v>
      </c>
      <c r="K204" s="9">
        <f>ROUND(H204*I204*J204, 2)</f>
        <v/>
      </c>
      <c r="L204" s="23">
        <f>ROUND(K204/1000, 3)</f>
        <v/>
      </c>
      <c r="M204" s="8">
        <f>IF(AO204="","",IF(INDEX(Theo_Doi_Tan_Suat_Be_Tong!$C:$C,AO204)="","",INDEX(Theo_Doi_Tan_Suat_Be_Tong!$C:$C,AO204)-VLOOKUP(AN204,$AQ$2:$AR$7,2,FALSE)))</f>
        <v/>
      </c>
      <c r="N204" s="6" t="n"/>
      <c r="O204" s="24">
        <f>IF(ROUNDUP(S204/20,0)&gt;ROUNDUP(S203/20,0),"TN Ø16 (Lần " &amp; ROUNDUP(S204/20,0) &amp; ")","")</f>
        <v/>
      </c>
      <c r="P204" s="20">
        <f>ROUND(P203+IF(AND(E204&lt;=10,F204&lt;&gt;"ASTM A416"),L204,0),3)</f>
        <v/>
      </c>
      <c r="Q204" s="20">
        <f>ROUND(Q203+IF(AND(E204=12,F204&lt;&gt;"ASTM A416"),L204,0),3)</f>
        <v/>
      </c>
      <c r="R204" s="20">
        <f>ROUND(R203+IF(AND(E204=14,F204&lt;&gt;"ASTM A416"),L204,0),3)</f>
        <v/>
      </c>
      <c r="S204" s="20">
        <f>ROUND(S203+IF(AND(E204=16,F204&lt;&gt;"ASTM A416"),L204,0),3)</f>
        <v/>
      </c>
      <c r="T204" s="20">
        <f>ROUND(T203+IF(AND(E204=18,F204&lt;&gt;"ASTM A416"),L204,0),3)</f>
        <v/>
      </c>
      <c r="U204" s="20">
        <f>ROUND(U203+IF(AND(E204=20,F204&lt;&gt;"ASTM A416"),L204,0),3)</f>
        <v/>
      </c>
      <c r="V204" s="20">
        <f>ROUND(V203+IF(AND(E204=22,F204&lt;&gt;"ASTM A416"),L204,0),3)</f>
        <v/>
      </c>
      <c r="W204" s="20">
        <f>ROUND(W203+IF(AND(E204=25,F204&lt;&gt;"ASTM A416"),L204,0),3)</f>
        <v/>
      </c>
      <c r="X204" s="20">
        <f>ROUND(X203+IF(AND(E204=28,F204&lt;&gt;"ASTM A416"),L204,0),3)</f>
        <v/>
      </c>
      <c r="Y204" s="20">
        <f>ROUND(Y203+IF(AND(E204=32,F204&lt;&gt;"ASTM A416"),L204,0),3)</f>
        <v/>
      </c>
      <c r="Z204" s="20">
        <f>ROUND(Z203+IF(F204="ASTM A416",L204,0),3)</f>
        <v/>
      </c>
      <c r="AA204" s="11">
        <f>IF(ROUNDUP(P204/20,0)&gt;ROUNDUP(P203/20,0),"Lần " &amp; ROUNDUP(P204/20,0),"")</f>
        <v/>
      </c>
      <c r="AB204" s="11">
        <f>IF(ROUNDUP(Q204/20,0)&gt;ROUNDUP(Q203/20,0),"Lần " &amp; ROUNDUP(Q204/20,0),"")</f>
        <v/>
      </c>
      <c r="AC204" s="11">
        <f>IF(ROUNDUP(R204/20,0)&gt;ROUNDUP(R203/20,0),"Lần " &amp; ROUNDUP(R204/20,0),"")</f>
        <v/>
      </c>
      <c r="AD204" s="11">
        <f>IF(ROUNDUP(S204/20,0)&gt;ROUNDUP(S203/20,0),"Lần " &amp; ROUNDUP(S204/20,0),"")</f>
        <v/>
      </c>
      <c r="AE204" s="11">
        <f>IF(ROUNDUP(T204/20,0)&gt;ROUNDUP(T203/20,0),"Lần " &amp; ROUNDUP(T204/20,0),"")</f>
        <v/>
      </c>
      <c r="AF204" s="11">
        <f>IF(ROUNDUP(U204/20,0)&gt;ROUNDUP(U203/20,0),"Lần " &amp; ROUNDUP(U204/20,0),"")</f>
        <v/>
      </c>
      <c r="AG204" s="11">
        <f>IF(ROUNDUP(V204/20,0)&gt;ROUNDUP(V203/20,0),"Lần " &amp; ROUNDUP(V204/20,0),"")</f>
        <v/>
      </c>
      <c r="AH204" s="11">
        <f>IF(ROUNDUP(W204/20,0)&gt;ROUNDUP(W203/20,0),"Lần " &amp; ROUNDUP(W204/20,0),"")</f>
        <v/>
      </c>
      <c r="AI204" s="11">
        <f>IF(ROUNDUP(X204/20,0)&gt;ROUNDUP(X203/20,0),"Lần " &amp; ROUNDUP(X204/20,0),"")</f>
        <v/>
      </c>
      <c r="AJ204" s="11">
        <f>IF(ROUNDUP(Y204/20,0)&gt;ROUNDUP(Y203/20,0),"Lần " &amp; ROUNDUP(Y204/20,0),"")</f>
        <v/>
      </c>
      <c r="AK204" s="11">
        <f>IF(ROUNDUP(Z204/20,0)&gt;ROUNDUP(Z203/20,0),"Lần " &amp; ROUNDUP(Z204/20,0),"")</f>
        <v/>
      </c>
      <c r="AL204" s="6" t="n"/>
      <c r="AN204" t="inlineStr">
        <is>
          <t>Than</t>
        </is>
      </c>
      <c r="AO204" t="n">
        <v>49</v>
      </c>
    </row>
    <row r="205" ht="19" customHeight="1">
      <c r="A205" s="6" t="n">
        <v>197</v>
      </c>
      <c r="B205" s="7" t="inlineStr">
        <is>
          <t>Trụ T1, T2 (Xà mũ trụ)</t>
        </is>
      </c>
      <c r="C205" s="7" t="inlineStr">
        <is>
          <t>Xà mũ trụ T2 (tr.62)</t>
        </is>
      </c>
      <c r="D205" s="18" t="inlineStr">
        <is>
          <t>X5</t>
        </is>
      </c>
      <c r="E205" s="19" t="n">
        <v>25</v>
      </c>
      <c r="F205" s="6" t="inlineStr">
        <is>
          <t>CB400-V</t>
        </is>
      </c>
      <c r="G205" s="7" t="inlineStr"/>
      <c r="H205" s="20" t="n">
        <v>13.608</v>
      </c>
      <c r="I205" s="21" t="n">
        <v>12</v>
      </c>
      <c r="J205" s="22" t="n">
        <v>3.853</v>
      </c>
      <c r="K205" s="9">
        <f>ROUND(H205*I205*J205, 2)</f>
        <v/>
      </c>
      <c r="L205" s="23">
        <f>ROUND(K205/1000, 3)</f>
        <v/>
      </c>
      <c r="M205" s="8">
        <f>IF(AO205="","",IF(INDEX(Theo_Doi_Tan_Suat_Be_Tong!$C:$C,AO205)="","",INDEX(Theo_Doi_Tan_Suat_Be_Tong!$C:$C,AO205)-VLOOKUP(AN205,$AQ$2:$AR$7,2,FALSE)))</f>
        <v/>
      </c>
      <c r="N205" s="6" t="n"/>
      <c r="O205" s="24">
        <f>IF(ROUNDUP(W205/20,0)&gt;ROUNDUP(W204/20,0),"TN Ø25 (Lần " &amp; ROUNDUP(W205/20,0) &amp; ")","")</f>
        <v/>
      </c>
      <c r="P205" s="20">
        <f>ROUND(P204+IF(AND(E205&lt;=10,F205&lt;&gt;"ASTM A416"),L205,0),3)</f>
        <v/>
      </c>
      <c r="Q205" s="20">
        <f>ROUND(Q204+IF(AND(E205=12,F205&lt;&gt;"ASTM A416"),L205,0),3)</f>
        <v/>
      </c>
      <c r="R205" s="20">
        <f>ROUND(R204+IF(AND(E205=14,F205&lt;&gt;"ASTM A416"),L205,0),3)</f>
        <v/>
      </c>
      <c r="S205" s="20">
        <f>ROUND(S204+IF(AND(E205=16,F205&lt;&gt;"ASTM A416"),L205,0),3)</f>
        <v/>
      </c>
      <c r="T205" s="20">
        <f>ROUND(T204+IF(AND(E205=18,F205&lt;&gt;"ASTM A416"),L205,0),3)</f>
        <v/>
      </c>
      <c r="U205" s="20">
        <f>ROUND(U204+IF(AND(E205=20,F205&lt;&gt;"ASTM A416"),L205,0),3)</f>
        <v/>
      </c>
      <c r="V205" s="20">
        <f>ROUND(V204+IF(AND(E205=22,F205&lt;&gt;"ASTM A416"),L205,0),3)</f>
        <v/>
      </c>
      <c r="W205" s="20">
        <f>ROUND(W204+IF(AND(E205=25,F205&lt;&gt;"ASTM A416"),L205,0),3)</f>
        <v/>
      </c>
      <c r="X205" s="20">
        <f>ROUND(X204+IF(AND(E205=28,F205&lt;&gt;"ASTM A416"),L205,0),3)</f>
        <v/>
      </c>
      <c r="Y205" s="20">
        <f>ROUND(Y204+IF(AND(E205=32,F205&lt;&gt;"ASTM A416"),L205,0),3)</f>
        <v/>
      </c>
      <c r="Z205" s="20">
        <f>ROUND(Z204+IF(F205="ASTM A416",L205,0),3)</f>
        <v/>
      </c>
      <c r="AA205" s="11">
        <f>IF(ROUNDUP(P205/20,0)&gt;ROUNDUP(P204/20,0),"Lần " &amp; ROUNDUP(P205/20,0),"")</f>
        <v/>
      </c>
      <c r="AB205" s="11">
        <f>IF(ROUNDUP(Q205/20,0)&gt;ROUNDUP(Q204/20,0),"Lần " &amp; ROUNDUP(Q205/20,0),"")</f>
        <v/>
      </c>
      <c r="AC205" s="11">
        <f>IF(ROUNDUP(R205/20,0)&gt;ROUNDUP(R204/20,0),"Lần " &amp; ROUNDUP(R205/20,0),"")</f>
        <v/>
      </c>
      <c r="AD205" s="11">
        <f>IF(ROUNDUP(S205/20,0)&gt;ROUNDUP(S204/20,0),"Lần " &amp; ROUNDUP(S205/20,0),"")</f>
        <v/>
      </c>
      <c r="AE205" s="11">
        <f>IF(ROUNDUP(T205/20,0)&gt;ROUNDUP(T204/20,0),"Lần " &amp; ROUNDUP(T205/20,0),"")</f>
        <v/>
      </c>
      <c r="AF205" s="11">
        <f>IF(ROUNDUP(U205/20,0)&gt;ROUNDUP(U204/20,0),"Lần " &amp; ROUNDUP(U205/20,0),"")</f>
        <v/>
      </c>
      <c r="AG205" s="11">
        <f>IF(ROUNDUP(V205/20,0)&gt;ROUNDUP(V204/20,0),"Lần " &amp; ROUNDUP(V205/20,0),"")</f>
        <v/>
      </c>
      <c r="AH205" s="11">
        <f>IF(ROUNDUP(W205/20,0)&gt;ROUNDUP(W204/20,0),"Lần " &amp; ROUNDUP(W205/20,0),"")</f>
        <v/>
      </c>
      <c r="AI205" s="11">
        <f>IF(ROUNDUP(X205/20,0)&gt;ROUNDUP(X204/20,0),"Lần " &amp; ROUNDUP(X205/20,0),"")</f>
        <v/>
      </c>
      <c r="AJ205" s="11">
        <f>IF(ROUNDUP(Y205/20,0)&gt;ROUNDUP(Y204/20,0),"Lần " &amp; ROUNDUP(Y205/20,0),"")</f>
        <v/>
      </c>
      <c r="AK205" s="11">
        <f>IF(ROUNDUP(Z205/20,0)&gt;ROUNDUP(Z204/20,0),"Lần " &amp; ROUNDUP(Z205/20,0),"")</f>
        <v/>
      </c>
      <c r="AL205" s="6" t="n"/>
      <c r="AN205" t="inlineStr">
        <is>
          <t>Than</t>
        </is>
      </c>
      <c r="AO205" t="n">
        <v>49</v>
      </c>
    </row>
    <row r="206" ht="19" customHeight="1">
      <c r="A206" s="6" t="n">
        <v>198</v>
      </c>
      <c r="B206" s="7" t="inlineStr">
        <is>
          <t>Trụ T1, T2 (Xà mũ trụ)</t>
        </is>
      </c>
      <c r="C206" s="7" t="inlineStr">
        <is>
          <t>Xà mũ trụ T2 (tr.62)</t>
        </is>
      </c>
      <c r="D206" s="18" t="inlineStr">
        <is>
          <t>X5A</t>
        </is>
      </c>
      <c r="E206" s="19" t="n">
        <v>16</v>
      </c>
      <c r="F206" s="6" t="inlineStr">
        <is>
          <t>CB400-V</t>
        </is>
      </c>
      <c r="G206" s="7" t="inlineStr"/>
      <c r="H206" s="20" t="n">
        <v>13.005</v>
      </c>
      <c r="I206" s="21" t="n">
        <v>10</v>
      </c>
      <c r="J206" s="22" t="n">
        <v>1.578</v>
      </c>
      <c r="K206" s="9">
        <f>ROUND(H206*I206*J206, 2)</f>
        <v/>
      </c>
      <c r="L206" s="23">
        <f>ROUND(K206/1000, 3)</f>
        <v/>
      </c>
      <c r="M206" s="8">
        <f>IF(AO206="","",IF(INDEX(Theo_Doi_Tan_Suat_Be_Tong!$C:$C,AO206)="","",INDEX(Theo_Doi_Tan_Suat_Be_Tong!$C:$C,AO206)-VLOOKUP(AN206,$AQ$2:$AR$7,2,FALSE)))</f>
        <v/>
      </c>
      <c r="N206" s="6" t="n"/>
      <c r="O206" s="24">
        <f>IF(ROUNDUP(S206/20,0)&gt;ROUNDUP(S205/20,0),"TN Ø16 (Lần " &amp; ROUNDUP(S206/20,0) &amp; ")","")</f>
        <v/>
      </c>
      <c r="P206" s="20">
        <f>ROUND(P205+IF(AND(E206&lt;=10,F206&lt;&gt;"ASTM A416"),L206,0),3)</f>
        <v/>
      </c>
      <c r="Q206" s="20">
        <f>ROUND(Q205+IF(AND(E206=12,F206&lt;&gt;"ASTM A416"),L206,0),3)</f>
        <v/>
      </c>
      <c r="R206" s="20">
        <f>ROUND(R205+IF(AND(E206=14,F206&lt;&gt;"ASTM A416"),L206,0),3)</f>
        <v/>
      </c>
      <c r="S206" s="20">
        <f>ROUND(S205+IF(AND(E206=16,F206&lt;&gt;"ASTM A416"),L206,0),3)</f>
        <v/>
      </c>
      <c r="T206" s="20">
        <f>ROUND(T205+IF(AND(E206=18,F206&lt;&gt;"ASTM A416"),L206,0),3)</f>
        <v/>
      </c>
      <c r="U206" s="20">
        <f>ROUND(U205+IF(AND(E206=20,F206&lt;&gt;"ASTM A416"),L206,0),3)</f>
        <v/>
      </c>
      <c r="V206" s="20">
        <f>ROUND(V205+IF(AND(E206=22,F206&lt;&gt;"ASTM A416"),L206,0),3)</f>
        <v/>
      </c>
      <c r="W206" s="20">
        <f>ROUND(W205+IF(AND(E206=25,F206&lt;&gt;"ASTM A416"),L206,0),3)</f>
        <v/>
      </c>
      <c r="X206" s="20">
        <f>ROUND(X205+IF(AND(E206=28,F206&lt;&gt;"ASTM A416"),L206,0),3)</f>
        <v/>
      </c>
      <c r="Y206" s="20">
        <f>ROUND(Y205+IF(AND(E206=32,F206&lt;&gt;"ASTM A416"),L206,0),3)</f>
        <v/>
      </c>
      <c r="Z206" s="20">
        <f>ROUND(Z205+IF(F206="ASTM A416",L206,0),3)</f>
        <v/>
      </c>
      <c r="AA206" s="11">
        <f>IF(ROUNDUP(P206/20,0)&gt;ROUNDUP(P205/20,0),"Lần " &amp; ROUNDUP(P206/20,0),"")</f>
        <v/>
      </c>
      <c r="AB206" s="11">
        <f>IF(ROUNDUP(Q206/20,0)&gt;ROUNDUP(Q205/20,0),"Lần " &amp; ROUNDUP(Q206/20,0),"")</f>
        <v/>
      </c>
      <c r="AC206" s="11">
        <f>IF(ROUNDUP(R206/20,0)&gt;ROUNDUP(R205/20,0),"Lần " &amp; ROUNDUP(R206/20,0),"")</f>
        <v/>
      </c>
      <c r="AD206" s="11">
        <f>IF(ROUNDUP(S206/20,0)&gt;ROUNDUP(S205/20,0),"Lần " &amp; ROUNDUP(S206/20,0),"")</f>
        <v/>
      </c>
      <c r="AE206" s="11">
        <f>IF(ROUNDUP(T206/20,0)&gt;ROUNDUP(T205/20,0),"Lần " &amp; ROUNDUP(T206/20,0),"")</f>
        <v/>
      </c>
      <c r="AF206" s="11">
        <f>IF(ROUNDUP(U206/20,0)&gt;ROUNDUP(U205/20,0),"Lần " &amp; ROUNDUP(U206/20,0),"")</f>
        <v/>
      </c>
      <c r="AG206" s="11">
        <f>IF(ROUNDUP(V206/20,0)&gt;ROUNDUP(V205/20,0),"Lần " &amp; ROUNDUP(V206/20,0),"")</f>
        <v/>
      </c>
      <c r="AH206" s="11">
        <f>IF(ROUNDUP(W206/20,0)&gt;ROUNDUP(W205/20,0),"Lần " &amp; ROUNDUP(W206/20,0),"")</f>
        <v/>
      </c>
      <c r="AI206" s="11">
        <f>IF(ROUNDUP(X206/20,0)&gt;ROUNDUP(X205/20,0),"Lần " &amp; ROUNDUP(X206/20,0),"")</f>
        <v/>
      </c>
      <c r="AJ206" s="11">
        <f>IF(ROUNDUP(Y206/20,0)&gt;ROUNDUP(Y205/20,0),"Lần " &amp; ROUNDUP(Y206/20,0),"")</f>
        <v/>
      </c>
      <c r="AK206" s="11">
        <f>IF(ROUNDUP(Z206/20,0)&gt;ROUNDUP(Z205/20,0),"Lần " &amp; ROUNDUP(Z206/20,0),"")</f>
        <v/>
      </c>
      <c r="AL206" s="6" t="n"/>
      <c r="AN206" t="inlineStr">
        <is>
          <t>Than</t>
        </is>
      </c>
      <c r="AO206" t="n">
        <v>49</v>
      </c>
    </row>
    <row r="207" ht="19" customHeight="1">
      <c r="A207" s="6" t="n">
        <v>199</v>
      </c>
      <c r="B207" s="7" t="inlineStr">
        <is>
          <t>Trụ T1, T2 (Xà mũ trụ)</t>
        </is>
      </c>
      <c r="C207" s="7" t="inlineStr">
        <is>
          <t>Xà mũ trụ T2 (tr.62)</t>
        </is>
      </c>
      <c r="D207" s="18" t="inlineStr">
        <is>
          <t>9X</t>
        </is>
      </c>
      <c r="E207" s="19" t="n">
        <v>25</v>
      </c>
      <c r="F207" s="6" t="inlineStr">
        <is>
          <t>CB400-V</t>
        </is>
      </c>
      <c r="G207" s="7" t="inlineStr"/>
      <c r="H207" s="20" t="n">
        <v>3.825</v>
      </c>
      <c r="I207" s="21" t="n">
        <v>79</v>
      </c>
      <c r="J207" s="22" t="n">
        <v>3.853</v>
      </c>
      <c r="K207" s="9">
        <f>ROUND(H207*I207*J207, 2)</f>
        <v/>
      </c>
      <c r="L207" s="23">
        <f>ROUND(K207/1000, 3)</f>
        <v/>
      </c>
      <c r="M207" s="8">
        <f>IF(AO207="","",IF(INDEX(Theo_Doi_Tan_Suat_Be_Tong!$C:$C,AO207)="","",INDEX(Theo_Doi_Tan_Suat_Be_Tong!$C:$C,AO207)-VLOOKUP(AN207,$AQ$2:$AR$7,2,FALSE)))</f>
        <v/>
      </c>
      <c r="N207" s="6" t="n"/>
      <c r="O207" s="24">
        <f>IF(ROUNDUP(W207/20,0)&gt;ROUNDUP(W206/20,0),"TN Ø25 (Lần " &amp; ROUNDUP(W207/20,0) &amp; ")","")</f>
        <v/>
      </c>
      <c r="P207" s="20">
        <f>ROUND(P206+IF(AND(E207&lt;=10,F207&lt;&gt;"ASTM A416"),L207,0),3)</f>
        <v/>
      </c>
      <c r="Q207" s="20">
        <f>ROUND(Q206+IF(AND(E207=12,F207&lt;&gt;"ASTM A416"),L207,0),3)</f>
        <v/>
      </c>
      <c r="R207" s="20">
        <f>ROUND(R206+IF(AND(E207=14,F207&lt;&gt;"ASTM A416"),L207,0),3)</f>
        <v/>
      </c>
      <c r="S207" s="20">
        <f>ROUND(S206+IF(AND(E207=16,F207&lt;&gt;"ASTM A416"),L207,0),3)</f>
        <v/>
      </c>
      <c r="T207" s="20">
        <f>ROUND(T206+IF(AND(E207=18,F207&lt;&gt;"ASTM A416"),L207,0),3)</f>
        <v/>
      </c>
      <c r="U207" s="20">
        <f>ROUND(U206+IF(AND(E207=20,F207&lt;&gt;"ASTM A416"),L207,0),3)</f>
        <v/>
      </c>
      <c r="V207" s="20">
        <f>ROUND(V206+IF(AND(E207=22,F207&lt;&gt;"ASTM A416"),L207,0),3)</f>
        <v/>
      </c>
      <c r="W207" s="20">
        <f>ROUND(W206+IF(AND(E207=25,F207&lt;&gt;"ASTM A416"),L207,0),3)</f>
        <v/>
      </c>
      <c r="X207" s="20">
        <f>ROUND(X206+IF(AND(E207=28,F207&lt;&gt;"ASTM A416"),L207,0),3)</f>
        <v/>
      </c>
      <c r="Y207" s="20">
        <f>ROUND(Y206+IF(AND(E207=32,F207&lt;&gt;"ASTM A416"),L207,0),3)</f>
        <v/>
      </c>
      <c r="Z207" s="20">
        <f>ROUND(Z206+IF(F207="ASTM A416",L207,0),3)</f>
        <v/>
      </c>
      <c r="AA207" s="11">
        <f>IF(ROUNDUP(P207/20,0)&gt;ROUNDUP(P206/20,0),"Lần " &amp; ROUNDUP(P207/20,0),"")</f>
        <v/>
      </c>
      <c r="AB207" s="11">
        <f>IF(ROUNDUP(Q207/20,0)&gt;ROUNDUP(Q206/20,0),"Lần " &amp; ROUNDUP(Q207/20,0),"")</f>
        <v/>
      </c>
      <c r="AC207" s="11">
        <f>IF(ROUNDUP(R207/20,0)&gt;ROUNDUP(R206/20,0),"Lần " &amp; ROUNDUP(R207/20,0),"")</f>
        <v/>
      </c>
      <c r="AD207" s="11">
        <f>IF(ROUNDUP(S207/20,0)&gt;ROUNDUP(S206/20,0),"Lần " &amp; ROUNDUP(S207/20,0),"")</f>
        <v/>
      </c>
      <c r="AE207" s="11">
        <f>IF(ROUNDUP(T207/20,0)&gt;ROUNDUP(T206/20,0),"Lần " &amp; ROUNDUP(T207/20,0),"")</f>
        <v/>
      </c>
      <c r="AF207" s="11">
        <f>IF(ROUNDUP(U207/20,0)&gt;ROUNDUP(U206/20,0),"Lần " &amp; ROUNDUP(U207/20,0),"")</f>
        <v/>
      </c>
      <c r="AG207" s="11">
        <f>IF(ROUNDUP(V207/20,0)&gt;ROUNDUP(V206/20,0),"Lần " &amp; ROUNDUP(V207/20,0),"")</f>
        <v/>
      </c>
      <c r="AH207" s="11">
        <f>IF(ROUNDUP(W207/20,0)&gt;ROUNDUP(W206/20,0),"Lần " &amp; ROUNDUP(W207/20,0),"")</f>
        <v/>
      </c>
      <c r="AI207" s="11">
        <f>IF(ROUNDUP(X207/20,0)&gt;ROUNDUP(X206/20,0),"Lần " &amp; ROUNDUP(X207/20,0),"")</f>
        <v/>
      </c>
      <c r="AJ207" s="11">
        <f>IF(ROUNDUP(Y207/20,0)&gt;ROUNDUP(Y206/20,0),"Lần " &amp; ROUNDUP(Y207/20,0),"")</f>
        <v/>
      </c>
      <c r="AK207" s="11">
        <f>IF(ROUNDUP(Z207/20,0)&gt;ROUNDUP(Z206/20,0),"Lần " &amp; ROUNDUP(Z207/20,0),"")</f>
        <v/>
      </c>
      <c r="AL207" s="6" t="n"/>
      <c r="AN207" t="inlineStr">
        <is>
          <t>Than</t>
        </is>
      </c>
      <c r="AO207" t="n">
        <v>49</v>
      </c>
    </row>
    <row r="208" ht="19" customHeight="1">
      <c r="A208" s="6" t="n">
        <v>200</v>
      </c>
      <c r="B208" s="7" t="inlineStr">
        <is>
          <t>Trụ T1, T2 (Xà mũ trụ)</t>
        </is>
      </c>
      <c r="C208" s="7" t="inlineStr">
        <is>
          <t>Xà mũ trụ T2 (tr.62)</t>
        </is>
      </c>
      <c r="D208" s="18" t="inlineStr">
        <is>
          <t>X6A</t>
        </is>
      </c>
      <c r="E208" s="19" t="n">
        <v>16</v>
      </c>
      <c r="F208" s="6" t="inlineStr">
        <is>
          <t>CB400-V</t>
        </is>
      </c>
      <c r="G208" s="7" t="inlineStr"/>
      <c r="H208" s="20" t="n">
        <v>3.582</v>
      </c>
      <c r="I208" s="21" t="n">
        <v>158</v>
      </c>
      <c r="J208" s="22" t="n">
        <v>1.578</v>
      </c>
      <c r="K208" s="9">
        <f>ROUND(H208*I208*J208, 2)</f>
        <v/>
      </c>
      <c r="L208" s="23">
        <f>ROUND(K208/1000, 3)</f>
        <v/>
      </c>
      <c r="M208" s="8">
        <f>IF(AO208="","",IF(INDEX(Theo_Doi_Tan_Suat_Be_Tong!$C:$C,AO208)="","",INDEX(Theo_Doi_Tan_Suat_Be_Tong!$C:$C,AO208)-VLOOKUP(AN208,$AQ$2:$AR$7,2,FALSE)))</f>
        <v/>
      </c>
      <c r="N208" s="6" t="n"/>
      <c r="O208" s="24">
        <f>IF(ROUNDUP(S208/20,0)&gt;ROUNDUP(S207/20,0),"TN Ø16 (Lần " &amp; ROUNDUP(S208/20,0) &amp; ")","")</f>
        <v/>
      </c>
      <c r="P208" s="20">
        <f>ROUND(P207+IF(AND(E208&lt;=10,F208&lt;&gt;"ASTM A416"),L208,0),3)</f>
        <v/>
      </c>
      <c r="Q208" s="20">
        <f>ROUND(Q207+IF(AND(E208=12,F208&lt;&gt;"ASTM A416"),L208,0),3)</f>
        <v/>
      </c>
      <c r="R208" s="20">
        <f>ROUND(R207+IF(AND(E208=14,F208&lt;&gt;"ASTM A416"),L208,0),3)</f>
        <v/>
      </c>
      <c r="S208" s="20">
        <f>ROUND(S207+IF(AND(E208=16,F208&lt;&gt;"ASTM A416"),L208,0),3)</f>
        <v/>
      </c>
      <c r="T208" s="20">
        <f>ROUND(T207+IF(AND(E208=18,F208&lt;&gt;"ASTM A416"),L208,0),3)</f>
        <v/>
      </c>
      <c r="U208" s="20">
        <f>ROUND(U207+IF(AND(E208=20,F208&lt;&gt;"ASTM A416"),L208,0),3)</f>
        <v/>
      </c>
      <c r="V208" s="20">
        <f>ROUND(V207+IF(AND(E208=22,F208&lt;&gt;"ASTM A416"),L208,0),3)</f>
        <v/>
      </c>
      <c r="W208" s="20">
        <f>ROUND(W207+IF(AND(E208=25,F208&lt;&gt;"ASTM A416"),L208,0),3)</f>
        <v/>
      </c>
      <c r="X208" s="20">
        <f>ROUND(X207+IF(AND(E208=28,F208&lt;&gt;"ASTM A416"),L208,0),3)</f>
        <v/>
      </c>
      <c r="Y208" s="20">
        <f>ROUND(Y207+IF(AND(E208=32,F208&lt;&gt;"ASTM A416"),L208,0),3)</f>
        <v/>
      </c>
      <c r="Z208" s="20">
        <f>ROUND(Z207+IF(F208="ASTM A416",L208,0),3)</f>
        <v/>
      </c>
      <c r="AA208" s="11">
        <f>IF(ROUNDUP(P208/20,0)&gt;ROUNDUP(P207/20,0),"Lần " &amp; ROUNDUP(P208/20,0),"")</f>
        <v/>
      </c>
      <c r="AB208" s="11">
        <f>IF(ROUNDUP(Q208/20,0)&gt;ROUNDUP(Q207/20,0),"Lần " &amp; ROUNDUP(Q208/20,0),"")</f>
        <v/>
      </c>
      <c r="AC208" s="11">
        <f>IF(ROUNDUP(R208/20,0)&gt;ROUNDUP(R207/20,0),"Lần " &amp; ROUNDUP(R208/20,0),"")</f>
        <v/>
      </c>
      <c r="AD208" s="11">
        <f>IF(ROUNDUP(S208/20,0)&gt;ROUNDUP(S207/20,0),"Lần " &amp; ROUNDUP(S208/20,0),"")</f>
        <v/>
      </c>
      <c r="AE208" s="11">
        <f>IF(ROUNDUP(T208/20,0)&gt;ROUNDUP(T207/20,0),"Lần " &amp; ROUNDUP(T208/20,0),"")</f>
        <v/>
      </c>
      <c r="AF208" s="11">
        <f>IF(ROUNDUP(U208/20,0)&gt;ROUNDUP(U207/20,0),"Lần " &amp; ROUNDUP(U208/20,0),"")</f>
        <v/>
      </c>
      <c r="AG208" s="11">
        <f>IF(ROUNDUP(V208/20,0)&gt;ROUNDUP(V207/20,0),"Lần " &amp; ROUNDUP(V208/20,0),"")</f>
        <v/>
      </c>
      <c r="AH208" s="11">
        <f>IF(ROUNDUP(W208/20,0)&gt;ROUNDUP(W207/20,0),"Lần " &amp; ROUNDUP(W208/20,0),"")</f>
        <v/>
      </c>
      <c r="AI208" s="11">
        <f>IF(ROUNDUP(X208/20,0)&gt;ROUNDUP(X207/20,0),"Lần " &amp; ROUNDUP(X208/20,0),"")</f>
        <v/>
      </c>
      <c r="AJ208" s="11">
        <f>IF(ROUNDUP(Y208/20,0)&gt;ROUNDUP(Y207/20,0),"Lần " &amp; ROUNDUP(Y208/20,0),"")</f>
        <v/>
      </c>
      <c r="AK208" s="11">
        <f>IF(ROUNDUP(Z208/20,0)&gt;ROUNDUP(Z207/20,0),"Lần " &amp; ROUNDUP(Z208/20,0),"")</f>
        <v/>
      </c>
      <c r="AL208" s="6" t="n"/>
      <c r="AN208" t="inlineStr">
        <is>
          <t>Than</t>
        </is>
      </c>
      <c r="AO208" t="n">
        <v>49</v>
      </c>
    </row>
    <row r="209" ht="20" customHeight="1">
      <c r="A209" s="6" t="n">
        <v>201</v>
      </c>
      <c r="B209" s="7" t="inlineStr">
        <is>
          <t>Trụ T1, T2 (Xà mũ trụ)</t>
        </is>
      </c>
      <c r="C209" s="7" t="inlineStr">
        <is>
          <t>Xà mũ trụ T2 (tr.62)</t>
        </is>
      </c>
      <c r="D209" s="18" t="inlineStr">
        <is>
          <t>LX</t>
        </is>
      </c>
      <c r="E209" s="19" t="n">
        <v>16</v>
      </c>
      <c r="F209" s="6" t="inlineStr">
        <is>
          <t>CB400-V</t>
        </is>
      </c>
      <c r="G209" s="7" t="inlineStr"/>
      <c r="H209" s="20" t="n">
        <v>17.474</v>
      </c>
      <c r="I209" s="21" t="n">
        <v>10</v>
      </c>
      <c r="J209" s="22" t="n">
        <v>1.578</v>
      </c>
      <c r="K209" s="9">
        <f>ROUND(H209*I209*J209, 2)</f>
        <v/>
      </c>
      <c r="L209" s="23">
        <f>ROUND(K209/1000, 3)</f>
        <v/>
      </c>
      <c r="M209" s="8">
        <f>IF(AO209="","",IF(INDEX(Theo_Doi_Tan_Suat_Be_Tong!$C:$C,AO209)="","",INDEX(Theo_Doi_Tan_Suat_Be_Tong!$C:$C,AO209)-VLOOKUP(AN209,$AQ$2:$AR$7,2,FALSE)))</f>
        <v/>
      </c>
      <c r="N209" s="6" t="n"/>
      <c r="O209" s="24">
        <f>IF(ROUNDUP(S209/20,0)&gt;ROUNDUP(S208/20,0),"TN Ø16 (Lần " &amp; ROUNDUP(S209/20,0) &amp; ")","")</f>
        <v/>
      </c>
      <c r="P209" s="20">
        <f>ROUND(P208+IF(AND(E209&lt;=10,F209&lt;&gt;"ASTM A416"),L209,0),3)</f>
        <v/>
      </c>
      <c r="Q209" s="20">
        <f>ROUND(Q208+IF(AND(E209=12,F209&lt;&gt;"ASTM A416"),L209,0),3)</f>
        <v/>
      </c>
      <c r="R209" s="20">
        <f>ROUND(R208+IF(AND(E209=14,F209&lt;&gt;"ASTM A416"),L209,0),3)</f>
        <v/>
      </c>
      <c r="S209" s="20">
        <f>ROUND(S208+IF(AND(E209=16,F209&lt;&gt;"ASTM A416"),L209,0),3)</f>
        <v/>
      </c>
      <c r="T209" s="20">
        <f>ROUND(T208+IF(AND(E209=18,F209&lt;&gt;"ASTM A416"),L209,0),3)</f>
        <v/>
      </c>
      <c r="U209" s="20">
        <f>ROUND(U208+IF(AND(E209=20,F209&lt;&gt;"ASTM A416"),L209,0),3)</f>
        <v/>
      </c>
      <c r="V209" s="20">
        <f>ROUND(V208+IF(AND(E209=22,F209&lt;&gt;"ASTM A416"),L209,0),3)</f>
        <v/>
      </c>
      <c r="W209" s="20">
        <f>ROUND(W208+IF(AND(E209=25,F209&lt;&gt;"ASTM A416"),L209,0),3)</f>
        <v/>
      </c>
      <c r="X209" s="20">
        <f>ROUND(X208+IF(AND(E209=28,F209&lt;&gt;"ASTM A416"),L209,0),3)</f>
        <v/>
      </c>
      <c r="Y209" s="20">
        <f>ROUND(Y208+IF(AND(E209=32,F209&lt;&gt;"ASTM A416"),L209,0),3)</f>
        <v/>
      </c>
      <c r="Z209" s="20">
        <f>ROUND(Z208+IF(F209="ASTM A416",L209,0),3)</f>
        <v/>
      </c>
      <c r="AA209" s="11">
        <f>IF(ROUNDUP(P209/20,0)&gt;ROUNDUP(P208/20,0),"Lần " &amp; ROUNDUP(P209/20,0),"")</f>
        <v/>
      </c>
      <c r="AB209" s="11">
        <f>IF(ROUNDUP(Q209/20,0)&gt;ROUNDUP(Q208/20,0),"Lần " &amp; ROUNDUP(Q209/20,0),"")</f>
        <v/>
      </c>
      <c r="AC209" s="11">
        <f>IF(ROUNDUP(R209/20,0)&gt;ROUNDUP(R208/20,0),"Lần " &amp; ROUNDUP(R209/20,0),"")</f>
        <v/>
      </c>
      <c r="AD209" s="11">
        <f>IF(ROUNDUP(S209/20,0)&gt;ROUNDUP(S208/20,0),"Lần " &amp; ROUNDUP(S209/20,0),"")</f>
        <v/>
      </c>
      <c r="AE209" s="11">
        <f>IF(ROUNDUP(T209/20,0)&gt;ROUNDUP(T208/20,0),"Lần " &amp; ROUNDUP(T209/20,0),"")</f>
        <v/>
      </c>
      <c r="AF209" s="11">
        <f>IF(ROUNDUP(U209/20,0)&gt;ROUNDUP(U208/20,0),"Lần " &amp; ROUNDUP(U209/20,0),"")</f>
        <v/>
      </c>
      <c r="AG209" s="11">
        <f>IF(ROUNDUP(V209/20,0)&gt;ROUNDUP(V208/20,0),"Lần " &amp; ROUNDUP(V209/20,0),"")</f>
        <v/>
      </c>
      <c r="AH209" s="11">
        <f>IF(ROUNDUP(W209/20,0)&gt;ROUNDUP(W208/20,0),"Lần " &amp; ROUNDUP(W209/20,0),"")</f>
        <v/>
      </c>
      <c r="AI209" s="11">
        <f>IF(ROUNDUP(X209/20,0)&gt;ROUNDUP(X208/20,0),"Lần " &amp; ROUNDUP(X209/20,0),"")</f>
        <v/>
      </c>
      <c r="AJ209" s="11">
        <f>IF(ROUNDUP(Y209/20,0)&gt;ROUNDUP(Y208/20,0),"Lần " &amp; ROUNDUP(Y209/20,0),"")</f>
        <v/>
      </c>
      <c r="AK209" s="11">
        <f>IF(ROUNDUP(Z209/20,0)&gt;ROUNDUP(Z208/20,0),"Lần " &amp; ROUNDUP(Z209/20,0),"")</f>
        <v/>
      </c>
      <c r="AL209" s="6" t="n"/>
      <c r="AN209" t="inlineStr">
        <is>
          <t>Than</t>
        </is>
      </c>
      <c r="AO209" t="n">
        <v>49</v>
      </c>
    </row>
    <row r="210" ht="19" customHeight="1">
      <c r="A210" s="6" t="n">
        <v>202</v>
      </c>
      <c r="B210" s="7" t="inlineStr">
        <is>
          <t>Trụ T1, T2 (Xà mũ trụ)</t>
        </is>
      </c>
      <c r="C210" s="7" t="inlineStr">
        <is>
          <t>Xà mũ trụ T2 (tr.62)</t>
        </is>
      </c>
      <c r="D210" s="18" t="inlineStr">
        <is>
          <t>VLX</t>
        </is>
      </c>
      <c r="E210" s="19" t="n">
        <v>16</v>
      </c>
      <c r="F210" s="6" t="inlineStr">
        <is>
          <t>CB400-V</t>
        </is>
      </c>
      <c r="G210" s="7" t="inlineStr"/>
      <c r="H210" s="20" t="n">
        <v>16.854</v>
      </c>
      <c r="I210" s="21" t="n">
        <v>12</v>
      </c>
      <c r="J210" s="22" t="n">
        <v>1.578</v>
      </c>
      <c r="K210" s="9">
        <f>ROUND(H210*I210*J210, 2)</f>
        <v/>
      </c>
      <c r="L210" s="23">
        <f>ROUND(K210/1000, 3)</f>
        <v/>
      </c>
      <c r="M210" s="8">
        <f>IF(AO210="","",IF(INDEX(Theo_Doi_Tan_Suat_Be_Tong!$C:$C,AO210)="","",INDEX(Theo_Doi_Tan_Suat_Be_Tong!$C:$C,AO210)-VLOOKUP(AN210,$AQ$2:$AR$7,2,FALSE)))</f>
        <v/>
      </c>
      <c r="N210" s="6" t="n"/>
      <c r="O210" s="24">
        <f>IF(ROUNDUP(S210/20,0)&gt;ROUNDUP(S209/20,0),"TN Ø16 (Lần " &amp; ROUNDUP(S210/20,0) &amp; ")","")</f>
        <v/>
      </c>
      <c r="P210" s="20">
        <f>ROUND(P209+IF(AND(E210&lt;=10,F210&lt;&gt;"ASTM A416"),L210,0),3)</f>
        <v/>
      </c>
      <c r="Q210" s="20">
        <f>ROUND(Q209+IF(AND(E210=12,F210&lt;&gt;"ASTM A416"),L210,0),3)</f>
        <v/>
      </c>
      <c r="R210" s="20">
        <f>ROUND(R209+IF(AND(E210=14,F210&lt;&gt;"ASTM A416"),L210,0),3)</f>
        <v/>
      </c>
      <c r="S210" s="20">
        <f>ROUND(S209+IF(AND(E210=16,F210&lt;&gt;"ASTM A416"),L210,0),3)</f>
        <v/>
      </c>
      <c r="T210" s="20">
        <f>ROUND(T209+IF(AND(E210=18,F210&lt;&gt;"ASTM A416"),L210,0),3)</f>
        <v/>
      </c>
      <c r="U210" s="20">
        <f>ROUND(U209+IF(AND(E210=20,F210&lt;&gt;"ASTM A416"),L210,0),3)</f>
        <v/>
      </c>
      <c r="V210" s="20">
        <f>ROUND(V209+IF(AND(E210=22,F210&lt;&gt;"ASTM A416"),L210,0),3)</f>
        <v/>
      </c>
      <c r="W210" s="20">
        <f>ROUND(W209+IF(AND(E210=25,F210&lt;&gt;"ASTM A416"),L210,0),3)</f>
        <v/>
      </c>
      <c r="X210" s="20">
        <f>ROUND(X209+IF(AND(E210=28,F210&lt;&gt;"ASTM A416"),L210,0),3)</f>
        <v/>
      </c>
      <c r="Y210" s="20">
        <f>ROUND(Y209+IF(AND(E210=32,F210&lt;&gt;"ASTM A416"),L210,0),3)</f>
        <v/>
      </c>
      <c r="Z210" s="20">
        <f>ROUND(Z209+IF(F210="ASTM A416",L210,0),3)</f>
        <v/>
      </c>
      <c r="AA210" s="11">
        <f>IF(ROUNDUP(P210/20,0)&gt;ROUNDUP(P209/20,0),"Lần " &amp; ROUNDUP(P210/20,0),"")</f>
        <v/>
      </c>
      <c r="AB210" s="11">
        <f>IF(ROUNDUP(Q210/20,0)&gt;ROUNDUP(Q209/20,0),"Lần " &amp; ROUNDUP(Q210/20,0),"")</f>
        <v/>
      </c>
      <c r="AC210" s="11">
        <f>IF(ROUNDUP(R210/20,0)&gt;ROUNDUP(R209/20,0),"Lần " &amp; ROUNDUP(R210/20,0),"")</f>
        <v/>
      </c>
      <c r="AD210" s="11">
        <f>IF(ROUNDUP(S210/20,0)&gt;ROUNDUP(S209/20,0),"Lần " &amp; ROUNDUP(S210/20,0),"")</f>
        <v/>
      </c>
      <c r="AE210" s="11">
        <f>IF(ROUNDUP(T210/20,0)&gt;ROUNDUP(T209/20,0),"Lần " &amp; ROUNDUP(T210/20,0),"")</f>
        <v/>
      </c>
      <c r="AF210" s="11">
        <f>IF(ROUNDUP(U210/20,0)&gt;ROUNDUP(U209/20,0),"Lần " &amp; ROUNDUP(U210/20,0),"")</f>
        <v/>
      </c>
      <c r="AG210" s="11">
        <f>IF(ROUNDUP(V210/20,0)&gt;ROUNDUP(V209/20,0),"Lần " &amp; ROUNDUP(V210/20,0),"")</f>
        <v/>
      </c>
      <c r="AH210" s="11">
        <f>IF(ROUNDUP(W210/20,0)&gt;ROUNDUP(W209/20,0),"Lần " &amp; ROUNDUP(W210/20,0),"")</f>
        <v/>
      </c>
      <c r="AI210" s="11">
        <f>IF(ROUNDUP(X210/20,0)&gt;ROUNDUP(X209/20,0),"Lần " &amp; ROUNDUP(X210/20,0),"")</f>
        <v/>
      </c>
      <c r="AJ210" s="11">
        <f>IF(ROUNDUP(Y210/20,0)&gt;ROUNDUP(Y209/20,0),"Lần " &amp; ROUNDUP(Y210/20,0),"")</f>
        <v/>
      </c>
      <c r="AK210" s="11">
        <f>IF(ROUNDUP(Z210/20,0)&gt;ROUNDUP(Z209/20,0),"Lần " &amp; ROUNDUP(Z210/20,0),"")</f>
        <v/>
      </c>
      <c r="AL210" s="6" t="n"/>
      <c r="AN210" t="inlineStr">
        <is>
          <t>Than</t>
        </is>
      </c>
      <c r="AO210" t="n">
        <v>49</v>
      </c>
    </row>
    <row r="211" ht="19" customHeight="1">
      <c r="A211" s="6" t="n">
        <v>203</v>
      </c>
      <c r="B211" s="7" t="inlineStr">
        <is>
          <t>Trụ T1, T2 (Xà mũ trụ)</t>
        </is>
      </c>
      <c r="C211" s="7" t="inlineStr">
        <is>
          <t>Xà mũ trụ T2 (tr.62)</t>
        </is>
      </c>
      <c r="D211" s="18" t="inlineStr">
        <is>
          <t>X8</t>
        </is>
      </c>
      <c r="E211" s="19" t="n">
        <v>16</v>
      </c>
      <c r="F211" s="6" t="inlineStr">
        <is>
          <t>CB400-V</t>
        </is>
      </c>
      <c r="G211" s="7" t="inlineStr"/>
      <c r="H211" s="20" t="n">
        <v>12.866</v>
      </c>
      <c r="I211" s="21" t="n">
        <v>8</v>
      </c>
      <c r="J211" s="22" t="n">
        <v>1.578</v>
      </c>
      <c r="K211" s="9">
        <f>ROUND(H211*I211*J211, 2)</f>
        <v/>
      </c>
      <c r="L211" s="23">
        <f>ROUND(K211/1000, 3)</f>
        <v/>
      </c>
      <c r="M211" s="8">
        <f>IF(AO211="","",IF(INDEX(Theo_Doi_Tan_Suat_Be_Tong!$C:$C,AO211)="","",INDEX(Theo_Doi_Tan_Suat_Be_Tong!$C:$C,AO211)-VLOOKUP(AN211,$AQ$2:$AR$7,2,FALSE)))</f>
        <v/>
      </c>
      <c r="N211" s="6" t="n"/>
      <c r="O211" s="24">
        <f>IF(ROUNDUP(S211/20,0)&gt;ROUNDUP(S210/20,0),"TN Ø16 (Lần " &amp; ROUNDUP(S211/20,0) &amp; ")","")</f>
        <v/>
      </c>
      <c r="P211" s="20">
        <f>ROUND(P210+IF(AND(E211&lt;=10,F211&lt;&gt;"ASTM A416"),L211,0),3)</f>
        <v/>
      </c>
      <c r="Q211" s="20">
        <f>ROUND(Q210+IF(AND(E211=12,F211&lt;&gt;"ASTM A416"),L211,0),3)</f>
        <v/>
      </c>
      <c r="R211" s="20">
        <f>ROUND(R210+IF(AND(E211=14,F211&lt;&gt;"ASTM A416"),L211,0),3)</f>
        <v/>
      </c>
      <c r="S211" s="20">
        <f>ROUND(S210+IF(AND(E211=16,F211&lt;&gt;"ASTM A416"),L211,0),3)</f>
        <v/>
      </c>
      <c r="T211" s="20">
        <f>ROUND(T210+IF(AND(E211=18,F211&lt;&gt;"ASTM A416"),L211,0),3)</f>
        <v/>
      </c>
      <c r="U211" s="20">
        <f>ROUND(U210+IF(AND(E211=20,F211&lt;&gt;"ASTM A416"),L211,0),3)</f>
        <v/>
      </c>
      <c r="V211" s="20">
        <f>ROUND(V210+IF(AND(E211=22,F211&lt;&gt;"ASTM A416"),L211,0),3)</f>
        <v/>
      </c>
      <c r="W211" s="20">
        <f>ROUND(W210+IF(AND(E211=25,F211&lt;&gt;"ASTM A416"),L211,0),3)</f>
        <v/>
      </c>
      <c r="X211" s="20">
        <f>ROUND(X210+IF(AND(E211=28,F211&lt;&gt;"ASTM A416"),L211,0),3)</f>
        <v/>
      </c>
      <c r="Y211" s="20">
        <f>ROUND(Y210+IF(AND(E211=32,F211&lt;&gt;"ASTM A416"),L211,0),3)</f>
        <v/>
      </c>
      <c r="Z211" s="20">
        <f>ROUND(Z210+IF(F211="ASTM A416",L211,0),3)</f>
        <v/>
      </c>
      <c r="AA211" s="11">
        <f>IF(ROUNDUP(P211/20,0)&gt;ROUNDUP(P210/20,0),"Lần " &amp; ROUNDUP(P211/20,0),"")</f>
        <v/>
      </c>
      <c r="AB211" s="11">
        <f>IF(ROUNDUP(Q211/20,0)&gt;ROUNDUP(Q210/20,0),"Lần " &amp; ROUNDUP(Q211/20,0),"")</f>
        <v/>
      </c>
      <c r="AC211" s="11">
        <f>IF(ROUNDUP(R211/20,0)&gt;ROUNDUP(R210/20,0),"Lần " &amp; ROUNDUP(R211/20,0),"")</f>
        <v/>
      </c>
      <c r="AD211" s="11">
        <f>IF(ROUNDUP(S211/20,0)&gt;ROUNDUP(S210/20,0),"Lần " &amp; ROUNDUP(S211/20,0),"")</f>
        <v/>
      </c>
      <c r="AE211" s="11">
        <f>IF(ROUNDUP(T211/20,0)&gt;ROUNDUP(T210/20,0),"Lần " &amp; ROUNDUP(T211/20,0),"")</f>
        <v/>
      </c>
      <c r="AF211" s="11">
        <f>IF(ROUNDUP(U211/20,0)&gt;ROUNDUP(U210/20,0),"Lần " &amp; ROUNDUP(U211/20,0),"")</f>
        <v/>
      </c>
      <c r="AG211" s="11">
        <f>IF(ROUNDUP(V211/20,0)&gt;ROUNDUP(V210/20,0),"Lần " &amp; ROUNDUP(V211/20,0),"")</f>
        <v/>
      </c>
      <c r="AH211" s="11">
        <f>IF(ROUNDUP(W211/20,0)&gt;ROUNDUP(W210/20,0),"Lần " &amp; ROUNDUP(W211/20,0),"")</f>
        <v/>
      </c>
      <c r="AI211" s="11">
        <f>IF(ROUNDUP(X211/20,0)&gt;ROUNDUP(X210/20,0),"Lần " &amp; ROUNDUP(X211/20,0),"")</f>
        <v/>
      </c>
      <c r="AJ211" s="11">
        <f>IF(ROUNDUP(Y211/20,0)&gt;ROUNDUP(Y210/20,0),"Lần " &amp; ROUNDUP(Y211/20,0),"")</f>
        <v/>
      </c>
      <c r="AK211" s="11">
        <f>IF(ROUNDUP(Z211/20,0)&gt;ROUNDUP(Z210/20,0),"Lần " &amp; ROUNDUP(Z211/20,0),"")</f>
        <v/>
      </c>
      <c r="AL211" s="6" t="n"/>
      <c r="AN211" t="inlineStr">
        <is>
          <t>Than</t>
        </is>
      </c>
      <c r="AO211" t="n">
        <v>49</v>
      </c>
    </row>
    <row r="212" ht="19" customHeight="1">
      <c r="A212" s="6" t="n">
        <v>204</v>
      </c>
      <c r="B212" s="7" t="inlineStr">
        <is>
          <t>Trụ T1, T2 (Xà mũ trụ)</t>
        </is>
      </c>
      <c r="C212" s="7" t="inlineStr">
        <is>
          <t>Xà mũ trụ T2 (tr.62)</t>
        </is>
      </c>
      <c r="D212" s="18" t="inlineStr">
        <is>
          <t>X9</t>
        </is>
      </c>
      <c r="E212" s="19" t="n">
        <v>16</v>
      </c>
      <c r="F212" s="6" t="inlineStr">
        <is>
          <t>CB400-V</t>
        </is>
      </c>
      <c r="G212" s="7" t="inlineStr"/>
      <c r="H212" s="20" t="n">
        <v>1.132</v>
      </c>
      <c r="I212" s="21" t="n">
        <v>40</v>
      </c>
      <c r="J212" s="22" t="n">
        <v>1.578</v>
      </c>
      <c r="K212" s="9">
        <f>ROUND(H212*I212*J212, 2)</f>
        <v/>
      </c>
      <c r="L212" s="23">
        <f>ROUND(K212/1000, 3)</f>
        <v/>
      </c>
      <c r="M212" s="8">
        <f>IF(AO212="","",IF(INDEX(Theo_Doi_Tan_Suat_Be_Tong!$C:$C,AO212)="","",INDEX(Theo_Doi_Tan_Suat_Be_Tong!$C:$C,AO212)-VLOOKUP(AN212,$AQ$2:$AR$7,2,FALSE)))</f>
        <v/>
      </c>
      <c r="N212" s="6" t="n"/>
      <c r="O212" s="24">
        <f>IF(ROUNDUP(S212/20,0)&gt;ROUNDUP(S211/20,0),"TN Ø16 (Lần " &amp; ROUNDUP(S212/20,0) &amp; ")","")</f>
        <v/>
      </c>
      <c r="P212" s="20">
        <f>ROUND(P211+IF(AND(E212&lt;=10,F212&lt;&gt;"ASTM A416"),L212,0),3)</f>
        <v/>
      </c>
      <c r="Q212" s="20">
        <f>ROUND(Q211+IF(AND(E212=12,F212&lt;&gt;"ASTM A416"),L212,0),3)</f>
        <v/>
      </c>
      <c r="R212" s="20">
        <f>ROUND(R211+IF(AND(E212=14,F212&lt;&gt;"ASTM A416"),L212,0),3)</f>
        <v/>
      </c>
      <c r="S212" s="20">
        <f>ROUND(S211+IF(AND(E212=16,F212&lt;&gt;"ASTM A416"),L212,0),3)</f>
        <v/>
      </c>
      <c r="T212" s="20">
        <f>ROUND(T211+IF(AND(E212=18,F212&lt;&gt;"ASTM A416"),L212,0),3)</f>
        <v/>
      </c>
      <c r="U212" s="20">
        <f>ROUND(U211+IF(AND(E212=20,F212&lt;&gt;"ASTM A416"),L212,0),3)</f>
        <v/>
      </c>
      <c r="V212" s="20">
        <f>ROUND(V211+IF(AND(E212=22,F212&lt;&gt;"ASTM A416"),L212,0),3)</f>
        <v/>
      </c>
      <c r="W212" s="20">
        <f>ROUND(W211+IF(AND(E212=25,F212&lt;&gt;"ASTM A416"),L212,0),3)</f>
        <v/>
      </c>
      <c r="X212" s="20">
        <f>ROUND(X211+IF(AND(E212=28,F212&lt;&gt;"ASTM A416"),L212,0),3)</f>
        <v/>
      </c>
      <c r="Y212" s="20">
        <f>ROUND(Y211+IF(AND(E212=32,F212&lt;&gt;"ASTM A416"),L212,0),3)</f>
        <v/>
      </c>
      <c r="Z212" s="20">
        <f>ROUND(Z211+IF(F212="ASTM A416",L212,0),3)</f>
        <v/>
      </c>
      <c r="AA212" s="11">
        <f>IF(ROUNDUP(P212/20,0)&gt;ROUNDUP(P211/20,0),"Lần " &amp; ROUNDUP(P212/20,0),"")</f>
        <v/>
      </c>
      <c r="AB212" s="11">
        <f>IF(ROUNDUP(Q212/20,0)&gt;ROUNDUP(Q211/20,0),"Lần " &amp; ROUNDUP(Q212/20,0),"")</f>
        <v/>
      </c>
      <c r="AC212" s="11">
        <f>IF(ROUNDUP(R212/20,0)&gt;ROUNDUP(R211/20,0),"Lần " &amp; ROUNDUP(R212/20,0),"")</f>
        <v/>
      </c>
      <c r="AD212" s="11">
        <f>IF(ROUNDUP(S212/20,0)&gt;ROUNDUP(S211/20,0),"Lần " &amp; ROUNDUP(S212/20,0),"")</f>
        <v/>
      </c>
      <c r="AE212" s="11">
        <f>IF(ROUNDUP(T212/20,0)&gt;ROUNDUP(T211/20,0),"Lần " &amp; ROUNDUP(T212/20,0),"")</f>
        <v/>
      </c>
      <c r="AF212" s="11">
        <f>IF(ROUNDUP(U212/20,0)&gt;ROUNDUP(U211/20,0),"Lần " &amp; ROUNDUP(U212/20,0),"")</f>
        <v/>
      </c>
      <c r="AG212" s="11">
        <f>IF(ROUNDUP(V212/20,0)&gt;ROUNDUP(V211/20,0),"Lần " &amp; ROUNDUP(V212/20,0),"")</f>
        <v/>
      </c>
      <c r="AH212" s="11">
        <f>IF(ROUNDUP(W212/20,0)&gt;ROUNDUP(W211/20,0),"Lần " &amp; ROUNDUP(W212/20,0),"")</f>
        <v/>
      </c>
      <c r="AI212" s="11">
        <f>IF(ROUNDUP(X212/20,0)&gt;ROUNDUP(X211/20,0),"Lần " &amp; ROUNDUP(X212/20,0),"")</f>
        <v/>
      </c>
      <c r="AJ212" s="11">
        <f>IF(ROUNDUP(Y212/20,0)&gt;ROUNDUP(Y211/20,0),"Lần " &amp; ROUNDUP(Y212/20,0),"")</f>
        <v/>
      </c>
      <c r="AK212" s="11">
        <f>IF(ROUNDUP(Z212/20,0)&gt;ROUNDUP(Z211/20,0),"Lần " &amp; ROUNDUP(Z212/20,0),"")</f>
        <v/>
      </c>
      <c r="AL212" s="6" t="n"/>
      <c r="AN212" t="inlineStr">
        <is>
          <t>Than</t>
        </is>
      </c>
      <c r="AO212" t="n">
        <v>49</v>
      </c>
    </row>
    <row r="213" ht="19" customHeight="1">
      <c r="A213" s="6" t="n">
        <v>205</v>
      </c>
      <c r="B213" s="7" t="inlineStr">
        <is>
          <t>Trụ T1, T2 (Xà mũ trụ)</t>
        </is>
      </c>
      <c r="C213" s="7" t="inlineStr">
        <is>
          <t>Xà mũ trụ T2 (tr.62)</t>
        </is>
      </c>
      <c r="D213" s="18" t="inlineStr">
        <is>
          <t>X10</t>
        </is>
      </c>
      <c r="E213" s="19" t="n">
        <v>16</v>
      </c>
      <c r="F213" s="6" t="inlineStr">
        <is>
          <t>CB400-V</t>
        </is>
      </c>
      <c r="G213" s="7" t="inlineStr"/>
      <c r="H213" s="20" t="n">
        <v>3.2</v>
      </c>
      <c r="I213" s="21" t="n">
        <v>30</v>
      </c>
      <c r="J213" s="22" t="n">
        <v>1.578</v>
      </c>
      <c r="K213" s="9">
        <f>ROUND(H213*I213*J213, 2)</f>
        <v/>
      </c>
      <c r="L213" s="23">
        <f>ROUND(K213/1000, 3)</f>
        <v/>
      </c>
      <c r="M213" s="8">
        <f>IF(AO213="","",IF(INDEX(Theo_Doi_Tan_Suat_Be_Tong!$C:$C,AO213)="","",INDEX(Theo_Doi_Tan_Suat_Be_Tong!$C:$C,AO213)-VLOOKUP(AN213,$AQ$2:$AR$7,2,FALSE)))</f>
        <v/>
      </c>
      <c r="N213" s="6" t="n"/>
      <c r="O213" s="24">
        <f>IF(ROUNDUP(S213/20,0)&gt;ROUNDUP(S212/20,0),"TN Ø16 (Lần " &amp; ROUNDUP(S213/20,0) &amp; ")","")</f>
        <v/>
      </c>
      <c r="P213" s="20">
        <f>ROUND(P212+IF(AND(E213&lt;=10,F213&lt;&gt;"ASTM A416"),L213,0),3)</f>
        <v/>
      </c>
      <c r="Q213" s="20">
        <f>ROUND(Q212+IF(AND(E213=12,F213&lt;&gt;"ASTM A416"),L213,0),3)</f>
        <v/>
      </c>
      <c r="R213" s="20">
        <f>ROUND(R212+IF(AND(E213=14,F213&lt;&gt;"ASTM A416"),L213,0),3)</f>
        <v/>
      </c>
      <c r="S213" s="20">
        <f>ROUND(S212+IF(AND(E213=16,F213&lt;&gt;"ASTM A416"),L213,0),3)</f>
        <v/>
      </c>
      <c r="T213" s="20">
        <f>ROUND(T212+IF(AND(E213=18,F213&lt;&gt;"ASTM A416"),L213,0),3)</f>
        <v/>
      </c>
      <c r="U213" s="20">
        <f>ROUND(U212+IF(AND(E213=20,F213&lt;&gt;"ASTM A416"),L213,0),3)</f>
        <v/>
      </c>
      <c r="V213" s="20">
        <f>ROUND(V212+IF(AND(E213=22,F213&lt;&gt;"ASTM A416"),L213,0),3)</f>
        <v/>
      </c>
      <c r="W213" s="20">
        <f>ROUND(W212+IF(AND(E213=25,F213&lt;&gt;"ASTM A416"),L213,0),3)</f>
        <v/>
      </c>
      <c r="X213" s="20">
        <f>ROUND(X212+IF(AND(E213=28,F213&lt;&gt;"ASTM A416"),L213,0),3)</f>
        <v/>
      </c>
      <c r="Y213" s="20">
        <f>ROUND(Y212+IF(AND(E213=32,F213&lt;&gt;"ASTM A416"),L213,0),3)</f>
        <v/>
      </c>
      <c r="Z213" s="20">
        <f>ROUND(Z212+IF(F213="ASTM A416",L213,0),3)</f>
        <v/>
      </c>
      <c r="AA213" s="11">
        <f>IF(ROUNDUP(P213/20,0)&gt;ROUNDUP(P212/20,0),"Lần " &amp; ROUNDUP(P213/20,0),"")</f>
        <v/>
      </c>
      <c r="AB213" s="11">
        <f>IF(ROUNDUP(Q213/20,0)&gt;ROUNDUP(Q212/20,0),"Lần " &amp; ROUNDUP(Q213/20,0),"")</f>
        <v/>
      </c>
      <c r="AC213" s="11">
        <f>IF(ROUNDUP(R213/20,0)&gt;ROUNDUP(R212/20,0),"Lần " &amp; ROUNDUP(R213/20,0),"")</f>
        <v/>
      </c>
      <c r="AD213" s="11">
        <f>IF(ROUNDUP(S213/20,0)&gt;ROUNDUP(S212/20,0),"Lần " &amp; ROUNDUP(S213/20,0),"")</f>
        <v/>
      </c>
      <c r="AE213" s="11">
        <f>IF(ROUNDUP(T213/20,0)&gt;ROUNDUP(T212/20,0),"Lần " &amp; ROUNDUP(T213/20,0),"")</f>
        <v/>
      </c>
      <c r="AF213" s="11">
        <f>IF(ROUNDUP(U213/20,0)&gt;ROUNDUP(U212/20,0),"Lần " &amp; ROUNDUP(U213/20,0),"")</f>
        <v/>
      </c>
      <c r="AG213" s="11">
        <f>IF(ROUNDUP(V213/20,0)&gt;ROUNDUP(V212/20,0),"Lần " &amp; ROUNDUP(V213/20,0),"")</f>
        <v/>
      </c>
      <c r="AH213" s="11">
        <f>IF(ROUNDUP(W213/20,0)&gt;ROUNDUP(W212/20,0),"Lần " &amp; ROUNDUP(W213/20,0),"")</f>
        <v/>
      </c>
      <c r="AI213" s="11">
        <f>IF(ROUNDUP(X213/20,0)&gt;ROUNDUP(X212/20,0),"Lần " &amp; ROUNDUP(X213/20,0),"")</f>
        <v/>
      </c>
      <c r="AJ213" s="11">
        <f>IF(ROUNDUP(Y213/20,0)&gt;ROUNDUP(Y212/20,0),"Lần " &amp; ROUNDUP(Y213/20,0),"")</f>
        <v/>
      </c>
      <c r="AK213" s="11">
        <f>IF(ROUNDUP(Z213/20,0)&gt;ROUNDUP(Z212/20,0),"Lần " &amp; ROUNDUP(Z213/20,0),"")</f>
        <v/>
      </c>
      <c r="AL213" s="6" t="n"/>
      <c r="AN213" t="inlineStr">
        <is>
          <t>Than</t>
        </is>
      </c>
      <c r="AO213" t="n">
        <v>49</v>
      </c>
    </row>
    <row r="214" ht="19" customHeight="1">
      <c r="A214" s="6" t="n">
        <v>206</v>
      </c>
      <c r="B214" s="7" t="inlineStr">
        <is>
          <t>Trụ T1, T2 (Xà mũ trụ)</t>
        </is>
      </c>
      <c r="C214" s="7" t="inlineStr">
        <is>
          <t>Xà mũ trụ T2 (tr.62)</t>
        </is>
      </c>
      <c r="D214" s="18" t="inlineStr">
        <is>
          <t>X10A</t>
        </is>
      </c>
      <c r="E214" s="19" t="n">
        <v>16</v>
      </c>
      <c r="F214" s="6" t="inlineStr">
        <is>
          <t>CB400-V</t>
        </is>
      </c>
      <c r="G214" s="7" t="inlineStr"/>
      <c r="H214" s="20" t="n">
        <v>1.5</v>
      </c>
      <c r="I214" s="21" t="n">
        <v>4</v>
      </c>
      <c r="J214" s="22" t="n">
        <v>1.578</v>
      </c>
      <c r="K214" s="9">
        <f>ROUND(H214*I214*J214, 2)</f>
        <v/>
      </c>
      <c r="L214" s="23">
        <f>ROUND(K214/1000, 3)</f>
        <v/>
      </c>
      <c r="M214" s="8">
        <f>IF(AO214="","",IF(INDEX(Theo_Doi_Tan_Suat_Be_Tong!$C:$C,AO214)="","",INDEX(Theo_Doi_Tan_Suat_Be_Tong!$C:$C,AO214)-VLOOKUP(AN214,$AQ$2:$AR$7,2,FALSE)))</f>
        <v/>
      </c>
      <c r="N214" s="6" t="n"/>
      <c r="O214" s="24">
        <f>IF(ROUNDUP(S214/20,0)&gt;ROUNDUP(S213/20,0),"TN Ø16 (Lần " &amp; ROUNDUP(S214/20,0) &amp; ")","")</f>
        <v/>
      </c>
      <c r="P214" s="20">
        <f>ROUND(P213+IF(AND(E214&lt;=10,F214&lt;&gt;"ASTM A416"),L214,0),3)</f>
        <v/>
      </c>
      <c r="Q214" s="20">
        <f>ROUND(Q213+IF(AND(E214=12,F214&lt;&gt;"ASTM A416"),L214,0),3)</f>
        <v/>
      </c>
      <c r="R214" s="20">
        <f>ROUND(R213+IF(AND(E214=14,F214&lt;&gt;"ASTM A416"),L214,0),3)</f>
        <v/>
      </c>
      <c r="S214" s="20">
        <f>ROUND(S213+IF(AND(E214=16,F214&lt;&gt;"ASTM A416"),L214,0),3)</f>
        <v/>
      </c>
      <c r="T214" s="20">
        <f>ROUND(T213+IF(AND(E214=18,F214&lt;&gt;"ASTM A416"),L214,0),3)</f>
        <v/>
      </c>
      <c r="U214" s="20">
        <f>ROUND(U213+IF(AND(E214=20,F214&lt;&gt;"ASTM A416"),L214,0),3)</f>
        <v/>
      </c>
      <c r="V214" s="20">
        <f>ROUND(V213+IF(AND(E214=22,F214&lt;&gt;"ASTM A416"),L214,0),3)</f>
        <v/>
      </c>
      <c r="W214" s="20">
        <f>ROUND(W213+IF(AND(E214=25,F214&lt;&gt;"ASTM A416"),L214,0),3)</f>
        <v/>
      </c>
      <c r="X214" s="20">
        <f>ROUND(X213+IF(AND(E214=28,F214&lt;&gt;"ASTM A416"),L214,0),3)</f>
        <v/>
      </c>
      <c r="Y214" s="20">
        <f>ROUND(Y213+IF(AND(E214=32,F214&lt;&gt;"ASTM A416"),L214,0),3)</f>
        <v/>
      </c>
      <c r="Z214" s="20">
        <f>ROUND(Z213+IF(F214="ASTM A416",L214,0),3)</f>
        <v/>
      </c>
      <c r="AA214" s="11">
        <f>IF(ROUNDUP(P214/20,0)&gt;ROUNDUP(P213/20,0),"Lần " &amp; ROUNDUP(P214/20,0),"")</f>
        <v/>
      </c>
      <c r="AB214" s="11">
        <f>IF(ROUNDUP(Q214/20,0)&gt;ROUNDUP(Q213/20,0),"Lần " &amp; ROUNDUP(Q214/20,0),"")</f>
        <v/>
      </c>
      <c r="AC214" s="11">
        <f>IF(ROUNDUP(R214/20,0)&gt;ROUNDUP(R213/20,0),"Lần " &amp; ROUNDUP(R214/20,0),"")</f>
        <v/>
      </c>
      <c r="AD214" s="11">
        <f>IF(ROUNDUP(S214/20,0)&gt;ROUNDUP(S213/20,0),"Lần " &amp; ROUNDUP(S214/20,0),"")</f>
        <v/>
      </c>
      <c r="AE214" s="11">
        <f>IF(ROUNDUP(T214/20,0)&gt;ROUNDUP(T213/20,0),"Lần " &amp; ROUNDUP(T214/20,0),"")</f>
        <v/>
      </c>
      <c r="AF214" s="11">
        <f>IF(ROUNDUP(U214/20,0)&gt;ROUNDUP(U213/20,0),"Lần " &amp; ROUNDUP(U214/20,0),"")</f>
        <v/>
      </c>
      <c r="AG214" s="11">
        <f>IF(ROUNDUP(V214/20,0)&gt;ROUNDUP(V213/20,0),"Lần " &amp; ROUNDUP(V214/20,0),"")</f>
        <v/>
      </c>
      <c r="AH214" s="11">
        <f>IF(ROUNDUP(W214/20,0)&gt;ROUNDUP(W213/20,0),"Lần " &amp; ROUNDUP(W214/20,0),"")</f>
        <v/>
      </c>
      <c r="AI214" s="11">
        <f>IF(ROUNDUP(X214/20,0)&gt;ROUNDUP(X213/20,0),"Lần " &amp; ROUNDUP(X214/20,0),"")</f>
        <v/>
      </c>
      <c r="AJ214" s="11">
        <f>IF(ROUNDUP(Y214/20,0)&gt;ROUNDUP(Y213/20,0),"Lần " &amp; ROUNDUP(Y214/20,0),"")</f>
        <v/>
      </c>
      <c r="AK214" s="11">
        <f>IF(ROUNDUP(Z214/20,0)&gt;ROUNDUP(Z213/20,0),"Lần " &amp; ROUNDUP(Z214/20,0),"")</f>
        <v/>
      </c>
      <c r="AL214" s="6" t="n"/>
      <c r="AN214" t="inlineStr">
        <is>
          <t>Than</t>
        </is>
      </c>
      <c r="AO214" t="n">
        <v>49</v>
      </c>
    </row>
    <row r="215" ht="19" customHeight="1">
      <c r="A215" s="6" t="n">
        <v>207</v>
      </c>
      <c r="B215" s="7" t="inlineStr">
        <is>
          <t>Trụ T1, T2 (Xà mũ trụ)</t>
        </is>
      </c>
      <c r="C215" s="7" t="inlineStr">
        <is>
          <t>Xà mũ trụ T2 (tr.62)</t>
        </is>
      </c>
      <c r="D215" s="18" t="inlineStr">
        <is>
          <t>U1</t>
        </is>
      </c>
      <c r="E215" s="19" t="n">
        <v>16</v>
      </c>
      <c r="F215" s="6" t="inlineStr">
        <is>
          <t>CB400-V</t>
        </is>
      </c>
      <c r="G215" s="7" t="inlineStr"/>
      <c r="H215" s="20" t="n">
        <v>4.192</v>
      </c>
      <c r="I215" s="21" t="n">
        <v>16</v>
      </c>
      <c r="J215" s="22" t="n">
        <v>1.578</v>
      </c>
      <c r="K215" s="9">
        <f>ROUND(H215*I215*J215, 2)</f>
        <v/>
      </c>
      <c r="L215" s="23">
        <f>ROUND(K215/1000, 3)</f>
        <v/>
      </c>
      <c r="M215" s="8">
        <f>IF(AO215="","",IF(INDEX(Theo_Doi_Tan_Suat_Be_Tong!$C:$C,AO215)="","",INDEX(Theo_Doi_Tan_Suat_Be_Tong!$C:$C,AO215)-VLOOKUP(AN215,$AQ$2:$AR$7,2,FALSE)))</f>
        <v/>
      </c>
      <c r="N215" s="6" t="n"/>
      <c r="O215" s="24">
        <f>IF(ROUNDUP(S215/20,0)&gt;ROUNDUP(S214/20,0),"TN Ø16 (Lần " &amp; ROUNDUP(S215/20,0) &amp; ")","")</f>
        <v/>
      </c>
      <c r="P215" s="20">
        <f>ROUND(P214+IF(AND(E215&lt;=10,F215&lt;&gt;"ASTM A416"),L215,0),3)</f>
        <v/>
      </c>
      <c r="Q215" s="20">
        <f>ROUND(Q214+IF(AND(E215=12,F215&lt;&gt;"ASTM A416"),L215,0),3)</f>
        <v/>
      </c>
      <c r="R215" s="20">
        <f>ROUND(R214+IF(AND(E215=14,F215&lt;&gt;"ASTM A416"),L215,0),3)</f>
        <v/>
      </c>
      <c r="S215" s="20">
        <f>ROUND(S214+IF(AND(E215=16,F215&lt;&gt;"ASTM A416"),L215,0),3)</f>
        <v/>
      </c>
      <c r="T215" s="20">
        <f>ROUND(T214+IF(AND(E215=18,F215&lt;&gt;"ASTM A416"),L215,0),3)</f>
        <v/>
      </c>
      <c r="U215" s="20">
        <f>ROUND(U214+IF(AND(E215=20,F215&lt;&gt;"ASTM A416"),L215,0),3)</f>
        <v/>
      </c>
      <c r="V215" s="20">
        <f>ROUND(V214+IF(AND(E215=22,F215&lt;&gt;"ASTM A416"),L215,0),3)</f>
        <v/>
      </c>
      <c r="W215" s="20">
        <f>ROUND(W214+IF(AND(E215=25,F215&lt;&gt;"ASTM A416"),L215,0),3)</f>
        <v/>
      </c>
      <c r="X215" s="20">
        <f>ROUND(X214+IF(AND(E215=28,F215&lt;&gt;"ASTM A416"),L215,0),3)</f>
        <v/>
      </c>
      <c r="Y215" s="20">
        <f>ROUND(Y214+IF(AND(E215=32,F215&lt;&gt;"ASTM A416"),L215,0),3)</f>
        <v/>
      </c>
      <c r="Z215" s="20">
        <f>ROUND(Z214+IF(F215="ASTM A416",L215,0),3)</f>
        <v/>
      </c>
      <c r="AA215" s="11">
        <f>IF(ROUNDUP(P215/20,0)&gt;ROUNDUP(P214/20,0),"Lần " &amp; ROUNDUP(P215/20,0),"")</f>
        <v/>
      </c>
      <c r="AB215" s="11">
        <f>IF(ROUNDUP(Q215/20,0)&gt;ROUNDUP(Q214/20,0),"Lần " &amp; ROUNDUP(Q215/20,0),"")</f>
        <v/>
      </c>
      <c r="AC215" s="11">
        <f>IF(ROUNDUP(R215/20,0)&gt;ROUNDUP(R214/20,0),"Lần " &amp; ROUNDUP(R215/20,0),"")</f>
        <v/>
      </c>
      <c r="AD215" s="11">
        <f>IF(ROUNDUP(S215/20,0)&gt;ROUNDUP(S214/20,0),"Lần " &amp; ROUNDUP(S215/20,0),"")</f>
        <v/>
      </c>
      <c r="AE215" s="11">
        <f>IF(ROUNDUP(T215/20,0)&gt;ROUNDUP(T214/20,0),"Lần " &amp; ROUNDUP(T215/20,0),"")</f>
        <v/>
      </c>
      <c r="AF215" s="11">
        <f>IF(ROUNDUP(U215/20,0)&gt;ROUNDUP(U214/20,0),"Lần " &amp; ROUNDUP(U215/20,0),"")</f>
        <v/>
      </c>
      <c r="AG215" s="11">
        <f>IF(ROUNDUP(V215/20,0)&gt;ROUNDUP(V214/20,0),"Lần " &amp; ROUNDUP(V215/20,0),"")</f>
        <v/>
      </c>
      <c r="AH215" s="11">
        <f>IF(ROUNDUP(W215/20,0)&gt;ROUNDUP(W214/20,0),"Lần " &amp; ROUNDUP(W215/20,0),"")</f>
        <v/>
      </c>
      <c r="AI215" s="11">
        <f>IF(ROUNDUP(X215/20,0)&gt;ROUNDUP(X214/20,0),"Lần " &amp; ROUNDUP(X215/20,0),"")</f>
        <v/>
      </c>
      <c r="AJ215" s="11">
        <f>IF(ROUNDUP(Y215/20,0)&gt;ROUNDUP(Y214/20,0),"Lần " &amp; ROUNDUP(Y215/20,0),"")</f>
        <v/>
      </c>
      <c r="AK215" s="11">
        <f>IF(ROUNDUP(Z215/20,0)&gt;ROUNDUP(Z214/20,0),"Lần " &amp; ROUNDUP(Z215/20,0),"")</f>
        <v/>
      </c>
      <c r="AL215" s="6" t="n"/>
      <c r="AN215" t="inlineStr">
        <is>
          <t>Than</t>
        </is>
      </c>
      <c r="AO215" t="n">
        <v>49</v>
      </c>
    </row>
    <row r="216" ht="19" customHeight="1">
      <c r="A216" s="6" t="n">
        <v>208</v>
      </c>
      <c r="B216" s="7" t="inlineStr">
        <is>
          <t>Trụ T1, T2 (Xà mũ trụ)</t>
        </is>
      </c>
      <c r="C216" s="7" t="inlineStr">
        <is>
          <t>Xà mũ trụ T2 (tr.62)</t>
        </is>
      </c>
      <c r="D216" s="18" t="inlineStr">
        <is>
          <t>U2</t>
        </is>
      </c>
      <c r="E216" s="19" t="n">
        <v>16</v>
      </c>
      <c r="F216" s="6" t="inlineStr">
        <is>
          <t>CB400-V</t>
        </is>
      </c>
      <c r="G216" s="7" t="inlineStr"/>
      <c r="H216" s="20" t="n">
        <v>3.892</v>
      </c>
      <c r="I216" s="21" t="n">
        <v>28</v>
      </c>
      <c r="J216" s="22" t="n">
        <v>1.578</v>
      </c>
      <c r="K216" s="9">
        <f>ROUND(H216*I216*J216, 2)</f>
        <v/>
      </c>
      <c r="L216" s="23">
        <f>ROUND(K216/1000, 3)</f>
        <v/>
      </c>
      <c r="M216" s="8">
        <f>IF(AO216="","",IF(INDEX(Theo_Doi_Tan_Suat_Be_Tong!$C:$C,AO216)="","",INDEX(Theo_Doi_Tan_Suat_Be_Tong!$C:$C,AO216)-VLOOKUP(AN216,$AQ$2:$AR$7,2,FALSE)))</f>
        <v/>
      </c>
      <c r="N216" s="6" t="n"/>
      <c r="O216" s="24">
        <f>IF(ROUNDUP(S216/20,0)&gt;ROUNDUP(S215/20,0),"TN Ø16 (Lần " &amp; ROUNDUP(S216/20,0) &amp; ")","")</f>
        <v/>
      </c>
      <c r="P216" s="20">
        <f>ROUND(P215+IF(AND(E216&lt;=10,F216&lt;&gt;"ASTM A416"),L216,0),3)</f>
        <v/>
      </c>
      <c r="Q216" s="20">
        <f>ROUND(Q215+IF(AND(E216=12,F216&lt;&gt;"ASTM A416"),L216,0),3)</f>
        <v/>
      </c>
      <c r="R216" s="20">
        <f>ROUND(R215+IF(AND(E216=14,F216&lt;&gt;"ASTM A416"),L216,0),3)</f>
        <v/>
      </c>
      <c r="S216" s="20">
        <f>ROUND(S215+IF(AND(E216=16,F216&lt;&gt;"ASTM A416"),L216,0),3)</f>
        <v/>
      </c>
      <c r="T216" s="20">
        <f>ROUND(T215+IF(AND(E216=18,F216&lt;&gt;"ASTM A416"),L216,0),3)</f>
        <v/>
      </c>
      <c r="U216" s="20">
        <f>ROUND(U215+IF(AND(E216=20,F216&lt;&gt;"ASTM A416"),L216,0),3)</f>
        <v/>
      </c>
      <c r="V216" s="20">
        <f>ROUND(V215+IF(AND(E216=22,F216&lt;&gt;"ASTM A416"),L216,0),3)</f>
        <v/>
      </c>
      <c r="W216" s="20">
        <f>ROUND(W215+IF(AND(E216=25,F216&lt;&gt;"ASTM A416"),L216,0),3)</f>
        <v/>
      </c>
      <c r="X216" s="20">
        <f>ROUND(X215+IF(AND(E216=28,F216&lt;&gt;"ASTM A416"),L216,0),3)</f>
        <v/>
      </c>
      <c r="Y216" s="20">
        <f>ROUND(Y215+IF(AND(E216=32,F216&lt;&gt;"ASTM A416"),L216,0),3)</f>
        <v/>
      </c>
      <c r="Z216" s="20">
        <f>ROUND(Z215+IF(F216="ASTM A416",L216,0),3)</f>
        <v/>
      </c>
      <c r="AA216" s="11">
        <f>IF(ROUNDUP(P216/20,0)&gt;ROUNDUP(P215/20,0),"Lần " &amp; ROUNDUP(P216/20,0),"")</f>
        <v/>
      </c>
      <c r="AB216" s="11">
        <f>IF(ROUNDUP(Q216/20,0)&gt;ROUNDUP(Q215/20,0),"Lần " &amp; ROUNDUP(Q216/20,0),"")</f>
        <v/>
      </c>
      <c r="AC216" s="11">
        <f>IF(ROUNDUP(R216/20,0)&gt;ROUNDUP(R215/20,0),"Lần " &amp; ROUNDUP(R216/20,0),"")</f>
        <v/>
      </c>
      <c r="AD216" s="11">
        <f>IF(ROUNDUP(S216/20,0)&gt;ROUNDUP(S215/20,0),"Lần " &amp; ROUNDUP(S216/20,0),"")</f>
        <v/>
      </c>
      <c r="AE216" s="11">
        <f>IF(ROUNDUP(T216/20,0)&gt;ROUNDUP(T215/20,0),"Lần " &amp; ROUNDUP(T216/20,0),"")</f>
        <v/>
      </c>
      <c r="AF216" s="11">
        <f>IF(ROUNDUP(U216/20,0)&gt;ROUNDUP(U215/20,0),"Lần " &amp; ROUNDUP(U216/20,0),"")</f>
        <v/>
      </c>
      <c r="AG216" s="11">
        <f>IF(ROUNDUP(V216/20,0)&gt;ROUNDUP(V215/20,0),"Lần " &amp; ROUNDUP(V216/20,0),"")</f>
        <v/>
      </c>
      <c r="AH216" s="11">
        <f>IF(ROUNDUP(W216/20,0)&gt;ROUNDUP(W215/20,0),"Lần " &amp; ROUNDUP(W216/20,0),"")</f>
        <v/>
      </c>
      <c r="AI216" s="11">
        <f>IF(ROUNDUP(X216/20,0)&gt;ROUNDUP(X215/20,0),"Lần " &amp; ROUNDUP(X216/20,0),"")</f>
        <v/>
      </c>
      <c r="AJ216" s="11">
        <f>IF(ROUNDUP(Y216/20,0)&gt;ROUNDUP(Y215/20,0),"Lần " &amp; ROUNDUP(Y216/20,0),"")</f>
        <v/>
      </c>
      <c r="AK216" s="11">
        <f>IF(ROUNDUP(Z216/20,0)&gt;ROUNDUP(Z215/20,0),"Lần " &amp; ROUNDUP(Z216/20,0),"")</f>
        <v/>
      </c>
      <c r="AL216" s="6" t="n"/>
      <c r="AN216" t="inlineStr">
        <is>
          <t>Than</t>
        </is>
      </c>
      <c r="AO216" t="n">
        <v>49</v>
      </c>
    </row>
    <row r="217" ht="19" customHeight="1">
      <c r="A217" s="6" t="n">
        <v>209</v>
      </c>
      <c r="B217" s="7" t="inlineStr">
        <is>
          <t>Trụ T1, T2 (Xà mũ trụ)</t>
        </is>
      </c>
      <c r="C217" s="7" t="inlineStr">
        <is>
          <t>Xà mũ trụ T2 (tr.62)</t>
        </is>
      </c>
      <c r="D217" s="18" t="inlineStr">
        <is>
          <t>U3</t>
        </is>
      </c>
      <c r="E217" s="19" t="n">
        <v>16</v>
      </c>
      <c r="F217" s="6" t="inlineStr">
        <is>
          <t>CB400-V</t>
        </is>
      </c>
      <c r="G217" s="7" t="inlineStr">
        <is>
          <t>S51</t>
        </is>
      </c>
      <c r="H217" s="20" t="n">
        <v>3.256</v>
      </c>
      <c r="I217" s="21" t="n">
        <v>48</v>
      </c>
      <c r="J217" s="22" t="n">
        <v>1.578</v>
      </c>
      <c r="K217" s="9">
        <f>ROUND(H217*I217*J217, 2)</f>
        <v/>
      </c>
      <c r="L217" s="23">
        <f>ROUND(K217/1000, 3)</f>
        <v/>
      </c>
      <c r="M217" s="8">
        <f>IF(AO217="","",IF(INDEX(Theo_Doi_Tan_Suat_Be_Tong!$C:$C,AO217)="","",INDEX(Theo_Doi_Tan_Suat_Be_Tong!$C:$C,AO217)-VLOOKUP(AN217,$AQ$2:$AR$7,2,FALSE)))</f>
        <v/>
      </c>
      <c r="N217" s="6" t="n"/>
      <c r="O217" s="24">
        <f>IF(ROUNDUP(S217/20,0)&gt;ROUNDUP(S216/20,0),"TN Ø16 (Lần " &amp; ROUNDUP(S217/20,0) &amp; ")","")</f>
        <v/>
      </c>
      <c r="P217" s="20">
        <f>ROUND(P216+IF(AND(E217&lt;=10,F217&lt;&gt;"ASTM A416"),L217,0),3)</f>
        <v/>
      </c>
      <c r="Q217" s="20">
        <f>ROUND(Q216+IF(AND(E217=12,F217&lt;&gt;"ASTM A416"),L217,0),3)</f>
        <v/>
      </c>
      <c r="R217" s="20">
        <f>ROUND(R216+IF(AND(E217=14,F217&lt;&gt;"ASTM A416"),L217,0),3)</f>
        <v/>
      </c>
      <c r="S217" s="20">
        <f>ROUND(S216+IF(AND(E217=16,F217&lt;&gt;"ASTM A416"),L217,0),3)</f>
        <v/>
      </c>
      <c r="T217" s="20">
        <f>ROUND(T216+IF(AND(E217=18,F217&lt;&gt;"ASTM A416"),L217,0),3)</f>
        <v/>
      </c>
      <c r="U217" s="20">
        <f>ROUND(U216+IF(AND(E217=20,F217&lt;&gt;"ASTM A416"),L217,0),3)</f>
        <v/>
      </c>
      <c r="V217" s="20">
        <f>ROUND(V216+IF(AND(E217=22,F217&lt;&gt;"ASTM A416"),L217,0),3)</f>
        <v/>
      </c>
      <c r="W217" s="20">
        <f>ROUND(W216+IF(AND(E217=25,F217&lt;&gt;"ASTM A416"),L217,0),3)</f>
        <v/>
      </c>
      <c r="X217" s="20">
        <f>ROUND(X216+IF(AND(E217=28,F217&lt;&gt;"ASTM A416"),L217,0),3)</f>
        <v/>
      </c>
      <c r="Y217" s="20">
        <f>ROUND(Y216+IF(AND(E217=32,F217&lt;&gt;"ASTM A416"),L217,0),3)</f>
        <v/>
      </c>
      <c r="Z217" s="20">
        <f>ROUND(Z216+IF(F217="ASTM A416",L217,0),3)</f>
        <v/>
      </c>
      <c r="AA217" s="11">
        <f>IF(ROUNDUP(P217/20,0)&gt;ROUNDUP(P216/20,0),"Lần " &amp; ROUNDUP(P217/20,0),"")</f>
        <v/>
      </c>
      <c r="AB217" s="11">
        <f>IF(ROUNDUP(Q217/20,0)&gt;ROUNDUP(Q216/20,0),"Lần " &amp; ROUNDUP(Q217/20,0),"")</f>
        <v/>
      </c>
      <c r="AC217" s="11">
        <f>IF(ROUNDUP(R217/20,0)&gt;ROUNDUP(R216/20,0),"Lần " &amp; ROUNDUP(R217/20,0),"")</f>
        <v/>
      </c>
      <c r="AD217" s="11">
        <f>IF(ROUNDUP(S217/20,0)&gt;ROUNDUP(S216/20,0),"Lần " &amp; ROUNDUP(S217/20,0),"")</f>
        <v/>
      </c>
      <c r="AE217" s="11">
        <f>IF(ROUNDUP(T217/20,0)&gt;ROUNDUP(T216/20,0),"Lần " &amp; ROUNDUP(T217/20,0),"")</f>
        <v/>
      </c>
      <c r="AF217" s="11">
        <f>IF(ROUNDUP(U217/20,0)&gt;ROUNDUP(U216/20,0),"Lần " &amp; ROUNDUP(U217/20,0),"")</f>
        <v/>
      </c>
      <c r="AG217" s="11">
        <f>IF(ROUNDUP(V217/20,0)&gt;ROUNDUP(V216/20,0),"Lần " &amp; ROUNDUP(V217/20,0),"")</f>
        <v/>
      </c>
      <c r="AH217" s="11">
        <f>IF(ROUNDUP(W217/20,0)&gt;ROUNDUP(W216/20,0),"Lần " &amp; ROUNDUP(W217/20,0),"")</f>
        <v/>
      </c>
      <c r="AI217" s="11">
        <f>IF(ROUNDUP(X217/20,0)&gt;ROUNDUP(X216/20,0),"Lần " &amp; ROUNDUP(X217/20,0),"")</f>
        <v/>
      </c>
      <c r="AJ217" s="11">
        <f>IF(ROUNDUP(Y217/20,0)&gt;ROUNDUP(Y216/20,0),"Lần " &amp; ROUNDUP(Y217/20,0),"")</f>
        <v/>
      </c>
      <c r="AK217" s="11">
        <f>IF(ROUNDUP(Z217/20,0)&gt;ROUNDUP(Z216/20,0),"Lần " &amp; ROUNDUP(Z217/20,0),"")</f>
        <v/>
      </c>
      <c r="AL217" s="6" t="n"/>
      <c r="AN217" t="inlineStr">
        <is>
          <t>Than</t>
        </is>
      </c>
      <c r="AO217" t="n">
        <v>49</v>
      </c>
    </row>
    <row r="218" ht="19" customHeight="1">
      <c r="A218" s="6" t="n">
        <v>210</v>
      </c>
      <c r="B218" s="7" t="inlineStr">
        <is>
          <t>Trụ T1, T2 (Xà mũ trụ)</t>
        </is>
      </c>
      <c r="C218" s="7" t="inlineStr">
        <is>
          <t>Xà mũ trụ T2 (tr.62)</t>
        </is>
      </c>
      <c r="D218" s="18" t="inlineStr">
        <is>
          <t>U4</t>
        </is>
      </c>
      <c r="E218" s="19" t="n">
        <v>8</v>
      </c>
      <c r="F218" s="6" t="inlineStr">
        <is>
          <t>CB240-T</t>
        </is>
      </c>
      <c r="G218" s="7" t="inlineStr">
        <is>
          <t>S32</t>
        </is>
      </c>
      <c r="H218" s="20" t="n">
        <v>1.837</v>
      </c>
      <c r="I218" s="21" t="n">
        <v>8</v>
      </c>
      <c r="J218" s="22" t="n">
        <v>0.395</v>
      </c>
      <c r="K218" s="9">
        <f>ROUND(H218*I218*J218, 2)</f>
        <v/>
      </c>
      <c r="L218" s="23">
        <f>ROUND(K218/1000, 3)</f>
        <v/>
      </c>
      <c r="M218" s="8">
        <f>IF(AO218="","",IF(INDEX(Theo_Doi_Tan_Suat_Be_Tong!$C:$C,AO218)="","",INDEX(Theo_Doi_Tan_Suat_Be_Tong!$C:$C,AO218)-VLOOKUP(AN218,$AQ$2:$AR$7,2,FALSE)))</f>
        <v/>
      </c>
      <c r="N218" s="6" t="n"/>
      <c r="O218" s="24">
        <f>IF(ROUNDUP(P218/20,0)&gt;ROUNDUP(P217/20,0),"TN Ø10 (Lần " &amp; ROUNDUP(P218/20,0) &amp; ")","")</f>
        <v/>
      </c>
      <c r="P218" s="20">
        <f>ROUND(P217+IF(AND(E218&lt;=10,F218&lt;&gt;"ASTM A416"),L218,0),3)</f>
        <v/>
      </c>
      <c r="Q218" s="20">
        <f>ROUND(Q217+IF(AND(E218=12,F218&lt;&gt;"ASTM A416"),L218,0),3)</f>
        <v/>
      </c>
      <c r="R218" s="20">
        <f>ROUND(R217+IF(AND(E218=14,F218&lt;&gt;"ASTM A416"),L218,0),3)</f>
        <v/>
      </c>
      <c r="S218" s="20">
        <f>ROUND(S217+IF(AND(E218=16,F218&lt;&gt;"ASTM A416"),L218,0),3)</f>
        <v/>
      </c>
      <c r="T218" s="20">
        <f>ROUND(T217+IF(AND(E218=18,F218&lt;&gt;"ASTM A416"),L218,0),3)</f>
        <v/>
      </c>
      <c r="U218" s="20">
        <f>ROUND(U217+IF(AND(E218=20,F218&lt;&gt;"ASTM A416"),L218,0),3)</f>
        <v/>
      </c>
      <c r="V218" s="20">
        <f>ROUND(V217+IF(AND(E218=22,F218&lt;&gt;"ASTM A416"),L218,0),3)</f>
        <v/>
      </c>
      <c r="W218" s="20">
        <f>ROUND(W217+IF(AND(E218=25,F218&lt;&gt;"ASTM A416"),L218,0),3)</f>
        <v/>
      </c>
      <c r="X218" s="20">
        <f>ROUND(X217+IF(AND(E218=28,F218&lt;&gt;"ASTM A416"),L218,0),3)</f>
        <v/>
      </c>
      <c r="Y218" s="20">
        <f>ROUND(Y217+IF(AND(E218=32,F218&lt;&gt;"ASTM A416"),L218,0),3)</f>
        <v/>
      </c>
      <c r="Z218" s="20">
        <f>ROUND(Z217+IF(F218="ASTM A416",L218,0),3)</f>
        <v/>
      </c>
      <c r="AA218" s="11">
        <f>IF(ROUNDUP(P218/20,0)&gt;ROUNDUP(P217/20,0),"Lần " &amp; ROUNDUP(P218/20,0),"")</f>
        <v/>
      </c>
      <c r="AB218" s="11">
        <f>IF(ROUNDUP(Q218/20,0)&gt;ROUNDUP(Q217/20,0),"Lần " &amp; ROUNDUP(Q218/20,0),"")</f>
        <v/>
      </c>
      <c r="AC218" s="11">
        <f>IF(ROUNDUP(R218/20,0)&gt;ROUNDUP(R217/20,0),"Lần " &amp; ROUNDUP(R218/20,0),"")</f>
        <v/>
      </c>
      <c r="AD218" s="11">
        <f>IF(ROUNDUP(S218/20,0)&gt;ROUNDUP(S217/20,0),"Lần " &amp; ROUNDUP(S218/20,0),"")</f>
        <v/>
      </c>
      <c r="AE218" s="11">
        <f>IF(ROUNDUP(T218/20,0)&gt;ROUNDUP(T217/20,0),"Lần " &amp; ROUNDUP(T218/20,0),"")</f>
        <v/>
      </c>
      <c r="AF218" s="11">
        <f>IF(ROUNDUP(U218/20,0)&gt;ROUNDUP(U217/20,0),"Lần " &amp; ROUNDUP(U218/20,0),"")</f>
        <v/>
      </c>
      <c r="AG218" s="11">
        <f>IF(ROUNDUP(V218/20,0)&gt;ROUNDUP(V217/20,0),"Lần " &amp; ROUNDUP(V218/20,0),"")</f>
        <v/>
      </c>
      <c r="AH218" s="11">
        <f>IF(ROUNDUP(W218/20,0)&gt;ROUNDUP(W217/20,0),"Lần " &amp; ROUNDUP(W218/20,0),"")</f>
        <v/>
      </c>
      <c r="AI218" s="11">
        <f>IF(ROUNDUP(X218/20,0)&gt;ROUNDUP(X217/20,0),"Lần " &amp; ROUNDUP(X218/20,0),"")</f>
        <v/>
      </c>
      <c r="AJ218" s="11">
        <f>IF(ROUNDUP(Y218/20,0)&gt;ROUNDUP(Y217/20,0),"Lần " &amp; ROUNDUP(Y218/20,0),"")</f>
        <v/>
      </c>
      <c r="AK218" s="11">
        <f>IF(ROUNDUP(Z218/20,0)&gt;ROUNDUP(Z217/20,0),"Lần " &amp; ROUNDUP(Z218/20,0),"")</f>
        <v/>
      </c>
      <c r="AL218" s="6" t="n"/>
      <c r="AN218" t="inlineStr">
        <is>
          <t>Than</t>
        </is>
      </c>
      <c r="AO218" t="n">
        <v>49</v>
      </c>
    </row>
    <row r="219" ht="19" customHeight="1">
      <c r="A219" s="6" t="n">
        <v>211</v>
      </c>
      <c r="B219" s="7" t="inlineStr">
        <is>
          <t>Trụ T1, T2 (Xà mũ trụ)</t>
        </is>
      </c>
      <c r="C219" s="7" t="inlineStr">
        <is>
          <t>Xà mũ trụ T2 (tr.62)</t>
        </is>
      </c>
      <c r="D219" s="18" t="inlineStr">
        <is>
          <t>G1</t>
        </is>
      </c>
      <c r="E219" s="19" t="n">
        <v>6</v>
      </c>
      <c r="F219" s="6" t="inlineStr">
        <is>
          <t>CB240-T</t>
        </is>
      </c>
      <c r="G219" s="7" t="inlineStr"/>
      <c r="H219" s="20" t="n">
        <v>0.46</v>
      </c>
      <c r="I219" s="21" t="n">
        <v>130</v>
      </c>
      <c r="J219" s="22" t="n">
        <v>0.222</v>
      </c>
      <c r="K219" s="9">
        <f>ROUND(H219*I219*J219, 2)</f>
        <v/>
      </c>
      <c r="L219" s="23">
        <f>ROUND(K219/1000, 3)</f>
        <v/>
      </c>
      <c r="M219" s="8">
        <f>IF(AO219="","",IF(INDEX(Theo_Doi_Tan_Suat_Be_Tong!$C:$C,AO219)="","",INDEX(Theo_Doi_Tan_Suat_Be_Tong!$C:$C,AO219)-VLOOKUP(AN219,$AQ$2:$AR$7,2,FALSE)))</f>
        <v/>
      </c>
      <c r="N219" s="6" t="n"/>
      <c r="O219" s="24">
        <f>IF(ROUNDUP(P219/20,0)&gt;ROUNDUP(P218/20,0),"TN Ø10 (Lần " &amp; ROUNDUP(P219/20,0) &amp; ")","")</f>
        <v/>
      </c>
      <c r="P219" s="20">
        <f>ROUND(P218+IF(AND(E219&lt;=10,F219&lt;&gt;"ASTM A416"),L219,0),3)</f>
        <v/>
      </c>
      <c r="Q219" s="20">
        <f>ROUND(Q218+IF(AND(E219=12,F219&lt;&gt;"ASTM A416"),L219,0),3)</f>
        <v/>
      </c>
      <c r="R219" s="20">
        <f>ROUND(R218+IF(AND(E219=14,F219&lt;&gt;"ASTM A416"),L219,0),3)</f>
        <v/>
      </c>
      <c r="S219" s="20">
        <f>ROUND(S218+IF(AND(E219=16,F219&lt;&gt;"ASTM A416"),L219,0),3)</f>
        <v/>
      </c>
      <c r="T219" s="20">
        <f>ROUND(T218+IF(AND(E219=18,F219&lt;&gt;"ASTM A416"),L219,0),3)</f>
        <v/>
      </c>
      <c r="U219" s="20">
        <f>ROUND(U218+IF(AND(E219=20,F219&lt;&gt;"ASTM A416"),L219,0),3)</f>
        <v/>
      </c>
      <c r="V219" s="20">
        <f>ROUND(V218+IF(AND(E219=22,F219&lt;&gt;"ASTM A416"),L219,0),3)</f>
        <v/>
      </c>
      <c r="W219" s="20">
        <f>ROUND(W218+IF(AND(E219=25,F219&lt;&gt;"ASTM A416"),L219,0),3)</f>
        <v/>
      </c>
      <c r="X219" s="20">
        <f>ROUND(X218+IF(AND(E219=28,F219&lt;&gt;"ASTM A416"),L219,0),3)</f>
        <v/>
      </c>
      <c r="Y219" s="20">
        <f>ROUND(Y218+IF(AND(E219=32,F219&lt;&gt;"ASTM A416"),L219,0),3)</f>
        <v/>
      </c>
      <c r="Z219" s="20">
        <f>ROUND(Z218+IF(F219="ASTM A416",L219,0),3)</f>
        <v/>
      </c>
      <c r="AA219" s="11">
        <f>IF(ROUNDUP(P219/20,0)&gt;ROUNDUP(P218/20,0),"Lần " &amp; ROUNDUP(P219/20,0),"")</f>
        <v/>
      </c>
      <c r="AB219" s="11">
        <f>IF(ROUNDUP(Q219/20,0)&gt;ROUNDUP(Q218/20,0),"Lần " &amp; ROUNDUP(Q219/20,0),"")</f>
        <v/>
      </c>
      <c r="AC219" s="11">
        <f>IF(ROUNDUP(R219/20,0)&gt;ROUNDUP(R218/20,0),"Lần " &amp; ROUNDUP(R219/20,0),"")</f>
        <v/>
      </c>
      <c r="AD219" s="11">
        <f>IF(ROUNDUP(S219/20,0)&gt;ROUNDUP(S218/20,0),"Lần " &amp; ROUNDUP(S219/20,0),"")</f>
        <v/>
      </c>
      <c r="AE219" s="11">
        <f>IF(ROUNDUP(T219/20,0)&gt;ROUNDUP(T218/20,0),"Lần " &amp; ROUNDUP(T219/20,0),"")</f>
        <v/>
      </c>
      <c r="AF219" s="11">
        <f>IF(ROUNDUP(U219/20,0)&gt;ROUNDUP(U218/20,0),"Lần " &amp; ROUNDUP(U219/20,0),"")</f>
        <v/>
      </c>
      <c r="AG219" s="11">
        <f>IF(ROUNDUP(V219/20,0)&gt;ROUNDUP(V218/20,0),"Lần " &amp; ROUNDUP(V219/20,0),"")</f>
        <v/>
      </c>
      <c r="AH219" s="11">
        <f>IF(ROUNDUP(W219/20,0)&gt;ROUNDUP(W218/20,0),"Lần " &amp; ROUNDUP(W219/20,0),"")</f>
        <v/>
      </c>
      <c r="AI219" s="11">
        <f>IF(ROUNDUP(X219/20,0)&gt;ROUNDUP(X218/20,0),"Lần " &amp; ROUNDUP(X219/20,0),"")</f>
        <v/>
      </c>
      <c r="AJ219" s="11">
        <f>IF(ROUNDUP(Y219/20,0)&gt;ROUNDUP(Y218/20,0),"Lần " &amp; ROUNDUP(Y219/20,0),"")</f>
        <v/>
      </c>
      <c r="AK219" s="11">
        <f>IF(ROUNDUP(Z219/20,0)&gt;ROUNDUP(Z218/20,0),"Lần " &amp; ROUNDUP(Z219/20,0),"")</f>
        <v/>
      </c>
      <c r="AL219" s="6" t="n"/>
      <c r="AN219" t="inlineStr">
        <is>
          <t>Than</t>
        </is>
      </c>
      <c r="AO219" t="n">
        <v>49</v>
      </c>
    </row>
    <row r="220" ht="19" customHeight="1">
      <c r="A220" s="6" t="n">
        <v>212</v>
      </c>
      <c r="B220" s="7" t="inlineStr">
        <is>
          <t>Trụ T1, T2 (Xà mũ trụ)</t>
        </is>
      </c>
      <c r="C220" s="7" t="inlineStr">
        <is>
          <t>Xà mũ trụ T2 (tr.62)</t>
        </is>
      </c>
      <c r="D220" s="18" t="inlineStr">
        <is>
          <t>G2</t>
        </is>
      </c>
      <c r="E220" s="19" t="n">
        <v>6</v>
      </c>
      <c r="F220" s="6" t="inlineStr">
        <is>
          <t>CB240-T</t>
        </is>
      </c>
      <c r="G220" s="7" t="inlineStr"/>
      <c r="H220" s="20" t="n">
        <v>0.72</v>
      </c>
      <c r="I220" s="21" t="n">
        <v>100</v>
      </c>
      <c r="J220" s="22" t="n">
        <v>0.222</v>
      </c>
      <c r="K220" s="9">
        <f>ROUND(H220*I220*J220, 2)</f>
        <v/>
      </c>
      <c r="L220" s="23">
        <f>ROUND(K220/1000, 3)</f>
        <v/>
      </c>
      <c r="M220" s="8">
        <f>IF(AO220="","",IF(INDEX(Theo_Doi_Tan_Suat_Be_Tong!$C:$C,AO220)="","",INDEX(Theo_Doi_Tan_Suat_Be_Tong!$C:$C,AO220)-VLOOKUP(AN220,$AQ$2:$AR$7,2,FALSE)))</f>
        <v/>
      </c>
      <c r="N220" s="6" t="n"/>
      <c r="O220" s="24">
        <f>IF(ROUNDUP(P220/20,0)&gt;ROUNDUP(P219/20,0),"TN Ø10 (Lần " &amp; ROUNDUP(P220/20,0) &amp; ")","")</f>
        <v/>
      </c>
      <c r="P220" s="20">
        <f>ROUND(P219+IF(AND(E220&lt;=10,F220&lt;&gt;"ASTM A416"),L220,0),3)</f>
        <v/>
      </c>
      <c r="Q220" s="20">
        <f>ROUND(Q219+IF(AND(E220=12,F220&lt;&gt;"ASTM A416"),L220,0),3)</f>
        <v/>
      </c>
      <c r="R220" s="20">
        <f>ROUND(R219+IF(AND(E220=14,F220&lt;&gt;"ASTM A416"),L220,0),3)</f>
        <v/>
      </c>
      <c r="S220" s="20">
        <f>ROUND(S219+IF(AND(E220=16,F220&lt;&gt;"ASTM A416"),L220,0),3)</f>
        <v/>
      </c>
      <c r="T220" s="20">
        <f>ROUND(T219+IF(AND(E220=18,F220&lt;&gt;"ASTM A416"),L220,0),3)</f>
        <v/>
      </c>
      <c r="U220" s="20">
        <f>ROUND(U219+IF(AND(E220=20,F220&lt;&gt;"ASTM A416"),L220,0),3)</f>
        <v/>
      </c>
      <c r="V220" s="20">
        <f>ROUND(V219+IF(AND(E220=22,F220&lt;&gt;"ASTM A416"),L220,0),3)</f>
        <v/>
      </c>
      <c r="W220" s="20">
        <f>ROUND(W219+IF(AND(E220=25,F220&lt;&gt;"ASTM A416"),L220,0),3)</f>
        <v/>
      </c>
      <c r="X220" s="20">
        <f>ROUND(X219+IF(AND(E220=28,F220&lt;&gt;"ASTM A416"),L220,0),3)</f>
        <v/>
      </c>
      <c r="Y220" s="20">
        <f>ROUND(Y219+IF(AND(E220=32,F220&lt;&gt;"ASTM A416"),L220,0),3)</f>
        <v/>
      </c>
      <c r="Z220" s="20">
        <f>ROUND(Z219+IF(F220="ASTM A416",L220,0),3)</f>
        <v/>
      </c>
      <c r="AA220" s="11">
        <f>IF(ROUNDUP(P220/20,0)&gt;ROUNDUP(P219/20,0),"Lần " &amp; ROUNDUP(P220/20,0),"")</f>
        <v/>
      </c>
      <c r="AB220" s="11">
        <f>IF(ROUNDUP(Q220/20,0)&gt;ROUNDUP(Q219/20,0),"Lần " &amp; ROUNDUP(Q220/20,0),"")</f>
        <v/>
      </c>
      <c r="AC220" s="11">
        <f>IF(ROUNDUP(R220/20,0)&gt;ROUNDUP(R219/20,0),"Lần " &amp; ROUNDUP(R220/20,0),"")</f>
        <v/>
      </c>
      <c r="AD220" s="11">
        <f>IF(ROUNDUP(S220/20,0)&gt;ROUNDUP(S219/20,0),"Lần " &amp; ROUNDUP(S220/20,0),"")</f>
        <v/>
      </c>
      <c r="AE220" s="11">
        <f>IF(ROUNDUP(T220/20,0)&gt;ROUNDUP(T219/20,0),"Lần " &amp; ROUNDUP(T220/20,0),"")</f>
        <v/>
      </c>
      <c r="AF220" s="11">
        <f>IF(ROUNDUP(U220/20,0)&gt;ROUNDUP(U219/20,0),"Lần " &amp; ROUNDUP(U220/20,0),"")</f>
        <v/>
      </c>
      <c r="AG220" s="11">
        <f>IF(ROUNDUP(V220/20,0)&gt;ROUNDUP(V219/20,0),"Lần " &amp; ROUNDUP(V220/20,0),"")</f>
        <v/>
      </c>
      <c r="AH220" s="11">
        <f>IF(ROUNDUP(W220/20,0)&gt;ROUNDUP(W219/20,0),"Lần " &amp; ROUNDUP(W220/20,0),"")</f>
        <v/>
      </c>
      <c r="AI220" s="11">
        <f>IF(ROUNDUP(X220/20,0)&gt;ROUNDUP(X219/20,0),"Lần " &amp; ROUNDUP(X220/20,0),"")</f>
        <v/>
      </c>
      <c r="AJ220" s="11">
        <f>IF(ROUNDUP(Y220/20,0)&gt;ROUNDUP(Y219/20,0),"Lần " &amp; ROUNDUP(Y220/20,0),"")</f>
        <v/>
      </c>
      <c r="AK220" s="11">
        <f>IF(ROUNDUP(Z220/20,0)&gt;ROUNDUP(Z219/20,0),"Lần " &amp; ROUNDUP(Z220/20,0),"")</f>
        <v/>
      </c>
      <c r="AL220" s="6" t="n"/>
      <c r="AN220" t="inlineStr">
        <is>
          <t>Than</t>
        </is>
      </c>
      <c r="AO220" t="n">
        <v>49</v>
      </c>
    </row>
    <row r="221" ht="19" customHeight="1">
      <c r="A221" s="17" t="inlineStr">
        <is>
          <t>--- DẦM CHỦ SUPER-T (15 PHIẾN L=38.2M) ---</t>
        </is>
      </c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 t="n"/>
      <c r="AF221" s="35" t="n"/>
      <c r="AG221" s="35" t="n"/>
      <c r="AH221" s="35" t="n"/>
      <c r="AI221" s="35" t="n"/>
      <c r="AJ221" s="35" t="n"/>
      <c r="AK221" s="35" t="n"/>
      <c r="AL221" s="34" t="n"/>
    </row>
    <row r="222" ht="19" customHeight="1">
      <c r="A222" s="6" t="n">
        <v>213</v>
      </c>
      <c r="B222" s="7" t="inlineStr">
        <is>
          <t>Dầm chủ Super-T (15 phiến L=38.2m)</t>
        </is>
      </c>
      <c r="C222" s="7" t="inlineStr">
        <is>
          <t>Dầm S1B1 (tr.88)</t>
        </is>
      </c>
      <c r="D222" s="18" t="inlineStr">
        <is>
          <t>G1a</t>
        </is>
      </c>
      <c r="E222" s="19" t="n">
        <v>16</v>
      </c>
      <c r="F222" s="6" t="inlineStr">
        <is>
          <t>CB400-V</t>
        </is>
      </c>
      <c r="G222" s="7" t="inlineStr">
        <is>
          <t>S06</t>
        </is>
      </c>
      <c r="H222" s="20" t="n">
        <v>5.056</v>
      </c>
      <c r="I222" s="21" t="n">
        <v>288</v>
      </c>
      <c r="J222" s="22" t="n">
        <v>1.578</v>
      </c>
      <c r="K222" s="9">
        <f>ROUND(H222*I222*J222, 2)</f>
        <v/>
      </c>
      <c r="L222" s="23">
        <f>ROUND(K222/1000, 3)</f>
        <v/>
      </c>
      <c r="M222" s="8">
        <f>IF(AO222="","",IF(INDEX(Theo_Doi_Tan_Suat_Be_Tong!$C:$C,AO222)="","",INDEX(Theo_Doi_Tan_Suat_Be_Tong!$C:$C,AO222)-VLOOKUP(AN222,$AQ$2:$AR$7,2,FALSE)))</f>
        <v/>
      </c>
      <c r="N222" s="6" t="n"/>
      <c r="O222" s="24">
        <f>IF(ROUNDUP(S222/20,0)&gt;ROUNDUP(S220/20,0),"TN Ø16 (Lần " &amp; ROUNDUP(S222/20,0) &amp; ")","")</f>
        <v/>
      </c>
      <c r="P222" s="20">
        <f>ROUND(P220+IF(AND(E222&lt;=10,F222&lt;&gt;"ASTM A416"),L222,0),3)</f>
        <v/>
      </c>
      <c r="Q222" s="20">
        <f>ROUND(Q220+IF(AND(E222=12,F222&lt;&gt;"ASTM A416"),L222,0),3)</f>
        <v/>
      </c>
      <c r="R222" s="20">
        <f>ROUND(R220+IF(AND(E222=14,F222&lt;&gt;"ASTM A416"),L222,0),3)</f>
        <v/>
      </c>
      <c r="S222" s="20">
        <f>ROUND(S220+IF(AND(E222=16,F222&lt;&gt;"ASTM A416"),L222,0),3)</f>
        <v/>
      </c>
      <c r="T222" s="20">
        <f>ROUND(T220+IF(AND(E222=18,F222&lt;&gt;"ASTM A416"),L222,0),3)</f>
        <v/>
      </c>
      <c r="U222" s="20">
        <f>ROUND(U220+IF(AND(E222=20,F222&lt;&gt;"ASTM A416"),L222,0),3)</f>
        <v/>
      </c>
      <c r="V222" s="20">
        <f>ROUND(V220+IF(AND(E222=22,F222&lt;&gt;"ASTM A416"),L222,0),3)</f>
        <v/>
      </c>
      <c r="W222" s="20">
        <f>ROUND(W220+IF(AND(E222=25,F222&lt;&gt;"ASTM A416"),L222,0),3)</f>
        <v/>
      </c>
      <c r="X222" s="20">
        <f>ROUND(X220+IF(AND(E222=28,F222&lt;&gt;"ASTM A416"),L222,0),3)</f>
        <v/>
      </c>
      <c r="Y222" s="20">
        <f>ROUND(Y220+IF(AND(E222=32,F222&lt;&gt;"ASTM A416"),L222,0),3)</f>
        <v/>
      </c>
      <c r="Z222" s="20">
        <f>ROUND(Z220+IF(F222="ASTM A416",L222,0),3)</f>
        <v/>
      </c>
      <c r="AA222" s="11">
        <f>IF(ROUNDUP(P222/20,0)&gt;ROUNDUP(P220/20,0),"Lần " &amp; ROUNDUP(P222/20,0),"")</f>
        <v/>
      </c>
      <c r="AB222" s="11">
        <f>IF(ROUNDUP(Q222/20,0)&gt;ROUNDUP(Q220/20,0),"Lần " &amp; ROUNDUP(Q222/20,0),"")</f>
        <v/>
      </c>
      <c r="AC222" s="11">
        <f>IF(ROUNDUP(R222/20,0)&gt;ROUNDUP(R220/20,0),"Lần " &amp; ROUNDUP(R222/20,0),"")</f>
        <v/>
      </c>
      <c r="AD222" s="11">
        <f>IF(ROUNDUP(S222/20,0)&gt;ROUNDUP(S220/20,0),"Lần " &amp; ROUNDUP(S222/20,0),"")</f>
        <v/>
      </c>
      <c r="AE222" s="11">
        <f>IF(ROUNDUP(T222/20,0)&gt;ROUNDUP(T220/20,0),"Lần " &amp; ROUNDUP(T222/20,0),"")</f>
        <v/>
      </c>
      <c r="AF222" s="11">
        <f>IF(ROUNDUP(U222/20,0)&gt;ROUNDUP(U220/20,0),"Lần " &amp; ROUNDUP(U222/20,0),"")</f>
        <v/>
      </c>
      <c r="AG222" s="11">
        <f>IF(ROUNDUP(V222/20,0)&gt;ROUNDUP(V220/20,0),"Lần " &amp; ROUNDUP(V222/20,0),"")</f>
        <v/>
      </c>
      <c r="AH222" s="11">
        <f>IF(ROUNDUP(W222/20,0)&gt;ROUNDUP(W220/20,0),"Lần " &amp; ROUNDUP(W222/20,0),"")</f>
        <v/>
      </c>
      <c r="AI222" s="11">
        <f>IF(ROUNDUP(X222/20,0)&gt;ROUNDUP(X220/20,0),"Lần " &amp; ROUNDUP(X222/20,0),"")</f>
        <v/>
      </c>
      <c r="AJ222" s="11">
        <f>IF(ROUNDUP(Y222/20,0)&gt;ROUNDUP(Y220/20,0),"Lần " &amp; ROUNDUP(Y222/20,0),"")</f>
        <v/>
      </c>
      <c r="AK222" s="11">
        <f>IF(ROUNDUP(Z222/20,0)&gt;ROUNDUP(Z220/20,0),"Lần " &amp; ROUNDUP(Z222/20,0),"")</f>
        <v/>
      </c>
      <c r="AL222" s="6" t="n"/>
      <c r="AN222" t="inlineStr">
        <is>
          <t>Dam</t>
        </is>
      </c>
      <c r="AO222" t="n">
        <v>59</v>
      </c>
    </row>
    <row r="223" ht="19" customHeight="1">
      <c r="A223" s="6" t="n">
        <v>214</v>
      </c>
      <c r="B223" s="7" t="inlineStr">
        <is>
          <t>Dầm chủ Super-T (15 phiến L=38.2m)</t>
        </is>
      </c>
      <c r="C223" s="7" t="inlineStr">
        <is>
          <t>Dầm S1B1 (tr.88)</t>
        </is>
      </c>
      <c r="D223" s="18" t="inlineStr">
        <is>
          <t>G1b</t>
        </is>
      </c>
      <c r="E223" s="19" t="n">
        <v>12</v>
      </c>
      <c r="F223" s="6" t="inlineStr">
        <is>
          <t>CB400-V</t>
        </is>
      </c>
      <c r="G223" s="7" t="inlineStr">
        <is>
          <t>S06</t>
        </is>
      </c>
      <c r="H223" s="20" t="n">
        <v>5.075</v>
      </c>
      <c r="I223" s="21" t="n">
        <v>250</v>
      </c>
      <c r="J223" s="22" t="n">
        <v>0.888</v>
      </c>
      <c r="K223" s="9">
        <f>ROUND(H223*I223*J223, 2)</f>
        <v/>
      </c>
      <c r="L223" s="23">
        <f>ROUND(K223/1000, 3)</f>
        <v/>
      </c>
      <c r="M223" s="8">
        <f>IF(AO223="","",IF(INDEX(Theo_Doi_Tan_Suat_Be_Tong!$C:$C,AO223)="","",INDEX(Theo_Doi_Tan_Suat_Be_Tong!$C:$C,AO223)-VLOOKUP(AN223,$AQ$2:$AR$7,2,FALSE)))</f>
        <v/>
      </c>
      <c r="N223" s="6" t="n"/>
      <c r="O223" s="24">
        <f>IF(ROUNDUP(Q223/20,0)&gt;ROUNDUP(Q222/20,0),"TN Ø12 (Lần " &amp; ROUNDUP(Q223/20,0) &amp; ")","")</f>
        <v/>
      </c>
      <c r="P223" s="20">
        <f>ROUND(P222+IF(AND(E223&lt;=10,F223&lt;&gt;"ASTM A416"),L223,0),3)</f>
        <v/>
      </c>
      <c r="Q223" s="20">
        <f>ROUND(Q222+IF(AND(E223=12,F223&lt;&gt;"ASTM A416"),L223,0),3)</f>
        <v/>
      </c>
      <c r="R223" s="20">
        <f>ROUND(R222+IF(AND(E223=14,F223&lt;&gt;"ASTM A416"),L223,0),3)</f>
        <v/>
      </c>
      <c r="S223" s="20">
        <f>ROUND(S222+IF(AND(E223=16,F223&lt;&gt;"ASTM A416"),L223,0),3)</f>
        <v/>
      </c>
      <c r="T223" s="20">
        <f>ROUND(T222+IF(AND(E223=18,F223&lt;&gt;"ASTM A416"),L223,0),3)</f>
        <v/>
      </c>
      <c r="U223" s="20">
        <f>ROUND(U222+IF(AND(E223=20,F223&lt;&gt;"ASTM A416"),L223,0),3)</f>
        <v/>
      </c>
      <c r="V223" s="20">
        <f>ROUND(V222+IF(AND(E223=22,F223&lt;&gt;"ASTM A416"),L223,0),3)</f>
        <v/>
      </c>
      <c r="W223" s="20">
        <f>ROUND(W222+IF(AND(E223=25,F223&lt;&gt;"ASTM A416"),L223,0),3)</f>
        <v/>
      </c>
      <c r="X223" s="20">
        <f>ROUND(X222+IF(AND(E223=28,F223&lt;&gt;"ASTM A416"),L223,0),3)</f>
        <v/>
      </c>
      <c r="Y223" s="20">
        <f>ROUND(Y222+IF(AND(E223=32,F223&lt;&gt;"ASTM A416"),L223,0),3)</f>
        <v/>
      </c>
      <c r="Z223" s="20">
        <f>ROUND(Z222+IF(F223="ASTM A416",L223,0),3)</f>
        <v/>
      </c>
      <c r="AA223" s="11">
        <f>IF(ROUNDUP(P223/20,0)&gt;ROUNDUP(P222/20,0),"Lần " &amp; ROUNDUP(P223/20,0),"")</f>
        <v/>
      </c>
      <c r="AB223" s="11">
        <f>IF(ROUNDUP(Q223/20,0)&gt;ROUNDUP(Q222/20,0),"Lần " &amp; ROUNDUP(Q223/20,0),"")</f>
        <v/>
      </c>
      <c r="AC223" s="11">
        <f>IF(ROUNDUP(R223/20,0)&gt;ROUNDUP(R222/20,0),"Lần " &amp; ROUNDUP(R223/20,0),"")</f>
        <v/>
      </c>
      <c r="AD223" s="11">
        <f>IF(ROUNDUP(S223/20,0)&gt;ROUNDUP(S222/20,0),"Lần " &amp; ROUNDUP(S223/20,0),"")</f>
        <v/>
      </c>
      <c r="AE223" s="11">
        <f>IF(ROUNDUP(T223/20,0)&gt;ROUNDUP(T222/20,0),"Lần " &amp; ROUNDUP(T223/20,0),"")</f>
        <v/>
      </c>
      <c r="AF223" s="11">
        <f>IF(ROUNDUP(U223/20,0)&gt;ROUNDUP(U222/20,0),"Lần " &amp; ROUNDUP(U223/20,0),"")</f>
        <v/>
      </c>
      <c r="AG223" s="11">
        <f>IF(ROUNDUP(V223/20,0)&gt;ROUNDUP(V222/20,0),"Lần " &amp; ROUNDUP(V223/20,0),"")</f>
        <v/>
      </c>
      <c r="AH223" s="11">
        <f>IF(ROUNDUP(W223/20,0)&gt;ROUNDUP(W222/20,0),"Lần " &amp; ROUNDUP(W223/20,0),"")</f>
        <v/>
      </c>
      <c r="AI223" s="11">
        <f>IF(ROUNDUP(X223/20,0)&gt;ROUNDUP(X222/20,0),"Lần " &amp; ROUNDUP(X223/20,0),"")</f>
        <v/>
      </c>
      <c r="AJ223" s="11">
        <f>IF(ROUNDUP(Y223/20,0)&gt;ROUNDUP(Y222/20,0),"Lần " &amp; ROUNDUP(Y223/20,0),"")</f>
        <v/>
      </c>
      <c r="AK223" s="11">
        <f>IF(ROUNDUP(Z223/20,0)&gt;ROUNDUP(Z222/20,0),"Lần " &amp; ROUNDUP(Z223/20,0),"")</f>
        <v/>
      </c>
      <c r="AL223" s="6" t="n"/>
      <c r="AN223" t="inlineStr">
        <is>
          <t>Dam</t>
        </is>
      </c>
      <c r="AO223" t="n">
        <v>59</v>
      </c>
    </row>
    <row r="224" ht="19" customHeight="1">
      <c r="A224" s="6" t="n">
        <v>215</v>
      </c>
      <c r="B224" s="7" t="inlineStr">
        <is>
          <t>Dầm chủ Super-T (15 phiến L=38.2m)</t>
        </is>
      </c>
      <c r="C224" s="7" t="inlineStr">
        <is>
          <t>Dầm S1B1 (tr.88)</t>
        </is>
      </c>
      <c r="D224" s="18" t="inlineStr">
        <is>
          <t>G2</t>
        </is>
      </c>
      <c r="E224" s="19" t="n">
        <v>12</v>
      </c>
      <c r="F224" s="6" t="inlineStr">
        <is>
          <t>CB400-V</t>
        </is>
      </c>
      <c r="G224" s="7" t="inlineStr">
        <is>
          <t>S06</t>
        </is>
      </c>
      <c r="H224" s="20" t="n">
        <v>1.184</v>
      </c>
      <c r="I224" s="21" t="n">
        <v>510</v>
      </c>
      <c r="J224" s="22" t="n">
        <v>0.888</v>
      </c>
      <c r="K224" s="9">
        <f>ROUND(H224*I224*J224, 2)</f>
        <v/>
      </c>
      <c r="L224" s="23">
        <f>ROUND(K224/1000, 3)</f>
        <v/>
      </c>
      <c r="M224" s="8">
        <f>IF(AO224="","",IF(INDEX(Theo_Doi_Tan_Suat_Be_Tong!$C:$C,AO224)="","",INDEX(Theo_Doi_Tan_Suat_Be_Tong!$C:$C,AO224)-VLOOKUP(AN224,$AQ$2:$AR$7,2,FALSE)))</f>
        <v/>
      </c>
      <c r="N224" s="6" t="n"/>
      <c r="O224" s="24">
        <f>IF(ROUNDUP(Q224/20,0)&gt;ROUNDUP(Q223/20,0),"TN Ø12 (Lần " &amp; ROUNDUP(Q224/20,0) &amp; ")","")</f>
        <v/>
      </c>
      <c r="P224" s="20">
        <f>ROUND(P223+IF(AND(E224&lt;=10,F224&lt;&gt;"ASTM A416"),L224,0),3)</f>
        <v/>
      </c>
      <c r="Q224" s="20">
        <f>ROUND(Q223+IF(AND(E224=12,F224&lt;&gt;"ASTM A416"),L224,0),3)</f>
        <v/>
      </c>
      <c r="R224" s="20">
        <f>ROUND(R223+IF(AND(E224=14,F224&lt;&gt;"ASTM A416"),L224,0),3)</f>
        <v/>
      </c>
      <c r="S224" s="20">
        <f>ROUND(S223+IF(AND(E224=16,F224&lt;&gt;"ASTM A416"),L224,0),3)</f>
        <v/>
      </c>
      <c r="T224" s="20">
        <f>ROUND(T223+IF(AND(E224=18,F224&lt;&gt;"ASTM A416"),L224,0),3)</f>
        <v/>
      </c>
      <c r="U224" s="20">
        <f>ROUND(U223+IF(AND(E224=20,F224&lt;&gt;"ASTM A416"),L224,0),3)</f>
        <v/>
      </c>
      <c r="V224" s="20">
        <f>ROUND(V223+IF(AND(E224=22,F224&lt;&gt;"ASTM A416"),L224,0),3)</f>
        <v/>
      </c>
      <c r="W224" s="20">
        <f>ROUND(W223+IF(AND(E224=25,F224&lt;&gt;"ASTM A416"),L224,0),3)</f>
        <v/>
      </c>
      <c r="X224" s="20">
        <f>ROUND(X223+IF(AND(E224=28,F224&lt;&gt;"ASTM A416"),L224,0),3)</f>
        <v/>
      </c>
      <c r="Y224" s="20">
        <f>ROUND(Y223+IF(AND(E224=32,F224&lt;&gt;"ASTM A416"),L224,0),3)</f>
        <v/>
      </c>
      <c r="Z224" s="20">
        <f>ROUND(Z223+IF(F224="ASTM A416",L224,0),3)</f>
        <v/>
      </c>
      <c r="AA224" s="11">
        <f>IF(ROUNDUP(P224/20,0)&gt;ROUNDUP(P223/20,0),"Lần " &amp; ROUNDUP(P224/20,0),"")</f>
        <v/>
      </c>
      <c r="AB224" s="11">
        <f>IF(ROUNDUP(Q224/20,0)&gt;ROUNDUP(Q223/20,0),"Lần " &amp; ROUNDUP(Q224/20,0),"")</f>
        <v/>
      </c>
      <c r="AC224" s="11">
        <f>IF(ROUNDUP(R224/20,0)&gt;ROUNDUP(R223/20,0),"Lần " &amp; ROUNDUP(R224/20,0),"")</f>
        <v/>
      </c>
      <c r="AD224" s="11">
        <f>IF(ROUNDUP(S224/20,0)&gt;ROUNDUP(S223/20,0),"Lần " &amp; ROUNDUP(S224/20,0),"")</f>
        <v/>
      </c>
      <c r="AE224" s="11">
        <f>IF(ROUNDUP(T224/20,0)&gt;ROUNDUP(T223/20,0),"Lần " &amp; ROUNDUP(T224/20,0),"")</f>
        <v/>
      </c>
      <c r="AF224" s="11">
        <f>IF(ROUNDUP(U224/20,0)&gt;ROUNDUP(U223/20,0),"Lần " &amp; ROUNDUP(U224/20,0),"")</f>
        <v/>
      </c>
      <c r="AG224" s="11">
        <f>IF(ROUNDUP(V224/20,0)&gt;ROUNDUP(V223/20,0),"Lần " &amp; ROUNDUP(V224/20,0),"")</f>
        <v/>
      </c>
      <c r="AH224" s="11">
        <f>IF(ROUNDUP(W224/20,0)&gt;ROUNDUP(W223/20,0),"Lần " &amp; ROUNDUP(W224/20,0),"")</f>
        <v/>
      </c>
      <c r="AI224" s="11">
        <f>IF(ROUNDUP(X224/20,0)&gt;ROUNDUP(X223/20,0),"Lần " &amp; ROUNDUP(X224/20,0),"")</f>
        <v/>
      </c>
      <c r="AJ224" s="11">
        <f>IF(ROUNDUP(Y224/20,0)&gt;ROUNDUP(Y223/20,0),"Lần " &amp; ROUNDUP(Y224/20,0),"")</f>
        <v/>
      </c>
      <c r="AK224" s="11">
        <f>IF(ROUNDUP(Z224/20,0)&gt;ROUNDUP(Z223/20,0),"Lần " &amp; ROUNDUP(Z224/20,0),"")</f>
        <v/>
      </c>
      <c r="AL224" s="6" t="n"/>
      <c r="AN224" t="inlineStr">
        <is>
          <t>Dam</t>
        </is>
      </c>
      <c r="AO224" t="n">
        <v>59</v>
      </c>
    </row>
    <row r="225" ht="20" customHeight="1">
      <c r="A225" s="6" t="n">
        <v>216</v>
      </c>
      <c r="B225" s="7" t="inlineStr">
        <is>
          <t>Dầm chủ Super-T (15 phiến L=38.2m)</t>
        </is>
      </c>
      <c r="C225" s="7" t="inlineStr">
        <is>
          <t>Dầm S1B1 (tr.88)</t>
        </is>
      </c>
      <c r="D225" s="18" t="inlineStr">
        <is>
          <t>G2a</t>
        </is>
      </c>
      <c r="E225" s="19" t="n">
        <v>12</v>
      </c>
      <c r="F225" s="6" t="inlineStr">
        <is>
          <t>CB400-V</t>
        </is>
      </c>
      <c r="G225" s="7" t="inlineStr">
        <is>
          <t>S06</t>
        </is>
      </c>
      <c r="H225" s="20" t="n">
        <v>1.309</v>
      </c>
      <c r="I225" s="21" t="n">
        <v>538</v>
      </c>
      <c r="J225" s="22" t="n">
        <v>0.888</v>
      </c>
      <c r="K225" s="9">
        <f>ROUND(H225*I225*J225, 2)</f>
        <v/>
      </c>
      <c r="L225" s="23">
        <f>ROUND(K225/1000, 3)</f>
        <v/>
      </c>
      <c r="M225" s="8">
        <f>IF(AO225="","",IF(INDEX(Theo_Doi_Tan_Suat_Be_Tong!$C:$C,AO225)="","",INDEX(Theo_Doi_Tan_Suat_Be_Tong!$C:$C,AO225)-VLOOKUP(AN225,$AQ$2:$AR$7,2,FALSE)))</f>
        <v/>
      </c>
      <c r="N225" s="6" t="n"/>
      <c r="O225" s="24">
        <f>IF(ROUNDUP(Q225/20,0)&gt;ROUNDUP(Q224/20,0),"TN Ø12 (Lần " &amp; ROUNDUP(Q225/20,0) &amp; ")","")</f>
        <v/>
      </c>
      <c r="P225" s="20">
        <f>ROUND(P224+IF(AND(E225&lt;=10,F225&lt;&gt;"ASTM A416"),L225,0),3)</f>
        <v/>
      </c>
      <c r="Q225" s="20">
        <f>ROUND(Q224+IF(AND(E225=12,F225&lt;&gt;"ASTM A416"),L225,0),3)</f>
        <v/>
      </c>
      <c r="R225" s="20">
        <f>ROUND(R224+IF(AND(E225=14,F225&lt;&gt;"ASTM A416"),L225,0),3)</f>
        <v/>
      </c>
      <c r="S225" s="20">
        <f>ROUND(S224+IF(AND(E225=16,F225&lt;&gt;"ASTM A416"),L225,0),3)</f>
        <v/>
      </c>
      <c r="T225" s="20">
        <f>ROUND(T224+IF(AND(E225=18,F225&lt;&gt;"ASTM A416"),L225,0),3)</f>
        <v/>
      </c>
      <c r="U225" s="20">
        <f>ROUND(U224+IF(AND(E225=20,F225&lt;&gt;"ASTM A416"),L225,0),3)</f>
        <v/>
      </c>
      <c r="V225" s="20">
        <f>ROUND(V224+IF(AND(E225=22,F225&lt;&gt;"ASTM A416"),L225,0),3)</f>
        <v/>
      </c>
      <c r="W225" s="20">
        <f>ROUND(W224+IF(AND(E225=25,F225&lt;&gt;"ASTM A416"),L225,0),3)</f>
        <v/>
      </c>
      <c r="X225" s="20">
        <f>ROUND(X224+IF(AND(E225=28,F225&lt;&gt;"ASTM A416"),L225,0),3)</f>
        <v/>
      </c>
      <c r="Y225" s="20">
        <f>ROUND(Y224+IF(AND(E225=32,F225&lt;&gt;"ASTM A416"),L225,0),3)</f>
        <v/>
      </c>
      <c r="Z225" s="20">
        <f>ROUND(Z224+IF(F225="ASTM A416",L225,0),3)</f>
        <v/>
      </c>
      <c r="AA225" s="11">
        <f>IF(ROUNDUP(P225/20,0)&gt;ROUNDUP(P224/20,0),"Lần " &amp; ROUNDUP(P225/20,0),"")</f>
        <v/>
      </c>
      <c r="AB225" s="11">
        <f>IF(ROUNDUP(Q225/20,0)&gt;ROUNDUP(Q224/20,0),"Lần " &amp; ROUNDUP(Q225/20,0),"")</f>
        <v/>
      </c>
      <c r="AC225" s="11">
        <f>IF(ROUNDUP(R225/20,0)&gt;ROUNDUP(R224/20,0),"Lần " &amp; ROUNDUP(R225/20,0),"")</f>
        <v/>
      </c>
      <c r="AD225" s="11">
        <f>IF(ROUNDUP(S225/20,0)&gt;ROUNDUP(S224/20,0),"Lần " &amp; ROUNDUP(S225/20,0),"")</f>
        <v/>
      </c>
      <c r="AE225" s="11">
        <f>IF(ROUNDUP(T225/20,0)&gt;ROUNDUP(T224/20,0),"Lần " &amp; ROUNDUP(T225/20,0),"")</f>
        <v/>
      </c>
      <c r="AF225" s="11">
        <f>IF(ROUNDUP(U225/20,0)&gt;ROUNDUP(U224/20,0),"Lần " &amp; ROUNDUP(U225/20,0),"")</f>
        <v/>
      </c>
      <c r="AG225" s="11">
        <f>IF(ROUNDUP(V225/20,0)&gt;ROUNDUP(V224/20,0),"Lần " &amp; ROUNDUP(V225/20,0),"")</f>
        <v/>
      </c>
      <c r="AH225" s="11">
        <f>IF(ROUNDUP(W225/20,0)&gt;ROUNDUP(W224/20,0),"Lần " &amp; ROUNDUP(W225/20,0),"")</f>
        <v/>
      </c>
      <c r="AI225" s="11">
        <f>IF(ROUNDUP(X225/20,0)&gt;ROUNDUP(X224/20,0),"Lần " &amp; ROUNDUP(X225/20,0),"")</f>
        <v/>
      </c>
      <c r="AJ225" s="11">
        <f>IF(ROUNDUP(Y225/20,0)&gt;ROUNDUP(Y224/20,0),"Lần " &amp; ROUNDUP(Y225/20,0),"")</f>
        <v/>
      </c>
      <c r="AK225" s="11">
        <f>IF(ROUNDUP(Z225/20,0)&gt;ROUNDUP(Z224/20,0),"Lần " &amp; ROUNDUP(Z225/20,0),"")</f>
        <v/>
      </c>
      <c r="AL225" s="6" t="n"/>
      <c r="AN225" t="inlineStr">
        <is>
          <t>Dam</t>
        </is>
      </c>
      <c r="AO225" t="n">
        <v>59</v>
      </c>
    </row>
    <row r="226" ht="19" customHeight="1">
      <c r="A226" s="6" t="n">
        <v>217</v>
      </c>
      <c r="B226" s="7" t="inlineStr">
        <is>
          <t>Dầm chủ Super-T (15 phiến L=38.2m)</t>
        </is>
      </c>
      <c r="C226" s="7" t="inlineStr">
        <is>
          <t>Dầm S1B1 (tr.88)</t>
        </is>
      </c>
      <c r="D226" s="18" t="inlineStr">
        <is>
          <t>G3</t>
        </is>
      </c>
      <c r="E226" s="19" t="n">
        <v>12</v>
      </c>
      <c r="F226" s="6" t="inlineStr">
        <is>
          <t>CB400-V</t>
        </is>
      </c>
      <c r="G226" s="7" t="inlineStr">
        <is>
          <t>S06</t>
        </is>
      </c>
      <c r="H226" s="20" t="n">
        <v>1.259</v>
      </c>
      <c r="I226" s="21" t="n">
        <v>538</v>
      </c>
      <c r="J226" s="22" t="n">
        <v>0.888</v>
      </c>
      <c r="K226" s="9">
        <f>ROUND(H226*I226*J226, 2)</f>
        <v/>
      </c>
      <c r="L226" s="23">
        <f>ROUND(K226/1000, 3)</f>
        <v/>
      </c>
      <c r="M226" s="8">
        <f>IF(AO226="","",IF(INDEX(Theo_Doi_Tan_Suat_Be_Tong!$C:$C,AO226)="","",INDEX(Theo_Doi_Tan_Suat_Be_Tong!$C:$C,AO226)-VLOOKUP(AN226,$AQ$2:$AR$7,2,FALSE)))</f>
        <v/>
      </c>
      <c r="N226" s="6" t="n"/>
      <c r="O226" s="24">
        <f>IF(ROUNDUP(Q226/20,0)&gt;ROUNDUP(Q225/20,0),"TN Ø12 (Lần " &amp; ROUNDUP(Q226/20,0) &amp; ")","")</f>
        <v/>
      </c>
      <c r="P226" s="20">
        <f>ROUND(P225+IF(AND(E226&lt;=10,F226&lt;&gt;"ASTM A416"),L226,0),3)</f>
        <v/>
      </c>
      <c r="Q226" s="20">
        <f>ROUND(Q225+IF(AND(E226=12,F226&lt;&gt;"ASTM A416"),L226,0),3)</f>
        <v/>
      </c>
      <c r="R226" s="20">
        <f>ROUND(R225+IF(AND(E226=14,F226&lt;&gt;"ASTM A416"),L226,0),3)</f>
        <v/>
      </c>
      <c r="S226" s="20">
        <f>ROUND(S225+IF(AND(E226=16,F226&lt;&gt;"ASTM A416"),L226,0),3)</f>
        <v/>
      </c>
      <c r="T226" s="20">
        <f>ROUND(T225+IF(AND(E226=18,F226&lt;&gt;"ASTM A416"),L226,0),3)</f>
        <v/>
      </c>
      <c r="U226" s="20">
        <f>ROUND(U225+IF(AND(E226=20,F226&lt;&gt;"ASTM A416"),L226,0),3)</f>
        <v/>
      </c>
      <c r="V226" s="20">
        <f>ROUND(V225+IF(AND(E226=22,F226&lt;&gt;"ASTM A416"),L226,0),3)</f>
        <v/>
      </c>
      <c r="W226" s="20">
        <f>ROUND(W225+IF(AND(E226=25,F226&lt;&gt;"ASTM A416"),L226,0),3)</f>
        <v/>
      </c>
      <c r="X226" s="20">
        <f>ROUND(X225+IF(AND(E226=28,F226&lt;&gt;"ASTM A416"),L226,0),3)</f>
        <v/>
      </c>
      <c r="Y226" s="20">
        <f>ROUND(Y225+IF(AND(E226=32,F226&lt;&gt;"ASTM A416"),L226,0),3)</f>
        <v/>
      </c>
      <c r="Z226" s="20">
        <f>ROUND(Z225+IF(F226="ASTM A416",L226,0),3)</f>
        <v/>
      </c>
      <c r="AA226" s="11">
        <f>IF(ROUNDUP(P226/20,0)&gt;ROUNDUP(P225/20,0),"Lần " &amp; ROUNDUP(P226/20,0),"")</f>
        <v/>
      </c>
      <c r="AB226" s="11">
        <f>IF(ROUNDUP(Q226/20,0)&gt;ROUNDUP(Q225/20,0),"Lần " &amp; ROUNDUP(Q226/20,0),"")</f>
        <v/>
      </c>
      <c r="AC226" s="11">
        <f>IF(ROUNDUP(R226/20,0)&gt;ROUNDUP(R225/20,0),"Lần " &amp; ROUNDUP(R226/20,0),"")</f>
        <v/>
      </c>
      <c r="AD226" s="11">
        <f>IF(ROUNDUP(S226/20,0)&gt;ROUNDUP(S225/20,0),"Lần " &amp; ROUNDUP(S226/20,0),"")</f>
        <v/>
      </c>
      <c r="AE226" s="11">
        <f>IF(ROUNDUP(T226/20,0)&gt;ROUNDUP(T225/20,0),"Lần " &amp; ROUNDUP(T226/20,0),"")</f>
        <v/>
      </c>
      <c r="AF226" s="11">
        <f>IF(ROUNDUP(U226/20,0)&gt;ROUNDUP(U225/20,0),"Lần " &amp; ROUNDUP(U226/20,0),"")</f>
        <v/>
      </c>
      <c r="AG226" s="11">
        <f>IF(ROUNDUP(V226/20,0)&gt;ROUNDUP(V225/20,0),"Lần " &amp; ROUNDUP(V226/20,0),"")</f>
        <v/>
      </c>
      <c r="AH226" s="11">
        <f>IF(ROUNDUP(W226/20,0)&gt;ROUNDUP(W225/20,0),"Lần " &amp; ROUNDUP(W226/20,0),"")</f>
        <v/>
      </c>
      <c r="AI226" s="11">
        <f>IF(ROUNDUP(X226/20,0)&gt;ROUNDUP(X225/20,0),"Lần " &amp; ROUNDUP(X226/20,0),"")</f>
        <v/>
      </c>
      <c r="AJ226" s="11">
        <f>IF(ROUNDUP(Y226/20,0)&gt;ROUNDUP(Y225/20,0),"Lần " &amp; ROUNDUP(Y226/20,0),"")</f>
        <v/>
      </c>
      <c r="AK226" s="11">
        <f>IF(ROUNDUP(Z226/20,0)&gt;ROUNDUP(Z225/20,0),"Lần " &amp; ROUNDUP(Z226/20,0),"")</f>
        <v/>
      </c>
      <c r="AL226" s="6" t="n"/>
      <c r="AN226" t="inlineStr">
        <is>
          <t>Dam</t>
        </is>
      </c>
      <c r="AO226" t="n">
        <v>59</v>
      </c>
    </row>
    <row r="227" ht="19" customHeight="1">
      <c r="A227" s="6" t="n">
        <v>218</v>
      </c>
      <c r="B227" s="7" t="inlineStr">
        <is>
          <t>Dầm chủ Super-T (15 phiến L=38.2m)</t>
        </is>
      </c>
      <c r="C227" s="7" t="inlineStr">
        <is>
          <t>Dầm S1B1 (tr.88)</t>
        </is>
      </c>
      <c r="D227" s="18" t="inlineStr">
        <is>
          <t>G4a1</t>
        </is>
      </c>
      <c r="E227" s="19" t="n">
        <v>12</v>
      </c>
      <c r="F227" s="6" t="inlineStr">
        <is>
          <t>CB400-V</t>
        </is>
      </c>
      <c r="G227" s="7" t="inlineStr">
        <is>
          <t>S01</t>
        </is>
      </c>
      <c r="H227" s="20" t="n">
        <v>11.7</v>
      </c>
      <c r="I227" s="21" t="n">
        <v>42</v>
      </c>
      <c r="J227" s="22" t="n">
        <v>0.888</v>
      </c>
      <c r="K227" s="9">
        <f>ROUND(H227*I227*J227, 2)</f>
        <v/>
      </c>
      <c r="L227" s="23">
        <f>ROUND(K227/1000, 3)</f>
        <v/>
      </c>
      <c r="M227" s="8">
        <f>IF(AO227="","",IF(INDEX(Theo_Doi_Tan_Suat_Be_Tong!$C:$C,AO227)="","",INDEX(Theo_Doi_Tan_Suat_Be_Tong!$C:$C,AO227)-VLOOKUP(AN227,$AQ$2:$AR$7,2,FALSE)))</f>
        <v/>
      </c>
      <c r="N227" s="6" t="n"/>
      <c r="O227" s="24">
        <f>IF(ROUNDUP(Q227/20,0)&gt;ROUNDUP(Q226/20,0),"TN Ø12 (Lần " &amp; ROUNDUP(Q227/20,0) &amp; ")","")</f>
        <v/>
      </c>
      <c r="P227" s="20">
        <f>ROUND(P226+IF(AND(E227&lt;=10,F227&lt;&gt;"ASTM A416"),L227,0),3)</f>
        <v/>
      </c>
      <c r="Q227" s="20">
        <f>ROUND(Q226+IF(AND(E227=12,F227&lt;&gt;"ASTM A416"),L227,0),3)</f>
        <v/>
      </c>
      <c r="R227" s="20">
        <f>ROUND(R226+IF(AND(E227=14,F227&lt;&gt;"ASTM A416"),L227,0),3)</f>
        <v/>
      </c>
      <c r="S227" s="20">
        <f>ROUND(S226+IF(AND(E227=16,F227&lt;&gt;"ASTM A416"),L227,0),3)</f>
        <v/>
      </c>
      <c r="T227" s="20">
        <f>ROUND(T226+IF(AND(E227=18,F227&lt;&gt;"ASTM A416"),L227,0),3)</f>
        <v/>
      </c>
      <c r="U227" s="20">
        <f>ROUND(U226+IF(AND(E227=20,F227&lt;&gt;"ASTM A416"),L227,0),3)</f>
        <v/>
      </c>
      <c r="V227" s="20">
        <f>ROUND(V226+IF(AND(E227=22,F227&lt;&gt;"ASTM A416"),L227,0),3)</f>
        <v/>
      </c>
      <c r="W227" s="20">
        <f>ROUND(W226+IF(AND(E227=25,F227&lt;&gt;"ASTM A416"),L227,0),3)</f>
        <v/>
      </c>
      <c r="X227" s="20">
        <f>ROUND(X226+IF(AND(E227=28,F227&lt;&gt;"ASTM A416"),L227,0),3)</f>
        <v/>
      </c>
      <c r="Y227" s="20">
        <f>ROUND(Y226+IF(AND(E227=32,F227&lt;&gt;"ASTM A416"),L227,0),3)</f>
        <v/>
      </c>
      <c r="Z227" s="20">
        <f>ROUND(Z226+IF(F227="ASTM A416",L227,0),3)</f>
        <v/>
      </c>
      <c r="AA227" s="11">
        <f>IF(ROUNDUP(P227/20,0)&gt;ROUNDUP(P226/20,0),"Lần " &amp; ROUNDUP(P227/20,0),"")</f>
        <v/>
      </c>
      <c r="AB227" s="11">
        <f>IF(ROUNDUP(Q227/20,0)&gt;ROUNDUP(Q226/20,0),"Lần " &amp; ROUNDUP(Q227/20,0),"")</f>
        <v/>
      </c>
      <c r="AC227" s="11">
        <f>IF(ROUNDUP(R227/20,0)&gt;ROUNDUP(R226/20,0),"Lần " &amp; ROUNDUP(R227/20,0),"")</f>
        <v/>
      </c>
      <c r="AD227" s="11">
        <f>IF(ROUNDUP(S227/20,0)&gt;ROUNDUP(S226/20,0),"Lần " &amp; ROUNDUP(S227/20,0),"")</f>
        <v/>
      </c>
      <c r="AE227" s="11">
        <f>IF(ROUNDUP(T227/20,0)&gt;ROUNDUP(T226/20,0),"Lần " &amp; ROUNDUP(T227/20,0),"")</f>
        <v/>
      </c>
      <c r="AF227" s="11">
        <f>IF(ROUNDUP(U227/20,0)&gt;ROUNDUP(U226/20,0),"Lần " &amp; ROUNDUP(U227/20,0),"")</f>
        <v/>
      </c>
      <c r="AG227" s="11">
        <f>IF(ROUNDUP(V227/20,0)&gt;ROUNDUP(V226/20,0),"Lần " &amp; ROUNDUP(V227/20,0),"")</f>
        <v/>
      </c>
      <c r="AH227" s="11">
        <f>IF(ROUNDUP(W227/20,0)&gt;ROUNDUP(W226/20,0),"Lần " &amp; ROUNDUP(W227/20,0),"")</f>
        <v/>
      </c>
      <c r="AI227" s="11">
        <f>IF(ROUNDUP(X227/20,0)&gt;ROUNDUP(X226/20,0),"Lần " &amp; ROUNDUP(X227/20,0),"")</f>
        <v/>
      </c>
      <c r="AJ227" s="11">
        <f>IF(ROUNDUP(Y227/20,0)&gt;ROUNDUP(Y226/20,0),"Lần " &amp; ROUNDUP(Y227/20,0),"")</f>
        <v/>
      </c>
      <c r="AK227" s="11">
        <f>IF(ROUNDUP(Z227/20,0)&gt;ROUNDUP(Z226/20,0),"Lần " &amp; ROUNDUP(Z227/20,0),"")</f>
        <v/>
      </c>
      <c r="AL227" s="6" t="n"/>
      <c r="AN227" t="inlineStr">
        <is>
          <t>Dam</t>
        </is>
      </c>
      <c r="AO227" t="n">
        <v>59</v>
      </c>
    </row>
    <row r="228" ht="19" customHeight="1">
      <c r="A228" s="6" t="n">
        <v>219</v>
      </c>
      <c r="B228" s="7" t="inlineStr">
        <is>
          <t>Dầm chủ Super-T (15 phiến L=38.2m)</t>
        </is>
      </c>
      <c r="C228" s="7" t="inlineStr">
        <is>
          <t>Dầm S1B1 (tr.88)</t>
        </is>
      </c>
      <c r="D228" s="18" t="inlineStr">
        <is>
          <t>G4a2</t>
        </is>
      </c>
      <c r="E228" s="19" t="n">
        <v>12</v>
      </c>
      <c r="F228" s="6" t="inlineStr">
        <is>
          <t>CB400-V</t>
        </is>
      </c>
      <c r="G228" s="7" t="inlineStr">
        <is>
          <t>S06</t>
        </is>
      </c>
      <c r="H228" s="20" t="n">
        <v>4.46</v>
      </c>
      <c r="I228" s="21" t="n">
        <v>14</v>
      </c>
      <c r="J228" s="22" t="n">
        <v>0.888</v>
      </c>
      <c r="K228" s="9">
        <f>ROUND(H228*I228*J228, 2)</f>
        <v/>
      </c>
      <c r="L228" s="23">
        <f>ROUND(K228/1000, 3)</f>
        <v/>
      </c>
      <c r="M228" s="8">
        <f>IF(AO228="","",IF(INDEX(Theo_Doi_Tan_Suat_Be_Tong!$C:$C,AO228)="","",INDEX(Theo_Doi_Tan_Suat_Be_Tong!$C:$C,AO228)-VLOOKUP(AN228,$AQ$2:$AR$7,2,FALSE)))</f>
        <v/>
      </c>
      <c r="N228" s="6" t="n"/>
      <c r="O228" s="24">
        <f>IF(ROUNDUP(Q228/20,0)&gt;ROUNDUP(Q227/20,0),"TN Ø12 (Lần " &amp; ROUNDUP(Q228/20,0) &amp; ")","")</f>
        <v/>
      </c>
      <c r="P228" s="20">
        <f>ROUND(P227+IF(AND(E228&lt;=10,F228&lt;&gt;"ASTM A416"),L228,0),3)</f>
        <v/>
      </c>
      <c r="Q228" s="20">
        <f>ROUND(Q227+IF(AND(E228=12,F228&lt;&gt;"ASTM A416"),L228,0),3)</f>
        <v/>
      </c>
      <c r="R228" s="20">
        <f>ROUND(R227+IF(AND(E228=14,F228&lt;&gt;"ASTM A416"),L228,0),3)</f>
        <v/>
      </c>
      <c r="S228" s="20">
        <f>ROUND(S227+IF(AND(E228=16,F228&lt;&gt;"ASTM A416"),L228,0),3)</f>
        <v/>
      </c>
      <c r="T228" s="20">
        <f>ROUND(T227+IF(AND(E228=18,F228&lt;&gt;"ASTM A416"),L228,0),3)</f>
        <v/>
      </c>
      <c r="U228" s="20">
        <f>ROUND(U227+IF(AND(E228=20,F228&lt;&gt;"ASTM A416"),L228,0),3)</f>
        <v/>
      </c>
      <c r="V228" s="20">
        <f>ROUND(V227+IF(AND(E228=22,F228&lt;&gt;"ASTM A416"),L228,0),3)</f>
        <v/>
      </c>
      <c r="W228" s="20">
        <f>ROUND(W227+IF(AND(E228=25,F228&lt;&gt;"ASTM A416"),L228,0),3)</f>
        <v/>
      </c>
      <c r="X228" s="20">
        <f>ROUND(X227+IF(AND(E228=28,F228&lt;&gt;"ASTM A416"),L228,0),3)</f>
        <v/>
      </c>
      <c r="Y228" s="20">
        <f>ROUND(Y227+IF(AND(E228=32,F228&lt;&gt;"ASTM A416"),L228,0),3)</f>
        <v/>
      </c>
      <c r="Z228" s="20">
        <f>ROUND(Z227+IF(F228="ASTM A416",L228,0),3)</f>
        <v/>
      </c>
      <c r="AA228" s="11">
        <f>IF(ROUNDUP(P228/20,0)&gt;ROUNDUP(P227/20,0),"Lần " &amp; ROUNDUP(P228/20,0),"")</f>
        <v/>
      </c>
      <c r="AB228" s="11">
        <f>IF(ROUNDUP(Q228/20,0)&gt;ROUNDUP(Q227/20,0),"Lần " &amp; ROUNDUP(Q228/20,0),"")</f>
        <v/>
      </c>
      <c r="AC228" s="11">
        <f>IF(ROUNDUP(R228/20,0)&gt;ROUNDUP(R227/20,0),"Lần " &amp; ROUNDUP(R228/20,0),"")</f>
        <v/>
      </c>
      <c r="AD228" s="11">
        <f>IF(ROUNDUP(S228/20,0)&gt;ROUNDUP(S227/20,0),"Lần " &amp; ROUNDUP(S228/20,0),"")</f>
        <v/>
      </c>
      <c r="AE228" s="11">
        <f>IF(ROUNDUP(T228/20,0)&gt;ROUNDUP(T227/20,0),"Lần " &amp; ROUNDUP(T228/20,0),"")</f>
        <v/>
      </c>
      <c r="AF228" s="11">
        <f>IF(ROUNDUP(U228/20,0)&gt;ROUNDUP(U227/20,0),"Lần " &amp; ROUNDUP(U228/20,0),"")</f>
        <v/>
      </c>
      <c r="AG228" s="11">
        <f>IF(ROUNDUP(V228/20,0)&gt;ROUNDUP(V227/20,0),"Lần " &amp; ROUNDUP(V228/20,0),"")</f>
        <v/>
      </c>
      <c r="AH228" s="11">
        <f>IF(ROUNDUP(W228/20,0)&gt;ROUNDUP(W227/20,0),"Lần " &amp; ROUNDUP(W228/20,0),"")</f>
        <v/>
      </c>
      <c r="AI228" s="11">
        <f>IF(ROUNDUP(X228/20,0)&gt;ROUNDUP(X227/20,0),"Lần " &amp; ROUNDUP(X228/20,0),"")</f>
        <v/>
      </c>
      <c r="AJ228" s="11">
        <f>IF(ROUNDUP(Y228/20,0)&gt;ROUNDUP(Y227/20,0),"Lần " &amp; ROUNDUP(Y228/20,0),"")</f>
        <v/>
      </c>
      <c r="AK228" s="11">
        <f>IF(ROUNDUP(Z228/20,0)&gt;ROUNDUP(Z227/20,0),"Lần " &amp; ROUNDUP(Z228/20,0),"")</f>
        <v/>
      </c>
      <c r="AL228" s="6" t="n"/>
      <c r="AN228" t="inlineStr">
        <is>
          <t>Dam</t>
        </is>
      </c>
      <c r="AO228" t="n">
        <v>59</v>
      </c>
    </row>
    <row r="229" ht="19" customHeight="1">
      <c r="A229" s="6" t="n">
        <v>220</v>
      </c>
      <c r="B229" s="7" t="inlineStr">
        <is>
          <t>Dầm chủ Super-T (15 phiến L=38.2m)</t>
        </is>
      </c>
      <c r="C229" s="7" t="inlineStr">
        <is>
          <t>Dầm S1B1 (tr.88)</t>
        </is>
      </c>
      <c r="D229" s="18" t="inlineStr">
        <is>
          <t>G4b1</t>
        </is>
      </c>
      <c r="E229" s="19" t="n">
        <v>12</v>
      </c>
      <c r="F229" s="6" t="inlineStr">
        <is>
          <t>CB400-V</t>
        </is>
      </c>
      <c r="G229" s="7" t="inlineStr">
        <is>
          <t>S01</t>
        </is>
      </c>
      <c r="H229" s="20" t="n">
        <v>11.7</v>
      </c>
      <c r="I229" s="21" t="n">
        <v>24</v>
      </c>
      <c r="J229" s="22" t="n">
        <v>0.888</v>
      </c>
      <c r="K229" s="9">
        <f>ROUND(H229*I229*J229, 2)</f>
        <v/>
      </c>
      <c r="L229" s="23">
        <f>ROUND(K229/1000, 3)</f>
        <v/>
      </c>
      <c r="M229" s="8">
        <f>IF(AO229="","",IF(INDEX(Theo_Doi_Tan_Suat_Be_Tong!$C:$C,AO229)="","",INDEX(Theo_Doi_Tan_Suat_Be_Tong!$C:$C,AO229)-VLOOKUP(AN229,$AQ$2:$AR$7,2,FALSE)))</f>
        <v/>
      </c>
      <c r="N229" s="6" t="n"/>
      <c r="O229" s="24">
        <f>IF(ROUNDUP(Q229/20,0)&gt;ROUNDUP(Q228/20,0),"TN Ø12 (Lần " &amp; ROUNDUP(Q229/20,0) &amp; ")","")</f>
        <v/>
      </c>
      <c r="P229" s="20">
        <f>ROUND(P228+IF(AND(E229&lt;=10,F229&lt;&gt;"ASTM A416"),L229,0),3)</f>
        <v/>
      </c>
      <c r="Q229" s="20">
        <f>ROUND(Q228+IF(AND(E229=12,F229&lt;&gt;"ASTM A416"),L229,0),3)</f>
        <v/>
      </c>
      <c r="R229" s="20">
        <f>ROUND(R228+IF(AND(E229=14,F229&lt;&gt;"ASTM A416"),L229,0),3)</f>
        <v/>
      </c>
      <c r="S229" s="20">
        <f>ROUND(S228+IF(AND(E229=16,F229&lt;&gt;"ASTM A416"),L229,0),3)</f>
        <v/>
      </c>
      <c r="T229" s="20">
        <f>ROUND(T228+IF(AND(E229=18,F229&lt;&gt;"ASTM A416"),L229,0),3)</f>
        <v/>
      </c>
      <c r="U229" s="20">
        <f>ROUND(U228+IF(AND(E229=20,F229&lt;&gt;"ASTM A416"),L229,0),3)</f>
        <v/>
      </c>
      <c r="V229" s="20">
        <f>ROUND(V228+IF(AND(E229=22,F229&lt;&gt;"ASTM A416"),L229,0),3)</f>
        <v/>
      </c>
      <c r="W229" s="20">
        <f>ROUND(W228+IF(AND(E229=25,F229&lt;&gt;"ASTM A416"),L229,0),3)</f>
        <v/>
      </c>
      <c r="X229" s="20">
        <f>ROUND(X228+IF(AND(E229=28,F229&lt;&gt;"ASTM A416"),L229,0),3)</f>
        <v/>
      </c>
      <c r="Y229" s="20">
        <f>ROUND(Y228+IF(AND(E229=32,F229&lt;&gt;"ASTM A416"),L229,0),3)</f>
        <v/>
      </c>
      <c r="Z229" s="20">
        <f>ROUND(Z228+IF(F229="ASTM A416",L229,0),3)</f>
        <v/>
      </c>
      <c r="AA229" s="11">
        <f>IF(ROUNDUP(P229/20,0)&gt;ROUNDUP(P228/20,0),"Lần " &amp; ROUNDUP(P229/20,0),"")</f>
        <v/>
      </c>
      <c r="AB229" s="11">
        <f>IF(ROUNDUP(Q229/20,0)&gt;ROUNDUP(Q228/20,0),"Lần " &amp; ROUNDUP(Q229/20,0),"")</f>
        <v/>
      </c>
      <c r="AC229" s="11">
        <f>IF(ROUNDUP(R229/20,0)&gt;ROUNDUP(R228/20,0),"Lần " &amp; ROUNDUP(R229/20,0),"")</f>
        <v/>
      </c>
      <c r="AD229" s="11">
        <f>IF(ROUNDUP(S229/20,0)&gt;ROUNDUP(S228/20,0),"Lần " &amp; ROUNDUP(S229/20,0),"")</f>
        <v/>
      </c>
      <c r="AE229" s="11">
        <f>IF(ROUNDUP(T229/20,0)&gt;ROUNDUP(T228/20,0),"Lần " &amp; ROUNDUP(T229/20,0),"")</f>
        <v/>
      </c>
      <c r="AF229" s="11">
        <f>IF(ROUNDUP(U229/20,0)&gt;ROUNDUP(U228/20,0),"Lần " &amp; ROUNDUP(U229/20,0),"")</f>
        <v/>
      </c>
      <c r="AG229" s="11">
        <f>IF(ROUNDUP(V229/20,0)&gt;ROUNDUP(V228/20,0),"Lần " &amp; ROUNDUP(V229/20,0),"")</f>
        <v/>
      </c>
      <c r="AH229" s="11">
        <f>IF(ROUNDUP(W229/20,0)&gt;ROUNDUP(W228/20,0),"Lần " &amp; ROUNDUP(W229/20,0),"")</f>
        <v/>
      </c>
      <c r="AI229" s="11">
        <f>IF(ROUNDUP(X229/20,0)&gt;ROUNDUP(X228/20,0),"Lần " &amp; ROUNDUP(X229/20,0),"")</f>
        <v/>
      </c>
      <c r="AJ229" s="11">
        <f>IF(ROUNDUP(Y229/20,0)&gt;ROUNDUP(Y228/20,0),"Lần " &amp; ROUNDUP(Y229/20,0),"")</f>
        <v/>
      </c>
      <c r="AK229" s="11">
        <f>IF(ROUNDUP(Z229/20,0)&gt;ROUNDUP(Z228/20,0),"Lần " &amp; ROUNDUP(Z229/20,0),"")</f>
        <v/>
      </c>
      <c r="AL229" s="6" t="n"/>
      <c r="AN229" t="inlineStr">
        <is>
          <t>Dam</t>
        </is>
      </c>
      <c r="AO229" t="n">
        <v>59</v>
      </c>
    </row>
    <row r="230" ht="19" customHeight="1">
      <c r="A230" s="6" t="n">
        <v>221</v>
      </c>
      <c r="B230" s="7" t="inlineStr">
        <is>
          <t>Dầm chủ Super-T (15 phiến L=38.2m)</t>
        </is>
      </c>
      <c r="C230" s="7" t="inlineStr">
        <is>
          <t>Dầm S1B1 (tr.88)</t>
        </is>
      </c>
      <c r="D230" s="18" t="inlineStr">
        <is>
          <t>G4b2</t>
        </is>
      </c>
      <c r="E230" s="19" t="n">
        <v>12</v>
      </c>
      <c r="F230" s="6" t="inlineStr">
        <is>
          <t>CB400-V</t>
        </is>
      </c>
      <c r="G230" s="7" t="inlineStr">
        <is>
          <t>S06</t>
        </is>
      </c>
      <c r="H230" s="20" t="n">
        <v>3.06</v>
      </c>
      <c r="I230" s="21" t="n">
        <v>8</v>
      </c>
      <c r="J230" s="22" t="n">
        <v>0.888</v>
      </c>
      <c r="K230" s="9">
        <f>ROUND(H230*I230*J230, 2)</f>
        <v/>
      </c>
      <c r="L230" s="23">
        <f>ROUND(K230/1000, 3)</f>
        <v/>
      </c>
      <c r="M230" s="8">
        <f>IF(AO230="","",IF(INDEX(Theo_Doi_Tan_Suat_Be_Tong!$C:$C,AO230)="","",INDEX(Theo_Doi_Tan_Suat_Be_Tong!$C:$C,AO230)-VLOOKUP(AN230,$AQ$2:$AR$7,2,FALSE)))</f>
        <v/>
      </c>
      <c r="N230" s="6" t="n"/>
      <c r="O230" s="24">
        <f>IF(ROUNDUP(Q230/20,0)&gt;ROUNDUP(Q229/20,0),"TN Ø12 (Lần " &amp; ROUNDUP(Q230/20,0) &amp; ")","")</f>
        <v/>
      </c>
      <c r="P230" s="20">
        <f>ROUND(P229+IF(AND(E230&lt;=10,F230&lt;&gt;"ASTM A416"),L230,0),3)</f>
        <v/>
      </c>
      <c r="Q230" s="20">
        <f>ROUND(Q229+IF(AND(E230=12,F230&lt;&gt;"ASTM A416"),L230,0),3)</f>
        <v/>
      </c>
      <c r="R230" s="20">
        <f>ROUND(R229+IF(AND(E230=14,F230&lt;&gt;"ASTM A416"),L230,0),3)</f>
        <v/>
      </c>
      <c r="S230" s="20">
        <f>ROUND(S229+IF(AND(E230=16,F230&lt;&gt;"ASTM A416"),L230,0),3)</f>
        <v/>
      </c>
      <c r="T230" s="20">
        <f>ROUND(T229+IF(AND(E230=18,F230&lt;&gt;"ASTM A416"),L230,0),3)</f>
        <v/>
      </c>
      <c r="U230" s="20">
        <f>ROUND(U229+IF(AND(E230=20,F230&lt;&gt;"ASTM A416"),L230,0),3)</f>
        <v/>
      </c>
      <c r="V230" s="20">
        <f>ROUND(V229+IF(AND(E230=22,F230&lt;&gt;"ASTM A416"),L230,0),3)</f>
        <v/>
      </c>
      <c r="W230" s="20">
        <f>ROUND(W229+IF(AND(E230=25,F230&lt;&gt;"ASTM A416"),L230,0),3)</f>
        <v/>
      </c>
      <c r="X230" s="20">
        <f>ROUND(X229+IF(AND(E230=28,F230&lt;&gt;"ASTM A416"),L230,0),3)</f>
        <v/>
      </c>
      <c r="Y230" s="20">
        <f>ROUND(Y229+IF(AND(E230=32,F230&lt;&gt;"ASTM A416"),L230,0),3)</f>
        <v/>
      </c>
      <c r="Z230" s="20">
        <f>ROUND(Z229+IF(F230="ASTM A416",L230,0),3)</f>
        <v/>
      </c>
      <c r="AA230" s="11">
        <f>IF(ROUNDUP(P230/20,0)&gt;ROUNDUP(P229/20,0),"Lần " &amp; ROUNDUP(P230/20,0),"")</f>
        <v/>
      </c>
      <c r="AB230" s="11">
        <f>IF(ROUNDUP(Q230/20,0)&gt;ROUNDUP(Q229/20,0),"Lần " &amp; ROUNDUP(Q230/20,0),"")</f>
        <v/>
      </c>
      <c r="AC230" s="11">
        <f>IF(ROUNDUP(R230/20,0)&gt;ROUNDUP(R229/20,0),"Lần " &amp; ROUNDUP(R230/20,0),"")</f>
        <v/>
      </c>
      <c r="AD230" s="11">
        <f>IF(ROUNDUP(S230/20,0)&gt;ROUNDUP(S229/20,0),"Lần " &amp; ROUNDUP(S230/20,0),"")</f>
        <v/>
      </c>
      <c r="AE230" s="11">
        <f>IF(ROUNDUP(T230/20,0)&gt;ROUNDUP(T229/20,0),"Lần " &amp; ROUNDUP(T230/20,0),"")</f>
        <v/>
      </c>
      <c r="AF230" s="11">
        <f>IF(ROUNDUP(U230/20,0)&gt;ROUNDUP(U229/20,0),"Lần " &amp; ROUNDUP(U230/20,0),"")</f>
        <v/>
      </c>
      <c r="AG230" s="11">
        <f>IF(ROUNDUP(V230/20,0)&gt;ROUNDUP(V229/20,0),"Lần " &amp; ROUNDUP(V230/20,0),"")</f>
        <v/>
      </c>
      <c r="AH230" s="11">
        <f>IF(ROUNDUP(W230/20,0)&gt;ROUNDUP(W229/20,0),"Lần " &amp; ROUNDUP(W230/20,0),"")</f>
        <v/>
      </c>
      <c r="AI230" s="11">
        <f>IF(ROUNDUP(X230/20,0)&gt;ROUNDUP(X229/20,0),"Lần " &amp; ROUNDUP(X230/20,0),"")</f>
        <v/>
      </c>
      <c r="AJ230" s="11">
        <f>IF(ROUNDUP(Y230/20,0)&gt;ROUNDUP(Y229/20,0),"Lần " &amp; ROUNDUP(Y230/20,0),"")</f>
        <v/>
      </c>
      <c r="AK230" s="11">
        <f>IF(ROUNDUP(Z230/20,0)&gt;ROUNDUP(Z229/20,0),"Lần " &amp; ROUNDUP(Z230/20,0),"")</f>
        <v/>
      </c>
      <c r="AL230" s="6" t="n"/>
      <c r="AN230" t="inlineStr">
        <is>
          <t>Dam</t>
        </is>
      </c>
      <c r="AO230" t="n">
        <v>59</v>
      </c>
    </row>
    <row r="231" ht="19" customHeight="1">
      <c r="A231" s="6" t="n">
        <v>222</v>
      </c>
      <c r="B231" s="7" t="inlineStr">
        <is>
          <t>Dầm chủ Super-T (15 phiến L=38.2m)</t>
        </is>
      </c>
      <c r="C231" s="7" t="inlineStr">
        <is>
          <t>Dầm S1B1 (tr.88)</t>
        </is>
      </c>
      <c r="D231" s="18" t="inlineStr">
        <is>
          <t>G5a</t>
        </is>
      </c>
      <c r="E231" s="19" t="n">
        <v>16</v>
      </c>
      <c r="F231" s="6" t="inlineStr">
        <is>
          <t>CB400-V</t>
        </is>
      </c>
      <c r="G231" s="7" t="inlineStr">
        <is>
          <t>S01</t>
        </is>
      </c>
      <c r="H231" s="20" t="n">
        <v>11.7</v>
      </c>
      <c r="I231" s="21" t="n">
        <v>56</v>
      </c>
      <c r="J231" s="22" t="n">
        <v>1.578</v>
      </c>
      <c r="K231" s="9">
        <f>ROUND(H231*I231*J231, 2)</f>
        <v/>
      </c>
      <c r="L231" s="23">
        <f>ROUND(K231/1000, 3)</f>
        <v/>
      </c>
      <c r="M231" s="8">
        <f>IF(AO231="","",IF(INDEX(Theo_Doi_Tan_Suat_Be_Tong!$C:$C,AO231)="","",INDEX(Theo_Doi_Tan_Suat_Be_Tong!$C:$C,AO231)-VLOOKUP(AN231,$AQ$2:$AR$7,2,FALSE)))</f>
        <v/>
      </c>
      <c r="N231" s="6" t="n"/>
      <c r="O231" s="24">
        <f>IF(ROUNDUP(S231/20,0)&gt;ROUNDUP(S230/20,0),"TN Ø16 (Lần " &amp; ROUNDUP(S231/20,0) &amp; ")","")</f>
        <v/>
      </c>
      <c r="P231" s="20">
        <f>ROUND(P230+IF(AND(E231&lt;=10,F231&lt;&gt;"ASTM A416"),L231,0),3)</f>
        <v/>
      </c>
      <c r="Q231" s="20">
        <f>ROUND(Q230+IF(AND(E231=12,F231&lt;&gt;"ASTM A416"),L231,0),3)</f>
        <v/>
      </c>
      <c r="R231" s="20">
        <f>ROUND(R230+IF(AND(E231=14,F231&lt;&gt;"ASTM A416"),L231,0),3)</f>
        <v/>
      </c>
      <c r="S231" s="20">
        <f>ROUND(S230+IF(AND(E231=16,F231&lt;&gt;"ASTM A416"),L231,0),3)</f>
        <v/>
      </c>
      <c r="T231" s="20">
        <f>ROUND(T230+IF(AND(E231=18,F231&lt;&gt;"ASTM A416"),L231,0),3)</f>
        <v/>
      </c>
      <c r="U231" s="20">
        <f>ROUND(U230+IF(AND(E231=20,F231&lt;&gt;"ASTM A416"),L231,0),3)</f>
        <v/>
      </c>
      <c r="V231" s="20">
        <f>ROUND(V230+IF(AND(E231=22,F231&lt;&gt;"ASTM A416"),L231,0),3)</f>
        <v/>
      </c>
      <c r="W231" s="20">
        <f>ROUND(W230+IF(AND(E231=25,F231&lt;&gt;"ASTM A416"),L231,0),3)</f>
        <v/>
      </c>
      <c r="X231" s="20">
        <f>ROUND(X230+IF(AND(E231=28,F231&lt;&gt;"ASTM A416"),L231,0),3)</f>
        <v/>
      </c>
      <c r="Y231" s="20">
        <f>ROUND(Y230+IF(AND(E231=32,F231&lt;&gt;"ASTM A416"),L231,0),3)</f>
        <v/>
      </c>
      <c r="Z231" s="20">
        <f>ROUND(Z230+IF(F231="ASTM A416",L231,0),3)</f>
        <v/>
      </c>
      <c r="AA231" s="11">
        <f>IF(ROUNDUP(P231/20,0)&gt;ROUNDUP(P230/20,0),"Lần " &amp; ROUNDUP(P231/20,0),"")</f>
        <v/>
      </c>
      <c r="AB231" s="11">
        <f>IF(ROUNDUP(Q231/20,0)&gt;ROUNDUP(Q230/20,0),"Lần " &amp; ROUNDUP(Q231/20,0),"")</f>
        <v/>
      </c>
      <c r="AC231" s="11">
        <f>IF(ROUNDUP(R231/20,0)&gt;ROUNDUP(R230/20,0),"Lần " &amp; ROUNDUP(R231/20,0),"")</f>
        <v/>
      </c>
      <c r="AD231" s="11">
        <f>IF(ROUNDUP(S231/20,0)&gt;ROUNDUP(S230/20,0),"Lần " &amp; ROUNDUP(S231/20,0),"")</f>
        <v/>
      </c>
      <c r="AE231" s="11">
        <f>IF(ROUNDUP(T231/20,0)&gt;ROUNDUP(T230/20,0),"Lần " &amp; ROUNDUP(T231/20,0),"")</f>
        <v/>
      </c>
      <c r="AF231" s="11">
        <f>IF(ROUNDUP(U231/20,0)&gt;ROUNDUP(U230/20,0),"Lần " &amp; ROUNDUP(U231/20,0),"")</f>
        <v/>
      </c>
      <c r="AG231" s="11">
        <f>IF(ROUNDUP(V231/20,0)&gt;ROUNDUP(V230/20,0),"Lần " &amp; ROUNDUP(V231/20,0),"")</f>
        <v/>
      </c>
      <c r="AH231" s="11">
        <f>IF(ROUNDUP(W231/20,0)&gt;ROUNDUP(W230/20,0),"Lần " &amp; ROUNDUP(W231/20,0),"")</f>
        <v/>
      </c>
      <c r="AI231" s="11">
        <f>IF(ROUNDUP(X231/20,0)&gt;ROUNDUP(X230/20,0),"Lần " &amp; ROUNDUP(X231/20,0),"")</f>
        <v/>
      </c>
      <c r="AJ231" s="11">
        <f>IF(ROUNDUP(Y231/20,0)&gt;ROUNDUP(Y230/20,0),"Lần " &amp; ROUNDUP(Y231/20,0),"")</f>
        <v/>
      </c>
      <c r="AK231" s="11">
        <f>IF(ROUNDUP(Z231/20,0)&gt;ROUNDUP(Z230/20,0),"Lần " &amp; ROUNDUP(Z231/20,0),"")</f>
        <v/>
      </c>
      <c r="AL231" s="6" t="n"/>
      <c r="AN231" t="inlineStr">
        <is>
          <t>Dam</t>
        </is>
      </c>
      <c r="AO231" t="n">
        <v>59</v>
      </c>
    </row>
    <row r="232" ht="19" customHeight="1">
      <c r="A232" s="6" t="n">
        <v>223</v>
      </c>
      <c r="B232" s="7" t="inlineStr">
        <is>
          <t>Dầm chủ Super-T (15 phiến L=38.2m)</t>
        </is>
      </c>
      <c r="C232" s="7" t="inlineStr">
        <is>
          <t>Dầm S1B1 (tr.88)</t>
        </is>
      </c>
      <c r="D232" s="18" t="inlineStr">
        <is>
          <t>G5b</t>
        </is>
      </c>
      <c r="E232" s="19" t="n">
        <v>18</v>
      </c>
      <c r="F232" s="6" t="inlineStr">
        <is>
          <t>CB400-V</t>
        </is>
      </c>
      <c r="G232" s="7" t="inlineStr">
        <is>
          <t>S06</t>
        </is>
      </c>
      <c r="H232" s="20" t="n">
        <v>2.86</v>
      </c>
      <c r="I232" s="21" t="n">
        <v>28</v>
      </c>
      <c r="J232" s="22" t="n">
        <v>1.998</v>
      </c>
      <c r="K232" s="9">
        <f>ROUND(H232*I232*J232, 2)</f>
        <v/>
      </c>
      <c r="L232" s="23">
        <f>ROUND(K232/1000, 3)</f>
        <v/>
      </c>
      <c r="M232" s="8">
        <f>IF(AO232="","",IF(INDEX(Theo_Doi_Tan_Suat_Be_Tong!$C:$C,AO232)="","",INDEX(Theo_Doi_Tan_Suat_Be_Tong!$C:$C,AO232)-VLOOKUP(AN232,$AQ$2:$AR$7,2,FALSE)))</f>
        <v/>
      </c>
      <c r="N232" s="6" t="n"/>
      <c r="O232" s="24">
        <f>IF(ROUNDUP(T232/20,0)&gt;ROUNDUP(T231/20,0),"TN Ø18 (Lần " &amp; ROUNDUP(T232/20,0) &amp; ")","")</f>
        <v/>
      </c>
      <c r="P232" s="20">
        <f>ROUND(P231+IF(AND(E232&lt;=10,F232&lt;&gt;"ASTM A416"),L232,0),3)</f>
        <v/>
      </c>
      <c r="Q232" s="20">
        <f>ROUND(Q231+IF(AND(E232=12,F232&lt;&gt;"ASTM A416"),L232,0),3)</f>
        <v/>
      </c>
      <c r="R232" s="20">
        <f>ROUND(R231+IF(AND(E232=14,F232&lt;&gt;"ASTM A416"),L232,0),3)</f>
        <v/>
      </c>
      <c r="S232" s="20">
        <f>ROUND(S231+IF(AND(E232=16,F232&lt;&gt;"ASTM A416"),L232,0),3)</f>
        <v/>
      </c>
      <c r="T232" s="20">
        <f>ROUND(T231+IF(AND(E232=18,F232&lt;&gt;"ASTM A416"),L232,0),3)</f>
        <v/>
      </c>
      <c r="U232" s="20">
        <f>ROUND(U231+IF(AND(E232=20,F232&lt;&gt;"ASTM A416"),L232,0),3)</f>
        <v/>
      </c>
      <c r="V232" s="20">
        <f>ROUND(V231+IF(AND(E232=22,F232&lt;&gt;"ASTM A416"),L232,0),3)</f>
        <v/>
      </c>
      <c r="W232" s="20">
        <f>ROUND(W231+IF(AND(E232=25,F232&lt;&gt;"ASTM A416"),L232,0),3)</f>
        <v/>
      </c>
      <c r="X232" s="20">
        <f>ROUND(X231+IF(AND(E232=28,F232&lt;&gt;"ASTM A416"),L232,0),3)</f>
        <v/>
      </c>
      <c r="Y232" s="20">
        <f>ROUND(Y231+IF(AND(E232=32,F232&lt;&gt;"ASTM A416"),L232,0),3)</f>
        <v/>
      </c>
      <c r="Z232" s="20">
        <f>ROUND(Z231+IF(F232="ASTM A416",L232,0),3)</f>
        <v/>
      </c>
      <c r="AA232" s="11">
        <f>IF(ROUNDUP(P232/20,0)&gt;ROUNDUP(P231/20,0),"Lần " &amp; ROUNDUP(P232/20,0),"")</f>
        <v/>
      </c>
      <c r="AB232" s="11">
        <f>IF(ROUNDUP(Q232/20,0)&gt;ROUNDUP(Q231/20,0),"Lần " &amp; ROUNDUP(Q232/20,0),"")</f>
        <v/>
      </c>
      <c r="AC232" s="11">
        <f>IF(ROUNDUP(R232/20,0)&gt;ROUNDUP(R231/20,0),"Lần " &amp; ROUNDUP(R232/20,0),"")</f>
        <v/>
      </c>
      <c r="AD232" s="11">
        <f>IF(ROUNDUP(S232/20,0)&gt;ROUNDUP(S231/20,0),"Lần " &amp; ROUNDUP(S232/20,0),"")</f>
        <v/>
      </c>
      <c r="AE232" s="11">
        <f>IF(ROUNDUP(T232/20,0)&gt;ROUNDUP(T231/20,0),"Lần " &amp; ROUNDUP(T232/20,0),"")</f>
        <v/>
      </c>
      <c r="AF232" s="11">
        <f>IF(ROUNDUP(U232/20,0)&gt;ROUNDUP(U231/20,0),"Lần " &amp; ROUNDUP(U232/20,0),"")</f>
        <v/>
      </c>
      <c r="AG232" s="11">
        <f>IF(ROUNDUP(V232/20,0)&gt;ROUNDUP(V231/20,0),"Lần " &amp; ROUNDUP(V232/20,0),"")</f>
        <v/>
      </c>
      <c r="AH232" s="11">
        <f>IF(ROUNDUP(W232/20,0)&gt;ROUNDUP(W231/20,0),"Lần " &amp; ROUNDUP(W232/20,0),"")</f>
        <v/>
      </c>
      <c r="AI232" s="11">
        <f>IF(ROUNDUP(X232/20,0)&gt;ROUNDUP(X231/20,0),"Lần " &amp; ROUNDUP(X232/20,0),"")</f>
        <v/>
      </c>
      <c r="AJ232" s="11">
        <f>IF(ROUNDUP(Y232/20,0)&gt;ROUNDUP(Y231/20,0),"Lần " &amp; ROUNDUP(Y232/20,0),"")</f>
        <v/>
      </c>
      <c r="AK232" s="11">
        <f>IF(ROUNDUP(Z232/20,0)&gt;ROUNDUP(Z231/20,0),"Lần " &amp; ROUNDUP(Z232/20,0),"")</f>
        <v/>
      </c>
      <c r="AL232" s="6" t="n"/>
      <c r="AN232" t="inlineStr">
        <is>
          <t>Dam</t>
        </is>
      </c>
      <c r="AO232" t="n">
        <v>59</v>
      </c>
    </row>
    <row r="233" ht="19" customHeight="1">
      <c r="A233" s="6" t="n">
        <v>224</v>
      </c>
      <c r="B233" s="7" t="inlineStr">
        <is>
          <t>Dầm chủ Super-T (15 phiến L=38.2m)</t>
        </is>
      </c>
      <c r="C233" s="7" t="inlineStr">
        <is>
          <t>Dầm S1B1 (tr.88)</t>
        </is>
      </c>
      <c r="D233" s="18" t="inlineStr">
        <is>
          <t>G5c</t>
        </is>
      </c>
      <c r="E233" s="19" t="n">
        <v>16</v>
      </c>
      <c r="F233" s="6" t="inlineStr">
        <is>
          <t>CB400-V</t>
        </is>
      </c>
      <c r="G233" s="7" t="inlineStr">
        <is>
          <t>S01</t>
        </is>
      </c>
      <c r="H233" s="20" t="n">
        <v>10.68</v>
      </c>
      <c r="I233" s="21" t="n">
        <v>28</v>
      </c>
      <c r="J233" s="22" t="n">
        <v>1.578</v>
      </c>
      <c r="K233" s="9">
        <f>ROUND(H233*I233*J233, 2)</f>
        <v/>
      </c>
      <c r="L233" s="23">
        <f>ROUND(K233/1000, 3)</f>
        <v/>
      </c>
      <c r="M233" s="8">
        <f>IF(AO233="","",IF(INDEX(Theo_Doi_Tan_Suat_Be_Tong!$C:$C,AO233)="","",INDEX(Theo_Doi_Tan_Suat_Be_Tong!$C:$C,AO233)-VLOOKUP(AN233,$AQ$2:$AR$7,2,FALSE)))</f>
        <v/>
      </c>
      <c r="N233" s="6" t="n"/>
      <c r="O233" s="24">
        <f>IF(ROUNDUP(S233/20,0)&gt;ROUNDUP(S232/20,0),"TN Ø16 (Lần " &amp; ROUNDUP(S233/20,0) &amp; ")","")</f>
        <v/>
      </c>
      <c r="P233" s="20">
        <f>ROUND(P232+IF(AND(E233&lt;=10,F233&lt;&gt;"ASTM A416"),L233,0),3)</f>
        <v/>
      </c>
      <c r="Q233" s="20">
        <f>ROUND(Q232+IF(AND(E233=12,F233&lt;&gt;"ASTM A416"),L233,0),3)</f>
        <v/>
      </c>
      <c r="R233" s="20">
        <f>ROUND(R232+IF(AND(E233=14,F233&lt;&gt;"ASTM A416"),L233,0),3)</f>
        <v/>
      </c>
      <c r="S233" s="20">
        <f>ROUND(S232+IF(AND(E233=16,F233&lt;&gt;"ASTM A416"),L233,0),3)</f>
        <v/>
      </c>
      <c r="T233" s="20">
        <f>ROUND(T232+IF(AND(E233=18,F233&lt;&gt;"ASTM A416"),L233,0),3)</f>
        <v/>
      </c>
      <c r="U233" s="20">
        <f>ROUND(U232+IF(AND(E233=20,F233&lt;&gt;"ASTM A416"),L233,0),3)</f>
        <v/>
      </c>
      <c r="V233" s="20">
        <f>ROUND(V232+IF(AND(E233=22,F233&lt;&gt;"ASTM A416"),L233,0),3)</f>
        <v/>
      </c>
      <c r="W233" s="20">
        <f>ROUND(W232+IF(AND(E233=25,F233&lt;&gt;"ASTM A416"),L233,0),3)</f>
        <v/>
      </c>
      <c r="X233" s="20">
        <f>ROUND(X232+IF(AND(E233=28,F233&lt;&gt;"ASTM A416"),L233,0),3)</f>
        <v/>
      </c>
      <c r="Y233" s="20">
        <f>ROUND(Y232+IF(AND(E233=32,F233&lt;&gt;"ASTM A416"),L233,0),3)</f>
        <v/>
      </c>
      <c r="Z233" s="20">
        <f>ROUND(Z232+IF(F233="ASTM A416",L233,0),3)</f>
        <v/>
      </c>
      <c r="AA233" s="11">
        <f>IF(ROUNDUP(P233/20,0)&gt;ROUNDUP(P232/20,0),"Lần " &amp; ROUNDUP(P233/20,0),"")</f>
        <v/>
      </c>
      <c r="AB233" s="11">
        <f>IF(ROUNDUP(Q233/20,0)&gt;ROUNDUP(Q232/20,0),"Lần " &amp; ROUNDUP(Q233/20,0),"")</f>
        <v/>
      </c>
      <c r="AC233" s="11">
        <f>IF(ROUNDUP(R233/20,0)&gt;ROUNDUP(R232/20,0),"Lần " &amp; ROUNDUP(R233/20,0),"")</f>
        <v/>
      </c>
      <c r="AD233" s="11">
        <f>IF(ROUNDUP(S233/20,0)&gt;ROUNDUP(S232/20,0),"Lần " &amp; ROUNDUP(S233/20,0),"")</f>
        <v/>
      </c>
      <c r="AE233" s="11">
        <f>IF(ROUNDUP(T233/20,0)&gt;ROUNDUP(T232/20,0),"Lần " &amp; ROUNDUP(T233/20,0),"")</f>
        <v/>
      </c>
      <c r="AF233" s="11">
        <f>IF(ROUNDUP(U233/20,0)&gt;ROUNDUP(U232/20,0),"Lần " &amp; ROUNDUP(U233/20,0),"")</f>
        <v/>
      </c>
      <c r="AG233" s="11">
        <f>IF(ROUNDUP(V233/20,0)&gt;ROUNDUP(V232/20,0),"Lần " &amp; ROUNDUP(V233/20,0),"")</f>
        <v/>
      </c>
      <c r="AH233" s="11">
        <f>IF(ROUNDUP(W233/20,0)&gt;ROUNDUP(W232/20,0),"Lần " &amp; ROUNDUP(W233/20,0),"")</f>
        <v/>
      </c>
      <c r="AI233" s="11">
        <f>IF(ROUNDUP(X233/20,0)&gt;ROUNDUP(X232/20,0),"Lần " &amp; ROUNDUP(X233/20,0),"")</f>
        <v/>
      </c>
      <c r="AJ233" s="11">
        <f>IF(ROUNDUP(Y233/20,0)&gt;ROUNDUP(Y232/20,0),"Lần " &amp; ROUNDUP(Y233/20,0),"")</f>
        <v/>
      </c>
      <c r="AK233" s="11">
        <f>IF(ROUNDUP(Z233/20,0)&gt;ROUNDUP(Z232/20,0),"Lần " &amp; ROUNDUP(Z233/20,0),"")</f>
        <v/>
      </c>
      <c r="AL233" s="6" t="n"/>
      <c r="AN233" t="inlineStr">
        <is>
          <t>Dam</t>
        </is>
      </c>
      <c r="AO233" t="n">
        <v>59</v>
      </c>
    </row>
    <row r="234" ht="19" customHeight="1">
      <c r="A234" s="6" t="n">
        <v>225</v>
      </c>
      <c r="B234" s="7" t="inlineStr">
        <is>
          <t>Dầm chủ Super-T (15 phiến L=38.2m)</t>
        </is>
      </c>
      <c r="C234" s="7" t="inlineStr">
        <is>
          <t>Dầm S1B1 (tr.88)</t>
        </is>
      </c>
      <c r="D234" s="18" t="inlineStr">
        <is>
          <t>G5d</t>
        </is>
      </c>
      <c r="E234" s="19" t="n">
        <v>18</v>
      </c>
      <c r="F234" s="6" t="inlineStr">
        <is>
          <t>CB400-V</t>
        </is>
      </c>
      <c r="G234" s="7" t="inlineStr">
        <is>
          <t>S06</t>
        </is>
      </c>
      <c r="H234" s="20" t="n">
        <v>3.9</v>
      </c>
      <c r="I234" s="21" t="n">
        <v>28</v>
      </c>
      <c r="J234" s="22" t="n">
        <v>1.998</v>
      </c>
      <c r="K234" s="9">
        <f>ROUND(H234*I234*J234, 2)</f>
        <v/>
      </c>
      <c r="L234" s="23">
        <f>ROUND(K234/1000, 3)</f>
        <v/>
      </c>
      <c r="M234" s="8">
        <f>IF(AO234="","",IF(INDEX(Theo_Doi_Tan_Suat_Be_Tong!$C:$C,AO234)="","",INDEX(Theo_Doi_Tan_Suat_Be_Tong!$C:$C,AO234)-VLOOKUP(AN234,$AQ$2:$AR$7,2,FALSE)))</f>
        <v/>
      </c>
      <c r="N234" s="6" t="n"/>
      <c r="O234" s="24">
        <f>IF(ROUNDUP(T234/20,0)&gt;ROUNDUP(T233/20,0),"TN Ø18 (Lần " &amp; ROUNDUP(T234/20,0) &amp; ")","")</f>
        <v/>
      </c>
      <c r="P234" s="20">
        <f>ROUND(P233+IF(AND(E234&lt;=10,F234&lt;&gt;"ASTM A416"),L234,0),3)</f>
        <v/>
      </c>
      <c r="Q234" s="20">
        <f>ROUND(Q233+IF(AND(E234=12,F234&lt;&gt;"ASTM A416"),L234,0),3)</f>
        <v/>
      </c>
      <c r="R234" s="20">
        <f>ROUND(R233+IF(AND(E234=14,F234&lt;&gt;"ASTM A416"),L234,0),3)</f>
        <v/>
      </c>
      <c r="S234" s="20">
        <f>ROUND(S233+IF(AND(E234=16,F234&lt;&gt;"ASTM A416"),L234,0),3)</f>
        <v/>
      </c>
      <c r="T234" s="20">
        <f>ROUND(T233+IF(AND(E234=18,F234&lt;&gt;"ASTM A416"),L234,0),3)</f>
        <v/>
      </c>
      <c r="U234" s="20">
        <f>ROUND(U233+IF(AND(E234=20,F234&lt;&gt;"ASTM A416"),L234,0),3)</f>
        <v/>
      </c>
      <c r="V234" s="20">
        <f>ROUND(V233+IF(AND(E234=22,F234&lt;&gt;"ASTM A416"),L234,0),3)</f>
        <v/>
      </c>
      <c r="W234" s="20">
        <f>ROUND(W233+IF(AND(E234=25,F234&lt;&gt;"ASTM A416"),L234,0),3)</f>
        <v/>
      </c>
      <c r="X234" s="20">
        <f>ROUND(X233+IF(AND(E234=28,F234&lt;&gt;"ASTM A416"),L234,0),3)</f>
        <v/>
      </c>
      <c r="Y234" s="20">
        <f>ROUND(Y233+IF(AND(E234=32,F234&lt;&gt;"ASTM A416"),L234,0),3)</f>
        <v/>
      </c>
      <c r="Z234" s="20">
        <f>ROUND(Z233+IF(F234="ASTM A416",L234,0),3)</f>
        <v/>
      </c>
      <c r="AA234" s="11">
        <f>IF(ROUNDUP(P234/20,0)&gt;ROUNDUP(P233/20,0),"Lần " &amp; ROUNDUP(P234/20,0),"")</f>
        <v/>
      </c>
      <c r="AB234" s="11">
        <f>IF(ROUNDUP(Q234/20,0)&gt;ROUNDUP(Q233/20,0),"Lần " &amp; ROUNDUP(Q234/20,0),"")</f>
        <v/>
      </c>
      <c r="AC234" s="11">
        <f>IF(ROUNDUP(R234/20,0)&gt;ROUNDUP(R233/20,0),"Lần " &amp; ROUNDUP(R234/20,0),"")</f>
        <v/>
      </c>
      <c r="AD234" s="11">
        <f>IF(ROUNDUP(S234/20,0)&gt;ROUNDUP(S233/20,0),"Lần " &amp; ROUNDUP(S234/20,0),"")</f>
        <v/>
      </c>
      <c r="AE234" s="11">
        <f>IF(ROUNDUP(T234/20,0)&gt;ROUNDUP(T233/20,0),"Lần " &amp; ROUNDUP(T234/20,0),"")</f>
        <v/>
      </c>
      <c r="AF234" s="11">
        <f>IF(ROUNDUP(U234/20,0)&gt;ROUNDUP(U233/20,0),"Lần " &amp; ROUNDUP(U234/20,0),"")</f>
        <v/>
      </c>
      <c r="AG234" s="11">
        <f>IF(ROUNDUP(V234/20,0)&gt;ROUNDUP(V233/20,0),"Lần " &amp; ROUNDUP(V234/20,0),"")</f>
        <v/>
      </c>
      <c r="AH234" s="11">
        <f>IF(ROUNDUP(W234/20,0)&gt;ROUNDUP(W233/20,0),"Lần " &amp; ROUNDUP(W234/20,0),"")</f>
        <v/>
      </c>
      <c r="AI234" s="11">
        <f>IF(ROUNDUP(X234/20,0)&gt;ROUNDUP(X233/20,0),"Lần " &amp; ROUNDUP(X234/20,0),"")</f>
        <v/>
      </c>
      <c r="AJ234" s="11">
        <f>IF(ROUNDUP(Y234/20,0)&gt;ROUNDUP(Y233/20,0),"Lần " &amp; ROUNDUP(Y234/20,0),"")</f>
        <v/>
      </c>
      <c r="AK234" s="11">
        <f>IF(ROUNDUP(Z234/20,0)&gt;ROUNDUP(Z233/20,0),"Lần " &amp; ROUNDUP(Z234/20,0),"")</f>
        <v/>
      </c>
      <c r="AL234" s="6" t="n"/>
      <c r="AN234" t="inlineStr">
        <is>
          <t>Dam</t>
        </is>
      </c>
      <c r="AO234" t="n">
        <v>59</v>
      </c>
    </row>
    <row r="235" ht="19" customHeight="1">
      <c r="A235" s="6" t="n">
        <v>226</v>
      </c>
      <c r="B235" s="7" t="inlineStr">
        <is>
          <t>Dầm chủ Super-T (15 phiến L=38.2m)</t>
        </is>
      </c>
      <c r="C235" s="7" t="inlineStr">
        <is>
          <t>Dầm S1B1 (tr.88)</t>
        </is>
      </c>
      <c r="D235" s="18" t="inlineStr">
        <is>
          <t>G6a</t>
        </is>
      </c>
      <c r="E235" s="19" t="n">
        <v>32</v>
      </c>
      <c r="F235" s="6" t="inlineStr">
        <is>
          <t>CB400-V</t>
        </is>
      </c>
      <c r="G235" s="7" t="inlineStr">
        <is>
          <t>S01</t>
        </is>
      </c>
      <c r="H235" s="20" t="n">
        <v>11.7</v>
      </c>
      <c r="I235" s="21" t="n">
        <v>18</v>
      </c>
      <c r="J235" s="22" t="n">
        <v>6.313</v>
      </c>
      <c r="K235" s="9">
        <f>ROUND(H235*I235*J235, 2)</f>
        <v/>
      </c>
      <c r="L235" s="23">
        <f>ROUND(K235/1000, 3)</f>
        <v/>
      </c>
      <c r="M235" s="8">
        <f>IF(AO235="","",IF(INDEX(Theo_Doi_Tan_Suat_Be_Tong!$C:$C,AO235)="","",INDEX(Theo_Doi_Tan_Suat_Be_Tong!$C:$C,AO235)-VLOOKUP(AN235,$AQ$2:$AR$7,2,FALSE)))</f>
        <v/>
      </c>
      <c r="N235" s="6" t="n"/>
      <c r="O235" s="24">
        <f>IF(ROUNDUP(Y235/20,0)&gt;ROUNDUP(Y234/20,0),"TN Ø32 (Lần " &amp; ROUNDUP(Y235/20,0) &amp; ")","")</f>
        <v/>
      </c>
      <c r="P235" s="20">
        <f>ROUND(P234+IF(AND(E235&lt;=10,F235&lt;&gt;"ASTM A416"),L235,0),3)</f>
        <v/>
      </c>
      <c r="Q235" s="20">
        <f>ROUND(Q234+IF(AND(E235=12,F235&lt;&gt;"ASTM A416"),L235,0),3)</f>
        <v/>
      </c>
      <c r="R235" s="20">
        <f>ROUND(R234+IF(AND(E235=14,F235&lt;&gt;"ASTM A416"),L235,0),3)</f>
        <v/>
      </c>
      <c r="S235" s="20">
        <f>ROUND(S234+IF(AND(E235=16,F235&lt;&gt;"ASTM A416"),L235,0),3)</f>
        <v/>
      </c>
      <c r="T235" s="20">
        <f>ROUND(T234+IF(AND(E235=18,F235&lt;&gt;"ASTM A416"),L235,0),3)</f>
        <v/>
      </c>
      <c r="U235" s="20">
        <f>ROUND(U234+IF(AND(E235=20,F235&lt;&gt;"ASTM A416"),L235,0),3)</f>
        <v/>
      </c>
      <c r="V235" s="20">
        <f>ROUND(V234+IF(AND(E235=22,F235&lt;&gt;"ASTM A416"),L235,0),3)</f>
        <v/>
      </c>
      <c r="W235" s="20">
        <f>ROUND(W234+IF(AND(E235=25,F235&lt;&gt;"ASTM A416"),L235,0),3)</f>
        <v/>
      </c>
      <c r="X235" s="20">
        <f>ROUND(X234+IF(AND(E235=28,F235&lt;&gt;"ASTM A416"),L235,0),3)</f>
        <v/>
      </c>
      <c r="Y235" s="20">
        <f>ROUND(Y234+IF(AND(E235=32,F235&lt;&gt;"ASTM A416"),L235,0),3)</f>
        <v/>
      </c>
      <c r="Z235" s="20">
        <f>ROUND(Z234+IF(F235="ASTM A416",L235,0),3)</f>
        <v/>
      </c>
      <c r="AA235" s="11">
        <f>IF(ROUNDUP(P235/20,0)&gt;ROUNDUP(P234/20,0),"Lần " &amp; ROUNDUP(P235/20,0),"")</f>
        <v/>
      </c>
      <c r="AB235" s="11">
        <f>IF(ROUNDUP(Q235/20,0)&gt;ROUNDUP(Q234/20,0),"Lần " &amp; ROUNDUP(Q235/20,0),"")</f>
        <v/>
      </c>
      <c r="AC235" s="11">
        <f>IF(ROUNDUP(R235/20,0)&gt;ROUNDUP(R234/20,0),"Lần " &amp; ROUNDUP(R235/20,0),"")</f>
        <v/>
      </c>
      <c r="AD235" s="11">
        <f>IF(ROUNDUP(S235/20,0)&gt;ROUNDUP(S234/20,0),"Lần " &amp; ROUNDUP(S235/20,0),"")</f>
        <v/>
      </c>
      <c r="AE235" s="11">
        <f>IF(ROUNDUP(T235/20,0)&gt;ROUNDUP(T234/20,0),"Lần " &amp; ROUNDUP(T235/20,0),"")</f>
        <v/>
      </c>
      <c r="AF235" s="11">
        <f>IF(ROUNDUP(U235/20,0)&gt;ROUNDUP(U234/20,0),"Lần " &amp; ROUNDUP(U235/20,0),"")</f>
        <v/>
      </c>
      <c r="AG235" s="11">
        <f>IF(ROUNDUP(V235/20,0)&gt;ROUNDUP(V234/20,0),"Lần " &amp; ROUNDUP(V235/20,0),"")</f>
        <v/>
      </c>
      <c r="AH235" s="11">
        <f>IF(ROUNDUP(W235/20,0)&gt;ROUNDUP(W234/20,0),"Lần " &amp; ROUNDUP(W235/20,0),"")</f>
        <v/>
      </c>
      <c r="AI235" s="11">
        <f>IF(ROUNDUP(X235/20,0)&gt;ROUNDUP(X234/20,0),"Lần " &amp; ROUNDUP(X235/20,0),"")</f>
        <v/>
      </c>
      <c r="AJ235" s="11">
        <f>IF(ROUNDUP(Y235/20,0)&gt;ROUNDUP(Y234/20,0),"Lần " &amp; ROUNDUP(Y235/20,0),"")</f>
        <v/>
      </c>
      <c r="AK235" s="11">
        <f>IF(ROUNDUP(Z235/20,0)&gt;ROUNDUP(Z234/20,0),"Lần " &amp; ROUNDUP(Z235/20,0),"")</f>
        <v/>
      </c>
      <c r="AL235" s="6" t="n"/>
      <c r="AN235" t="inlineStr">
        <is>
          <t>Dam</t>
        </is>
      </c>
      <c r="AO235" t="n">
        <v>59</v>
      </c>
    </row>
    <row r="236" ht="19" customHeight="1">
      <c r="A236" s="6" t="n">
        <v>227</v>
      </c>
      <c r="B236" s="7" t="inlineStr">
        <is>
          <t>Dầm chủ Super-T (15 phiến L=38.2m)</t>
        </is>
      </c>
      <c r="C236" s="7" t="inlineStr">
        <is>
          <t>Dầm S1B1 (tr.88)</t>
        </is>
      </c>
      <c r="D236" s="18" t="inlineStr">
        <is>
          <t>G6b</t>
        </is>
      </c>
      <c r="E236" s="19" t="n">
        <v>32</v>
      </c>
      <c r="F236" s="6" t="inlineStr">
        <is>
          <t>CB400-V</t>
        </is>
      </c>
      <c r="G236" s="7" t="inlineStr">
        <is>
          <t>S06</t>
        </is>
      </c>
      <c r="H236" s="20" t="n">
        <v>6.86</v>
      </c>
      <c r="I236" s="21" t="n">
        <v>6</v>
      </c>
      <c r="J236" s="22" t="n">
        <v>6.313</v>
      </c>
      <c r="K236" s="9">
        <f>ROUND(H236*I236*J236, 2)</f>
        <v/>
      </c>
      <c r="L236" s="23">
        <f>ROUND(K236/1000, 3)</f>
        <v/>
      </c>
      <c r="M236" s="8">
        <f>IF(AO236="","",IF(INDEX(Theo_Doi_Tan_Suat_Be_Tong!$C:$C,AO236)="","",INDEX(Theo_Doi_Tan_Suat_Be_Tong!$C:$C,AO236)-VLOOKUP(AN236,$AQ$2:$AR$7,2,FALSE)))</f>
        <v/>
      </c>
      <c r="N236" s="6" t="n"/>
      <c r="O236" s="24">
        <f>IF(ROUNDUP(Y236/20,0)&gt;ROUNDUP(Y235/20,0),"TN Ø32 (Lần " &amp; ROUNDUP(Y236/20,0) &amp; ")","")</f>
        <v/>
      </c>
      <c r="P236" s="20">
        <f>ROUND(P235+IF(AND(E236&lt;=10,F236&lt;&gt;"ASTM A416"),L236,0),3)</f>
        <v/>
      </c>
      <c r="Q236" s="20">
        <f>ROUND(Q235+IF(AND(E236=12,F236&lt;&gt;"ASTM A416"),L236,0),3)</f>
        <v/>
      </c>
      <c r="R236" s="20">
        <f>ROUND(R235+IF(AND(E236=14,F236&lt;&gt;"ASTM A416"),L236,0),3)</f>
        <v/>
      </c>
      <c r="S236" s="20">
        <f>ROUND(S235+IF(AND(E236=16,F236&lt;&gt;"ASTM A416"),L236,0),3)</f>
        <v/>
      </c>
      <c r="T236" s="20">
        <f>ROUND(T235+IF(AND(E236=18,F236&lt;&gt;"ASTM A416"),L236,0),3)</f>
        <v/>
      </c>
      <c r="U236" s="20">
        <f>ROUND(U235+IF(AND(E236=20,F236&lt;&gt;"ASTM A416"),L236,0),3)</f>
        <v/>
      </c>
      <c r="V236" s="20">
        <f>ROUND(V235+IF(AND(E236=22,F236&lt;&gt;"ASTM A416"),L236,0),3)</f>
        <v/>
      </c>
      <c r="W236" s="20">
        <f>ROUND(W235+IF(AND(E236=25,F236&lt;&gt;"ASTM A416"),L236,0),3)</f>
        <v/>
      </c>
      <c r="X236" s="20">
        <f>ROUND(X235+IF(AND(E236=28,F236&lt;&gt;"ASTM A416"),L236,0),3)</f>
        <v/>
      </c>
      <c r="Y236" s="20">
        <f>ROUND(Y235+IF(AND(E236=32,F236&lt;&gt;"ASTM A416"),L236,0),3)</f>
        <v/>
      </c>
      <c r="Z236" s="20">
        <f>ROUND(Z235+IF(F236="ASTM A416",L236,0),3)</f>
        <v/>
      </c>
      <c r="AA236" s="11">
        <f>IF(ROUNDUP(P236/20,0)&gt;ROUNDUP(P235/20,0),"Lần " &amp; ROUNDUP(P236/20,0),"")</f>
        <v/>
      </c>
      <c r="AB236" s="11">
        <f>IF(ROUNDUP(Q236/20,0)&gt;ROUNDUP(Q235/20,0),"Lần " &amp; ROUNDUP(Q236/20,0),"")</f>
        <v/>
      </c>
      <c r="AC236" s="11">
        <f>IF(ROUNDUP(R236/20,0)&gt;ROUNDUP(R235/20,0),"Lần " &amp; ROUNDUP(R236/20,0),"")</f>
        <v/>
      </c>
      <c r="AD236" s="11">
        <f>IF(ROUNDUP(S236/20,0)&gt;ROUNDUP(S235/20,0),"Lần " &amp; ROUNDUP(S236/20,0),"")</f>
        <v/>
      </c>
      <c r="AE236" s="11">
        <f>IF(ROUNDUP(T236/20,0)&gt;ROUNDUP(T235/20,0),"Lần " &amp; ROUNDUP(T236/20,0),"")</f>
        <v/>
      </c>
      <c r="AF236" s="11">
        <f>IF(ROUNDUP(U236/20,0)&gt;ROUNDUP(U235/20,0),"Lần " &amp; ROUNDUP(U236/20,0),"")</f>
        <v/>
      </c>
      <c r="AG236" s="11">
        <f>IF(ROUNDUP(V236/20,0)&gt;ROUNDUP(V235/20,0),"Lần " &amp; ROUNDUP(V236/20,0),"")</f>
        <v/>
      </c>
      <c r="AH236" s="11">
        <f>IF(ROUNDUP(W236/20,0)&gt;ROUNDUP(W235/20,0),"Lần " &amp; ROUNDUP(W236/20,0),"")</f>
        <v/>
      </c>
      <c r="AI236" s="11">
        <f>IF(ROUNDUP(X236/20,0)&gt;ROUNDUP(X235/20,0),"Lần " &amp; ROUNDUP(X236/20,0),"")</f>
        <v/>
      </c>
      <c r="AJ236" s="11">
        <f>IF(ROUNDUP(Y236/20,0)&gt;ROUNDUP(Y235/20,0),"Lần " &amp; ROUNDUP(Y236/20,0),"")</f>
        <v/>
      </c>
      <c r="AK236" s="11">
        <f>IF(ROUNDUP(Z236/20,0)&gt;ROUNDUP(Z235/20,0),"Lần " &amp; ROUNDUP(Z236/20,0),"")</f>
        <v/>
      </c>
      <c r="AL236" s="6" t="n"/>
      <c r="AN236" t="inlineStr">
        <is>
          <t>Dam</t>
        </is>
      </c>
      <c r="AO236" t="n">
        <v>59</v>
      </c>
    </row>
    <row r="237" ht="19" customHeight="1">
      <c r="A237" s="6" t="n">
        <v>228</v>
      </c>
      <c r="B237" s="7" t="inlineStr">
        <is>
          <t>Dầm chủ Super-T (15 phiến L=38.2m)</t>
        </is>
      </c>
      <c r="C237" s="7" t="inlineStr">
        <is>
          <t>Dầm S1B1 (tr.88)</t>
        </is>
      </c>
      <c r="D237" s="18" t="inlineStr">
        <is>
          <t>N1a</t>
        </is>
      </c>
      <c r="E237" s="19" t="n">
        <v>12</v>
      </c>
      <c r="F237" s="6" t="inlineStr">
        <is>
          <t>CB400-V</t>
        </is>
      </c>
      <c r="G237" s="7" t="inlineStr">
        <is>
          <t>S06</t>
        </is>
      </c>
      <c r="H237" s="20" t="n">
        <v>1.185</v>
      </c>
      <c r="I237" s="21" t="n">
        <v>74</v>
      </c>
      <c r="J237" s="22" t="n">
        <v>0.888</v>
      </c>
      <c r="K237" s="9">
        <f>ROUND(H237*I237*J237, 2)</f>
        <v/>
      </c>
      <c r="L237" s="23">
        <f>ROUND(K237/1000, 3)</f>
        <v/>
      </c>
      <c r="M237" s="8">
        <f>IF(AO237="","",IF(INDEX(Theo_Doi_Tan_Suat_Be_Tong!$C:$C,AO237)="","",INDEX(Theo_Doi_Tan_Suat_Be_Tong!$C:$C,AO237)-VLOOKUP(AN237,$AQ$2:$AR$7,2,FALSE)))</f>
        <v/>
      </c>
      <c r="N237" s="6" t="n"/>
      <c r="O237" s="24">
        <f>IF(ROUNDUP(Q237/20,0)&gt;ROUNDUP(Q236/20,0),"TN Ø12 (Lần " &amp; ROUNDUP(Q237/20,0) &amp; ")","")</f>
        <v/>
      </c>
      <c r="P237" s="20">
        <f>ROUND(P236+IF(AND(E237&lt;=10,F237&lt;&gt;"ASTM A416"),L237,0),3)</f>
        <v/>
      </c>
      <c r="Q237" s="20">
        <f>ROUND(Q236+IF(AND(E237=12,F237&lt;&gt;"ASTM A416"),L237,0),3)</f>
        <v/>
      </c>
      <c r="R237" s="20">
        <f>ROUND(R236+IF(AND(E237=14,F237&lt;&gt;"ASTM A416"),L237,0),3)</f>
        <v/>
      </c>
      <c r="S237" s="20">
        <f>ROUND(S236+IF(AND(E237=16,F237&lt;&gt;"ASTM A416"),L237,0),3)</f>
        <v/>
      </c>
      <c r="T237" s="20">
        <f>ROUND(T236+IF(AND(E237=18,F237&lt;&gt;"ASTM A416"),L237,0),3)</f>
        <v/>
      </c>
      <c r="U237" s="20">
        <f>ROUND(U236+IF(AND(E237=20,F237&lt;&gt;"ASTM A416"),L237,0),3)</f>
        <v/>
      </c>
      <c r="V237" s="20">
        <f>ROUND(V236+IF(AND(E237=22,F237&lt;&gt;"ASTM A416"),L237,0),3)</f>
        <v/>
      </c>
      <c r="W237" s="20">
        <f>ROUND(W236+IF(AND(E237=25,F237&lt;&gt;"ASTM A416"),L237,0),3)</f>
        <v/>
      </c>
      <c r="X237" s="20">
        <f>ROUND(X236+IF(AND(E237=28,F237&lt;&gt;"ASTM A416"),L237,0),3)</f>
        <v/>
      </c>
      <c r="Y237" s="20">
        <f>ROUND(Y236+IF(AND(E237=32,F237&lt;&gt;"ASTM A416"),L237,0),3)</f>
        <v/>
      </c>
      <c r="Z237" s="20">
        <f>ROUND(Z236+IF(F237="ASTM A416",L237,0),3)</f>
        <v/>
      </c>
      <c r="AA237" s="11">
        <f>IF(ROUNDUP(P237/20,0)&gt;ROUNDUP(P236/20,0),"Lần " &amp; ROUNDUP(P237/20,0),"")</f>
        <v/>
      </c>
      <c r="AB237" s="11">
        <f>IF(ROUNDUP(Q237/20,0)&gt;ROUNDUP(Q236/20,0),"Lần " &amp; ROUNDUP(Q237/20,0),"")</f>
        <v/>
      </c>
      <c r="AC237" s="11">
        <f>IF(ROUNDUP(R237/20,0)&gt;ROUNDUP(R236/20,0),"Lần " &amp; ROUNDUP(R237/20,0),"")</f>
        <v/>
      </c>
      <c r="AD237" s="11">
        <f>IF(ROUNDUP(S237/20,0)&gt;ROUNDUP(S236/20,0),"Lần " &amp; ROUNDUP(S237/20,0),"")</f>
        <v/>
      </c>
      <c r="AE237" s="11">
        <f>IF(ROUNDUP(T237/20,0)&gt;ROUNDUP(T236/20,0),"Lần " &amp; ROUNDUP(T237/20,0),"")</f>
        <v/>
      </c>
      <c r="AF237" s="11">
        <f>IF(ROUNDUP(U237/20,0)&gt;ROUNDUP(U236/20,0),"Lần " &amp; ROUNDUP(U237/20,0),"")</f>
        <v/>
      </c>
      <c r="AG237" s="11">
        <f>IF(ROUNDUP(V237/20,0)&gt;ROUNDUP(V236/20,0),"Lần " &amp; ROUNDUP(V237/20,0),"")</f>
        <v/>
      </c>
      <c r="AH237" s="11">
        <f>IF(ROUNDUP(W237/20,0)&gt;ROUNDUP(W236/20,0),"Lần " &amp; ROUNDUP(W237/20,0),"")</f>
        <v/>
      </c>
      <c r="AI237" s="11">
        <f>IF(ROUNDUP(X237/20,0)&gt;ROUNDUP(X236/20,0),"Lần " &amp; ROUNDUP(X237/20,0),"")</f>
        <v/>
      </c>
      <c r="AJ237" s="11">
        <f>IF(ROUNDUP(Y237/20,0)&gt;ROUNDUP(Y236/20,0),"Lần " &amp; ROUNDUP(Y237/20,0),"")</f>
        <v/>
      </c>
      <c r="AK237" s="11">
        <f>IF(ROUNDUP(Z237/20,0)&gt;ROUNDUP(Z236/20,0),"Lần " &amp; ROUNDUP(Z237/20,0),"")</f>
        <v/>
      </c>
      <c r="AL237" s="6" t="n"/>
      <c r="AN237" t="inlineStr">
        <is>
          <t>Dam</t>
        </is>
      </c>
      <c r="AO237" t="n">
        <v>59</v>
      </c>
    </row>
    <row r="238" ht="19" customHeight="1">
      <c r="A238" s="6" t="n">
        <v>229</v>
      </c>
      <c r="B238" s="7" t="inlineStr">
        <is>
          <t>Dầm chủ Super-T (15 phiến L=38.2m)</t>
        </is>
      </c>
      <c r="C238" s="7" t="inlineStr">
        <is>
          <t>Dầm S1B1 (tr.88)</t>
        </is>
      </c>
      <c r="D238" s="18" t="inlineStr">
        <is>
          <t>N1b</t>
        </is>
      </c>
      <c r="E238" s="19" t="n">
        <v>12</v>
      </c>
      <c r="F238" s="6" t="inlineStr">
        <is>
          <t>CB400-V</t>
        </is>
      </c>
      <c r="G238" s="7" t="inlineStr">
        <is>
          <t>S06</t>
        </is>
      </c>
      <c r="H238" s="20" t="n">
        <v>0.93</v>
      </c>
      <c r="I238" s="21" t="n">
        <v>518</v>
      </c>
      <c r="J238" s="22" t="n">
        <v>0.888</v>
      </c>
      <c r="K238" s="9">
        <f>ROUND(H238*I238*J238, 2)</f>
        <v/>
      </c>
      <c r="L238" s="23">
        <f>ROUND(K238/1000, 3)</f>
        <v/>
      </c>
      <c r="M238" s="8">
        <f>IF(AO238="","",IF(INDEX(Theo_Doi_Tan_Suat_Be_Tong!$C:$C,AO238)="","",INDEX(Theo_Doi_Tan_Suat_Be_Tong!$C:$C,AO238)-VLOOKUP(AN238,$AQ$2:$AR$7,2,FALSE)))</f>
        <v/>
      </c>
      <c r="N238" s="6" t="n"/>
      <c r="O238" s="24">
        <f>IF(ROUNDUP(Q238/20,0)&gt;ROUNDUP(Q237/20,0),"TN Ø12 (Lần " &amp; ROUNDUP(Q238/20,0) &amp; ")","")</f>
        <v/>
      </c>
      <c r="P238" s="20">
        <f>ROUND(P237+IF(AND(E238&lt;=10,F238&lt;&gt;"ASTM A416"),L238,0),3)</f>
        <v/>
      </c>
      <c r="Q238" s="20">
        <f>ROUND(Q237+IF(AND(E238=12,F238&lt;&gt;"ASTM A416"),L238,0),3)</f>
        <v/>
      </c>
      <c r="R238" s="20">
        <f>ROUND(R237+IF(AND(E238=14,F238&lt;&gt;"ASTM A416"),L238,0),3)</f>
        <v/>
      </c>
      <c r="S238" s="20">
        <f>ROUND(S237+IF(AND(E238=16,F238&lt;&gt;"ASTM A416"),L238,0),3)</f>
        <v/>
      </c>
      <c r="T238" s="20">
        <f>ROUND(T237+IF(AND(E238=18,F238&lt;&gt;"ASTM A416"),L238,0),3)</f>
        <v/>
      </c>
      <c r="U238" s="20">
        <f>ROUND(U237+IF(AND(E238=20,F238&lt;&gt;"ASTM A416"),L238,0),3)</f>
        <v/>
      </c>
      <c r="V238" s="20">
        <f>ROUND(V237+IF(AND(E238=22,F238&lt;&gt;"ASTM A416"),L238,0),3)</f>
        <v/>
      </c>
      <c r="W238" s="20">
        <f>ROUND(W237+IF(AND(E238=25,F238&lt;&gt;"ASTM A416"),L238,0),3)</f>
        <v/>
      </c>
      <c r="X238" s="20">
        <f>ROUND(X237+IF(AND(E238=28,F238&lt;&gt;"ASTM A416"),L238,0),3)</f>
        <v/>
      </c>
      <c r="Y238" s="20">
        <f>ROUND(Y237+IF(AND(E238=32,F238&lt;&gt;"ASTM A416"),L238,0),3)</f>
        <v/>
      </c>
      <c r="Z238" s="20">
        <f>ROUND(Z237+IF(F238="ASTM A416",L238,0),3)</f>
        <v/>
      </c>
      <c r="AA238" s="11">
        <f>IF(ROUNDUP(P238/20,0)&gt;ROUNDUP(P237/20,0),"Lần " &amp; ROUNDUP(P238/20,0),"")</f>
        <v/>
      </c>
      <c r="AB238" s="11">
        <f>IF(ROUNDUP(Q238/20,0)&gt;ROUNDUP(Q237/20,0),"Lần " &amp; ROUNDUP(Q238/20,0),"")</f>
        <v/>
      </c>
      <c r="AC238" s="11">
        <f>IF(ROUNDUP(R238/20,0)&gt;ROUNDUP(R237/20,0),"Lần " &amp; ROUNDUP(R238/20,0),"")</f>
        <v/>
      </c>
      <c r="AD238" s="11">
        <f>IF(ROUNDUP(S238/20,0)&gt;ROUNDUP(S237/20,0),"Lần " &amp; ROUNDUP(S238/20,0),"")</f>
        <v/>
      </c>
      <c r="AE238" s="11">
        <f>IF(ROUNDUP(T238/20,0)&gt;ROUNDUP(T237/20,0),"Lần " &amp; ROUNDUP(T238/20,0),"")</f>
        <v/>
      </c>
      <c r="AF238" s="11">
        <f>IF(ROUNDUP(U238/20,0)&gt;ROUNDUP(U237/20,0),"Lần " &amp; ROUNDUP(U238/20,0),"")</f>
        <v/>
      </c>
      <c r="AG238" s="11">
        <f>IF(ROUNDUP(V238/20,0)&gt;ROUNDUP(V237/20,0),"Lần " &amp; ROUNDUP(V238/20,0),"")</f>
        <v/>
      </c>
      <c r="AH238" s="11">
        <f>IF(ROUNDUP(W238/20,0)&gt;ROUNDUP(W237/20,0),"Lần " &amp; ROUNDUP(W238/20,0),"")</f>
        <v/>
      </c>
      <c r="AI238" s="11">
        <f>IF(ROUNDUP(X238/20,0)&gt;ROUNDUP(X237/20,0),"Lần " &amp; ROUNDUP(X238/20,0),"")</f>
        <v/>
      </c>
      <c r="AJ238" s="11">
        <f>IF(ROUNDUP(Y238/20,0)&gt;ROUNDUP(Y237/20,0),"Lần " &amp; ROUNDUP(Y238/20,0),"")</f>
        <v/>
      </c>
      <c r="AK238" s="11">
        <f>IF(ROUNDUP(Z238/20,0)&gt;ROUNDUP(Z237/20,0),"Lần " &amp; ROUNDUP(Z238/20,0),"")</f>
        <v/>
      </c>
      <c r="AL238" s="6" t="n"/>
      <c r="AN238" t="inlineStr">
        <is>
          <t>Dam</t>
        </is>
      </c>
      <c r="AO238" t="n">
        <v>59</v>
      </c>
    </row>
    <row r="239" ht="19" customHeight="1">
      <c r="A239" s="6" t="n">
        <v>230</v>
      </c>
      <c r="B239" s="7" t="inlineStr">
        <is>
          <t>Dầm chủ Super-T (15 phiến L=38.2m)</t>
        </is>
      </c>
      <c r="C239" s="7" t="inlineStr">
        <is>
          <t>Dầm S1B1 (tr.88)</t>
        </is>
      </c>
      <c r="D239" s="18" t="inlineStr">
        <is>
          <t>N2</t>
        </is>
      </c>
      <c r="E239" s="19" t="n">
        <v>12</v>
      </c>
      <c r="F239" s="6" t="inlineStr">
        <is>
          <t>CB400-V</t>
        </is>
      </c>
      <c r="G239" s="7" t="inlineStr">
        <is>
          <t>S06</t>
        </is>
      </c>
      <c r="H239" s="20" t="n">
        <v>3.664</v>
      </c>
      <c r="I239" s="21" t="n">
        <v>6</v>
      </c>
      <c r="J239" s="22" t="n">
        <v>0.888</v>
      </c>
      <c r="K239" s="9">
        <f>ROUND(H239*I239*J239, 2)</f>
        <v/>
      </c>
      <c r="L239" s="23">
        <f>ROUND(K239/1000, 3)</f>
        <v/>
      </c>
      <c r="M239" s="8">
        <f>IF(AO239="","",IF(INDEX(Theo_Doi_Tan_Suat_Be_Tong!$C:$C,AO239)="","",INDEX(Theo_Doi_Tan_Suat_Be_Tong!$C:$C,AO239)-VLOOKUP(AN239,$AQ$2:$AR$7,2,FALSE)))</f>
        <v/>
      </c>
      <c r="N239" s="6" t="n"/>
      <c r="O239" s="24">
        <f>IF(ROUNDUP(Q239/20,0)&gt;ROUNDUP(Q238/20,0),"TN Ø12 (Lần " &amp; ROUNDUP(Q239/20,0) &amp; ")","")</f>
        <v/>
      </c>
      <c r="P239" s="20">
        <f>ROUND(P238+IF(AND(E239&lt;=10,F239&lt;&gt;"ASTM A416"),L239,0),3)</f>
        <v/>
      </c>
      <c r="Q239" s="20">
        <f>ROUND(Q238+IF(AND(E239=12,F239&lt;&gt;"ASTM A416"),L239,0),3)</f>
        <v/>
      </c>
      <c r="R239" s="20">
        <f>ROUND(R238+IF(AND(E239=14,F239&lt;&gt;"ASTM A416"),L239,0),3)</f>
        <v/>
      </c>
      <c r="S239" s="20">
        <f>ROUND(S238+IF(AND(E239=16,F239&lt;&gt;"ASTM A416"),L239,0),3)</f>
        <v/>
      </c>
      <c r="T239" s="20">
        <f>ROUND(T238+IF(AND(E239=18,F239&lt;&gt;"ASTM A416"),L239,0),3)</f>
        <v/>
      </c>
      <c r="U239" s="20">
        <f>ROUND(U238+IF(AND(E239=20,F239&lt;&gt;"ASTM A416"),L239,0),3)</f>
        <v/>
      </c>
      <c r="V239" s="20">
        <f>ROUND(V238+IF(AND(E239=22,F239&lt;&gt;"ASTM A416"),L239,0),3)</f>
        <v/>
      </c>
      <c r="W239" s="20">
        <f>ROUND(W238+IF(AND(E239=25,F239&lt;&gt;"ASTM A416"),L239,0),3)</f>
        <v/>
      </c>
      <c r="X239" s="20">
        <f>ROUND(X238+IF(AND(E239=28,F239&lt;&gt;"ASTM A416"),L239,0),3)</f>
        <v/>
      </c>
      <c r="Y239" s="20">
        <f>ROUND(Y238+IF(AND(E239=32,F239&lt;&gt;"ASTM A416"),L239,0),3)</f>
        <v/>
      </c>
      <c r="Z239" s="20">
        <f>ROUND(Z238+IF(F239="ASTM A416",L239,0),3)</f>
        <v/>
      </c>
      <c r="AA239" s="11">
        <f>IF(ROUNDUP(P239/20,0)&gt;ROUNDUP(P238/20,0),"Lần " &amp; ROUNDUP(P239/20,0),"")</f>
        <v/>
      </c>
      <c r="AB239" s="11">
        <f>IF(ROUNDUP(Q239/20,0)&gt;ROUNDUP(Q238/20,0),"Lần " &amp; ROUNDUP(Q239/20,0),"")</f>
        <v/>
      </c>
      <c r="AC239" s="11">
        <f>IF(ROUNDUP(R239/20,0)&gt;ROUNDUP(R238/20,0),"Lần " &amp; ROUNDUP(R239/20,0),"")</f>
        <v/>
      </c>
      <c r="AD239" s="11">
        <f>IF(ROUNDUP(S239/20,0)&gt;ROUNDUP(S238/20,0),"Lần " &amp; ROUNDUP(S239/20,0),"")</f>
        <v/>
      </c>
      <c r="AE239" s="11">
        <f>IF(ROUNDUP(T239/20,0)&gt;ROUNDUP(T238/20,0),"Lần " &amp; ROUNDUP(T239/20,0),"")</f>
        <v/>
      </c>
      <c r="AF239" s="11">
        <f>IF(ROUNDUP(U239/20,0)&gt;ROUNDUP(U238/20,0),"Lần " &amp; ROUNDUP(U239/20,0),"")</f>
        <v/>
      </c>
      <c r="AG239" s="11">
        <f>IF(ROUNDUP(V239/20,0)&gt;ROUNDUP(V238/20,0),"Lần " &amp; ROUNDUP(V239/20,0),"")</f>
        <v/>
      </c>
      <c r="AH239" s="11">
        <f>IF(ROUNDUP(W239/20,0)&gt;ROUNDUP(W238/20,0),"Lần " &amp; ROUNDUP(W239/20,0),"")</f>
        <v/>
      </c>
      <c r="AI239" s="11">
        <f>IF(ROUNDUP(X239/20,0)&gt;ROUNDUP(X238/20,0),"Lần " &amp; ROUNDUP(X239/20,0),"")</f>
        <v/>
      </c>
      <c r="AJ239" s="11">
        <f>IF(ROUNDUP(Y239/20,0)&gt;ROUNDUP(Y238/20,0),"Lần " &amp; ROUNDUP(Y239/20,0),"")</f>
        <v/>
      </c>
      <c r="AK239" s="11">
        <f>IF(ROUNDUP(Z239/20,0)&gt;ROUNDUP(Z238/20,0),"Lần " &amp; ROUNDUP(Z239/20,0),"")</f>
        <v/>
      </c>
      <c r="AL239" s="6" t="n"/>
      <c r="AN239" t="inlineStr">
        <is>
          <t>Dam</t>
        </is>
      </c>
      <c r="AO239" t="n">
        <v>59</v>
      </c>
    </row>
    <row r="240" ht="19" customHeight="1">
      <c r="A240" s="6" t="n">
        <v>231</v>
      </c>
      <c r="B240" s="7" t="inlineStr">
        <is>
          <t>Dầm chủ Super-T (15 phiến L=38.2m)</t>
        </is>
      </c>
      <c r="C240" s="7" t="inlineStr">
        <is>
          <t>Dầm S1B1 (tr.88)</t>
        </is>
      </c>
      <c r="D240" s="18" t="inlineStr">
        <is>
          <t>E1</t>
        </is>
      </c>
      <c r="E240" s="19" t="n">
        <v>16</v>
      </c>
      <c r="F240" s="6" t="inlineStr">
        <is>
          <t>CB400-V</t>
        </is>
      </c>
      <c r="G240" s="7" t="inlineStr">
        <is>
          <t>S06</t>
        </is>
      </c>
      <c r="H240" s="20" t="n">
        <v>2.376</v>
      </c>
      <c r="I240" s="21" t="n">
        <v>504</v>
      </c>
      <c r="J240" s="22" t="n">
        <v>1.578</v>
      </c>
      <c r="K240" s="9">
        <f>ROUND(H240*I240*J240, 2)</f>
        <v/>
      </c>
      <c r="L240" s="23">
        <f>ROUND(K240/1000, 3)</f>
        <v/>
      </c>
      <c r="M240" s="8">
        <f>IF(AO240="","",IF(INDEX(Theo_Doi_Tan_Suat_Be_Tong!$C:$C,AO240)="","",INDEX(Theo_Doi_Tan_Suat_Be_Tong!$C:$C,AO240)-VLOOKUP(AN240,$AQ$2:$AR$7,2,FALSE)))</f>
        <v/>
      </c>
      <c r="N240" s="6" t="n"/>
      <c r="O240" s="24">
        <f>IF(ROUNDUP(S240/20,0)&gt;ROUNDUP(S239/20,0),"TN Ø16 (Lần " &amp; ROUNDUP(S240/20,0) &amp; ")","")</f>
        <v/>
      </c>
      <c r="P240" s="20">
        <f>ROUND(P239+IF(AND(E240&lt;=10,F240&lt;&gt;"ASTM A416"),L240,0),3)</f>
        <v/>
      </c>
      <c r="Q240" s="20">
        <f>ROUND(Q239+IF(AND(E240=12,F240&lt;&gt;"ASTM A416"),L240,0),3)</f>
        <v/>
      </c>
      <c r="R240" s="20">
        <f>ROUND(R239+IF(AND(E240=14,F240&lt;&gt;"ASTM A416"),L240,0),3)</f>
        <v/>
      </c>
      <c r="S240" s="20">
        <f>ROUND(S239+IF(AND(E240=16,F240&lt;&gt;"ASTM A416"),L240,0),3)</f>
        <v/>
      </c>
      <c r="T240" s="20">
        <f>ROUND(T239+IF(AND(E240=18,F240&lt;&gt;"ASTM A416"),L240,0),3)</f>
        <v/>
      </c>
      <c r="U240" s="20">
        <f>ROUND(U239+IF(AND(E240=20,F240&lt;&gt;"ASTM A416"),L240,0),3)</f>
        <v/>
      </c>
      <c r="V240" s="20">
        <f>ROUND(V239+IF(AND(E240=22,F240&lt;&gt;"ASTM A416"),L240,0),3)</f>
        <v/>
      </c>
      <c r="W240" s="20">
        <f>ROUND(W239+IF(AND(E240=25,F240&lt;&gt;"ASTM A416"),L240,0),3)</f>
        <v/>
      </c>
      <c r="X240" s="20">
        <f>ROUND(X239+IF(AND(E240=28,F240&lt;&gt;"ASTM A416"),L240,0),3)</f>
        <v/>
      </c>
      <c r="Y240" s="20">
        <f>ROUND(Y239+IF(AND(E240=32,F240&lt;&gt;"ASTM A416"),L240,0),3)</f>
        <v/>
      </c>
      <c r="Z240" s="20">
        <f>ROUND(Z239+IF(F240="ASTM A416",L240,0),3)</f>
        <v/>
      </c>
      <c r="AA240" s="11">
        <f>IF(ROUNDUP(P240/20,0)&gt;ROUNDUP(P239/20,0),"Lần " &amp; ROUNDUP(P240/20,0),"")</f>
        <v/>
      </c>
      <c r="AB240" s="11">
        <f>IF(ROUNDUP(Q240/20,0)&gt;ROUNDUP(Q239/20,0),"Lần " &amp; ROUNDUP(Q240/20,0),"")</f>
        <v/>
      </c>
      <c r="AC240" s="11">
        <f>IF(ROUNDUP(R240/20,0)&gt;ROUNDUP(R239/20,0),"Lần " &amp; ROUNDUP(R240/20,0),"")</f>
        <v/>
      </c>
      <c r="AD240" s="11">
        <f>IF(ROUNDUP(S240/20,0)&gt;ROUNDUP(S239/20,0),"Lần " &amp; ROUNDUP(S240/20,0),"")</f>
        <v/>
      </c>
      <c r="AE240" s="11">
        <f>IF(ROUNDUP(T240/20,0)&gt;ROUNDUP(T239/20,0),"Lần " &amp; ROUNDUP(T240/20,0),"")</f>
        <v/>
      </c>
      <c r="AF240" s="11">
        <f>IF(ROUNDUP(U240/20,0)&gt;ROUNDUP(U239/20,0),"Lần " &amp; ROUNDUP(U240/20,0),"")</f>
        <v/>
      </c>
      <c r="AG240" s="11">
        <f>IF(ROUNDUP(V240/20,0)&gt;ROUNDUP(V239/20,0),"Lần " &amp; ROUNDUP(V240/20,0),"")</f>
        <v/>
      </c>
      <c r="AH240" s="11">
        <f>IF(ROUNDUP(W240/20,0)&gt;ROUNDUP(W239/20,0),"Lần " &amp; ROUNDUP(W240/20,0),"")</f>
        <v/>
      </c>
      <c r="AI240" s="11">
        <f>IF(ROUNDUP(X240/20,0)&gt;ROUNDUP(X239/20,0),"Lần " &amp; ROUNDUP(X240/20,0),"")</f>
        <v/>
      </c>
      <c r="AJ240" s="11">
        <f>IF(ROUNDUP(Y240/20,0)&gt;ROUNDUP(Y239/20,0),"Lần " &amp; ROUNDUP(Y240/20,0),"")</f>
        <v/>
      </c>
      <c r="AK240" s="11">
        <f>IF(ROUNDUP(Z240/20,0)&gt;ROUNDUP(Z239/20,0),"Lần " &amp; ROUNDUP(Z240/20,0),"")</f>
        <v/>
      </c>
      <c r="AL240" s="6" t="n"/>
      <c r="AN240" t="inlineStr">
        <is>
          <t>Dam</t>
        </is>
      </c>
      <c r="AO240" t="n">
        <v>59</v>
      </c>
    </row>
    <row r="241" ht="20" customHeight="1">
      <c r="A241" s="6" t="n">
        <v>232</v>
      </c>
      <c r="B241" s="7" t="inlineStr">
        <is>
          <t>Dầm chủ Super-T (15 phiến L=38.2m)</t>
        </is>
      </c>
      <c r="C241" s="7" t="inlineStr">
        <is>
          <t>Dầm S1B1 (tr.88)</t>
        </is>
      </c>
      <c r="D241" s="18" t="inlineStr">
        <is>
          <t>E2</t>
        </is>
      </c>
      <c r="E241" s="19" t="n">
        <v>16</v>
      </c>
      <c r="F241" s="6" t="inlineStr">
        <is>
          <t>CB400-V</t>
        </is>
      </c>
      <c r="G241" s="7" t="inlineStr">
        <is>
          <t>S06</t>
        </is>
      </c>
      <c r="H241" s="20" t="n">
        <v>3.932</v>
      </c>
      <c r="I241" s="21" t="n">
        <v>40</v>
      </c>
      <c r="J241" s="22" t="n">
        <v>1.578</v>
      </c>
      <c r="K241" s="9">
        <f>ROUND(H241*I241*J241, 2)</f>
        <v/>
      </c>
      <c r="L241" s="23">
        <f>ROUND(K241/1000, 3)</f>
        <v/>
      </c>
      <c r="M241" s="8">
        <f>IF(AO241="","",IF(INDEX(Theo_Doi_Tan_Suat_Be_Tong!$C:$C,AO241)="","",INDEX(Theo_Doi_Tan_Suat_Be_Tong!$C:$C,AO241)-VLOOKUP(AN241,$AQ$2:$AR$7,2,FALSE)))</f>
        <v/>
      </c>
      <c r="N241" s="6" t="n"/>
      <c r="O241" s="24">
        <f>IF(ROUNDUP(S241/20,0)&gt;ROUNDUP(S240/20,0),"TN Ø16 (Lần " &amp; ROUNDUP(S241/20,0) &amp; ")","")</f>
        <v/>
      </c>
      <c r="P241" s="20">
        <f>ROUND(P240+IF(AND(E241&lt;=10,F241&lt;&gt;"ASTM A416"),L241,0),3)</f>
        <v/>
      </c>
      <c r="Q241" s="20">
        <f>ROUND(Q240+IF(AND(E241=12,F241&lt;&gt;"ASTM A416"),L241,0),3)</f>
        <v/>
      </c>
      <c r="R241" s="20">
        <f>ROUND(R240+IF(AND(E241=14,F241&lt;&gt;"ASTM A416"),L241,0),3)</f>
        <v/>
      </c>
      <c r="S241" s="20">
        <f>ROUND(S240+IF(AND(E241=16,F241&lt;&gt;"ASTM A416"),L241,0),3)</f>
        <v/>
      </c>
      <c r="T241" s="20">
        <f>ROUND(T240+IF(AND(E241=18,F241&lt;&gt;"ASTM A416"),L241,0),3)</f>
        <v/>
      </c>
      <c r="U241" s="20">
        <f>ROUND(U240+IF(AND(E241=20,F241&lt;&gt;"ASTM A416"),L241,0),3)</f>
        <v/>
      </c>
      <c r="V241" s="20">
        <f>ROUND(V240+IF(AND(E241=22,F241&lt;&gt;"ASTM A416"),L241,0),3)</f>
        <v/>
      </c>
      <c r="W241" s="20">
        <f>ROUND(W240+IF(AND(E241=25,F241&lt;&gt;"ASTM A416"),L241,0),3)</f>
        <v/>
      </c>
      <c r="X241" s="20">
        <f>ROUND(X240+IF(AND(E241=28,F241&lt;&gt;"ASTM A416"),L241,0),3)</f>
        <v/>
      </c>
      <c r="Y241" s="20">
        <f>ROUND(Y240+IF(AND(E241=32,F241&lt;&gt;"ASTM A416"),L241,0),3)</f>
        <v/>
      </c>
      <c r="Z241" s="20">
        <f>ROUND(Z240+IF(F241="ASTM A416",L241,0),3)</f>
        <v/>
      </c>
      <c r="AA241" s="11">
        <f>IF(ROUNDUP(P241/20,0)&gt;ROUNDUP(P240/20,0),"Lần " &amp; ROUNDUP(P241/20,0),"")</f>
        <v/>
      </c>
      <c r="AB241" s="11">
        <f>IF(ROUNDUP(Q241/20,0)&gt;ROUNDUP(Q240/20,0),"Lần " &amp; ROUNDUP(Q241/20,0),"")</f>
        <v/>
      </c>
      <c r="AC241" s="11">
        <f>IF(ROUNDUP(R241/20,0)&gt;ROUNDUP(R240/20,0),"Lần " &amp; ROUNDUP(R241/20,0),"")</f>
        <v/>
      </c>
      <c r="AD241" s="11">
        <f>IF(ROUNDUP(S241/20,0)&gt;ROUNDUP(S240/20,0),"Lần " &amp; ROUNDUP(S241/20,0),"")</f>
        <v/>
      </c>
      <c r="AE241" s="11">
        <f>IF(ROUNDUP(T241/20,0)&gt;ROUNDUP(T240/20,0),"Lần " &amp; ROUNDUP(T241/20,0),"")</f>
        <v/>
      </c>
      <c r="AF241" s="11">
        <f>IF(ROUNDUP(U241/20,0)&gt;ROUNDUP(U240/20,0),"Lần " &amp; ROUNDUP(U241/20,0),"")</f>
        <v/>
      </c>
      <c r="AG241" s="11">
        <f>IF(ROUNDUP(V241/20,0)&gt;ROUNDUP(V240/20,0),"Lần " &amp; ROUNDUP(V241/20,0),"")</f>
        <v/>
      </c>
      <c r="AH241" s="11">
        <f>IF(ROUNDUP(W241/20,0)&gt;ROUNDUP(W240/20,0),"Lần " &amp; ROUNDUP(W241/20,0),"")</f>
        <v/>
      </c>
      <c r="AI241" s="11">
        <f>IF(ROUNDUP(X241/20,0)&gt;ROUNDUP(X240/20,0),"Lần " &amp; ROUNDUP(X241/20,0),"")</f>
        <v/>
      </c>
      <c r="AJ241" s="11">
        <f>IF(ROUNDUP(Y241/20,0)&gt;ROUNDUP(Y240/20,0),"Lần " &amp; ROUNDUP(Y241/20,0),"")</f>
        <v/>
      </c>
      <c r="AK241" s="11">
        <f>IF(ROUNDUP(Z241/20,0)&gt;ROUNDUP(Z240/20,0),"Lần " &amp; ROUNDUP(Z241/20,0),"")</f>
        <v/>
      </c>
      <c r="AL241" s="6" t="n"/>
      <c r="AN241" t="inlineStr">
        <is>
          <t>Dam</t>
        </is>
      </c>
      <c r="AO241" t="n">
        <v>59</v>
      </c>
    </row>
    <row r="242" ht="19" customHeight="1">
      <c r="A242" s="6" t="n">
        <v>233</v>
      </c>
      <c r="B242" s="7" t="inlineStr">
        <is>
          <t>Dầm chủ Super-T (15 phiến L=38.2m)</t>
        </is>
      </c>
      <c r="C242" s="7" t="inlineStr">
        <is>
          <t>Dầm S1B1 (tr.88)</t>
        </is>
      </c>
      <c r="D242" s="18" t="inlineStr">
        <is>
          <t>Thanh neo</t>
        </is>
      </c>
      <c r="E242" s="19" t="n">
        <v>20</v>
      </c>
      <c r="F242" s="6" t="inlineStr">
        <is>
          <t>CB400-V</t>
        </is>
      </c>
      <c r="G242" s="7" t="inlineStr">
        <is>
          <t>S06</t>
        </is>
      </c>
      <c r="H242" s="20" t="n">
        <v>0.11</v>
      </c>
      <c r="I242" s="21" t="n">
        <v>16</v>
      </c>
      <c r="J242" s="22" t="n">
        <v>2.466</v>
      </c>
      <c r="K242" s="9">
        <f>ROUND(H242*I242*J242, 2)</f>
        <v/>
      </c>
      <c r="L242" s="23">
        <f>ROUND(K242/1000, 3)</f>
        <v/>
      </c>
      <c r="M242" s="8">
        <f>IF(AO242="","",IF(INDEX(Theo_Doi_Tan_Suat_Be_Tong!$C:$C,AO242)="","",INDEX(Theo_Doi_Tan_Suat_Be_Tong!$C:$C,AO242)-VLOOKUP(AN242,$AQ$2:$AR$7,2,FALSE)))</f>
        <v/>
      </c>
      <c r="N242" s="6" t="n"/>
      <c r="O242" s="24">
        <f>IF(ROUNDUP(U242/20,0)&gt;ROUNDUP(U241/20,0),"TN Ø20 (Lần " &amp; ROUNDUP(U242/20,0) &amp; ")","")</f>
        <v/>
      </c>
      <c r="P242" s="20">
        <f>ROUND(P241+IF(AND(E242&lt;=10,F242&lt;&gt;"ASTM A416"),L242,0),3)</f>
        <v/>
      </c>
      <c r="Q242" s="20">
        <f>ROUND(Q241+IF(AND(E242=12,F242&lt;&gt;"ASTM A416"),L242,0),3)</f>
        <v/>
      </c>
      <c r="R242" s="20">
        <f>ROUND(R241+IF(AND(E242=14,F242&lt;&gt;"ASTM A416"),L242,0),3)</f>
        <v/>
      </c>
      <c r="S242" s="20">
        <f>ROUND(S241+IF(AND(E242=16,F242&lt;&gt;"ASTM A416"),L242,0),3)</f>
        <v/>
      </c>
      <c r="T242" s="20">
        <f>ROUND(T241+IF(AND(E242=18,F242&lt;&gt;"ASTM A416"),L242,0),3)</f>
        <v/>
      </c>
      <c r="U242" s="20">
        <f>ROUND(U241+IF(AND(E242=20,F242&lt;&gt;"ASTM A416"),L242,0),3)</f>
        <v/>
      </c>
      <c r="V242" s="20">
        <f>ROUND(V241+IF(AND(E242=22,F242&lt;&gt;"ASTM A416"),L242,0),3)</f>
        <v/>
      </c>
      <c r="W242" s="20">
        <f>ROUND(W241+IF(AND(E242=25,F242&lt;&gt;"ASTM A416"),L242,0),3)</f>
        <v/>
      </c>
      <c r="X242" s="20">
        <f>ROUND(X241+IF(AND(E242=28,F242&lt;&gt;"ASTM A416"),L242,0),3)</f>
        <v/>
      </c>
      <c r="Y242" s="20">
        <f>ROUND(Y241+IF(AND(E242=32,F242&lt;&gt;"ASTM A416"),L242,0),3)</f>
        <v/>
      </c>
      <c r="Z242" s="20">
        <f>ROUND(Z241+IF(F242="ASTM A416",L242,0),3)</f>
        <v/>
      </c>
      <c r="AA242" s="11">
        <f>IF(ROUNDUP(P242/20,0)&gt;ROUNDUP(P241/20,0),"Lần " &amp; ROUNDUP(P242/20,0),"")</f>
        <v/>
      </c>
      <c r="AB242" s="11">
        <f>IF(ROUNDUP(Q242/20,0)&gt;ROUNDUP(Q241/20,0),"Lần " &amp; ROUNDUP(Q242/20,0),"")</f>
        <v/>
      </c>
      <c r="AC242" s="11">
        <f>IF(ROUNDUP(R242/20,0)&gt;ROUNDUP(R241/20,0),"Lần " &amp; ROUNDUP(R242/20,0),"")</f>
        <v/>
      </c>
      <c r="AD242" s="11">
        <f>IF(ROUNDUP(S242/20,0)&gt;ROUNDUP(S241/20,0),"Lần " &amp; ROUNDUP(S242/20,0),"")</f>
        <v/>
      </c>
      <c r="AE242" s="11">
        <f>IF(ROUNDUP(T242/20,0)&gt;ROUNDUP(T241/20,0),"Lần " &amp; ROUNDUP(T242/20,0),"")</f>
        <v/>
      </c>
      <c r="AF242" s="11">
        <f>IF(ROUNDUP(U242/20,0)&gt;ROUNDUP(U241/20,0),"Lần " &amp; ROUNDUP(U242/20,0),"")</f>
        <v/>
      </c>
      <c r="AG242" s="11">
        <f>IF(ROUNDUP(V242/20,0)&gt;ROUNDUP(V241/20,0),"Lần " &amp; ROUNDUP(V242/20,0),"")</f>
        <v/>
      </c>
      <c r="AH242" s="11">
        <f>IF(ROUNDUP(W242/20,0)&gt;ROUNDUP(W241/20,0),"Lần " &amp; ROUNDUP(W242/20,0),"")</f>
        <v/>
      </c>
      <c r="AI242" s="11">
        <f>IF(ROUNDUP(X242/20,0)&gt;ROUNDUP(X241/20,0),"Lần " &amp; ROUNDUP(X242/20,0),"")</f>
        <v/>
      </c>
      <c r="AJ242" s="11">
        <f>IF(ROUNDUP(Y242/20,0)&gt;ROUNDUP(Y241/20,0),"Lần " &amp; ROUNDUP(Y242/20,0),"")</f>
        <v/>
      </c>
      <c r="AK242" s="11">
        <f>IF(ROUNDUP(Z242/20,0)&gt;ROUNDUP(Z241/20,0),"Lần " &amp; ROUNDUP(Z242/20,0),"")</f>
        <v/>
      </c>
      <c r="AL242" s="6" t="n"/>
      <c r="AN242" t="inlineStr">
        <is>
          <t>Dam</t>
        </is>
      </c>
      <c r="AO242" t="n">
        <v>59</v>
      </c>
    </row>
    <row r="243" ht="19" customHeight="1">
      <c r="A243" s="6" t="n">
        <v>234</v>
      </c>
      <c r="B243" s="7" t="inlineStr">
        <is>
          <t>Dầm chủ Super-T (15 phiến L=38.2m)</t>
        </is>
      </c>
      <c r="C243" s="7" t="inlineStr">
        <is>
          <t>Dầm S1B1 (tr.88)</t>
        </is>
      </c>
      <c r="D243" s="18" t="inlineStr">
        <is>
          <t>K1a</t>
        </is>
      </c>
      <c r="E243" s="19" t="n">
        <v>16</v>
      </c>
      <c r="F243" s="6" t="inlineStr">
        <is>
          <t>CB400-V</t>
        </is>
      </c>
      <c r="G243" s="7" t="inlineStr">
        <is>
          <t>S06</t>
        </is>
      </c>
      <c r="H243" s="20" t="n">
        <v>0.976</v>
      </c>
      <c r="I243" s="21" t="n">
        <v>16</v>
      </c>
      <c r="J243" s="22" t="n">
        <v>1.578</v>
      </c>
      <c r="K243" s="9">
        <f>ROUND(H243*I243*J243, 2)</f>
        <v/>
      </c>
      <c r="L243" s="23">
        <f>ROUND(K243/1000, 3)</f>
        <v/>
      </c>
      <c r="M243" s="8">
        <f>IF(AO243="","",IF(INDEX(Theo_Doi_Tan_Suat_Be_Tong!$C:$C,AO243)="","",INDEX(Theo_Doi_Tan_Suat_Be_Tong!$C:$C,AO243)-VLOOKUP(AN243,$AQ$2:$AR$7,2,FALSE)))</f>
        <v/>
      </c>
      <c r="N243" s="6" t="n"/>
      <c r="O243" s="24">
        <f>IF(ROUNDUP(S243/20,0)&gt;ROUNDUP(S242/20,0),"TN Ø16 (Lần " &amp; ROUNDUP(S243/20,0) &amp; ")","")</f>
        <v/>
      </c>
      <c r="P243" s="20">
        <f>ROUND(P242+IF(AND(E243&lt;=10,F243&lt;&gt;"ASTM A416"),L243,0),3)</f>
        <v/>
      </c>
      <c r="Q243" s="20">
        <f>ROUND(Q242+IF(AND(E243=12,F243&lt;&gt;"ASTM A416"),L243,0),3)</f>
        <v/>
      </c>
      <c r="R243" s="20">
        <f>ROUND(R242+IF(AND(E243=14,F243&lt;&gt;"ASTM A416"),L243,0),3)</f>
        <v/>
      </c>
      <c r="S243" s="20">
        <f>ROUND(S242+IF(AND(E243=16,F243&lt;&gt;"ASTM A416"),L243,0),3)</f>
        <v/>
      </c>
      <c r="T243" s="20">
        <f>ROUND(T242+IF(AND(E243=18,F243&lt;&gt;"ASTM A416"),L243,0),3)</f>
        <v/>
      </c>
      <c r="U243" s="20">
        <f>ROUND(U242+IF(AND(E243=20,F243&lt;&gt;"ASTM A416"),L243,0),3)</f>
        <v/>
      </c>
      <c r="V243" s="20">
        <f>ROUND(V242+IF(AND(E243=22,F243&lt;&gt;"ASTM A416"),L243,0),3)</f>
        <v/>
      </c>
      <c r="W243" s="20">
        <f>ROUND(W242+IF(AND(E243=25,F243&lt;&gt;"ASTM A416"),L243,0),3)</f>
        <v/>
      </c>
      <c r="X243" s="20">
        <f>ROUND(X242+IF(AND(E243=28,F243&lt;&gt;"ASTM A416"),L243,0),3)</f>
        <v/>
      </c>
      <c r="Y243" s="20">
        <f>ROUND(Y242+IF(AND(E243=32,F243&lt;&gt;"ASTM A416"),L243,0),3)</f>
        <v/>
      </c>
      <c r="Z243" s="20">
        <f>ROUND(Z242+IF(F243="ASTM A416",L243,0),3)</f>
        <v/>
      </c>
      <c r="AA243" s="11">
        <f>IF(ROUNDUP(P243/20,0)&gt;ROUNDUP(P242/20,0),"Lần " &amp; ROUNDUP(P243/20,0),"")</f>
        <v/>
      </c>
      <c r="AB243" s="11">
        <f>IF(ROUNDUP(Q243/20,0)&gt;ROUNDUP(Q242/20,0),"Lần " &amp; ROUNDUP(Q243/20,0),"")</f>
        <v/>
      </c>
      <c r="AC243" s="11">
        <f>IF(ROUNDUP(R243/20,0)&gt;ROUNDUP(R242/20,0),"Lần " &amp; ROUNDUP(R243/20,0),"")</f>
        <v/>
      </c>
      <c r="AD243" s="11">
        <f>IF(ROUNDUP(S243/20,0)&gt;ROUNDUP(S242/20,0),"Lần " &amp; ROUNDUP(S243/20,0),"")</f>
        <v/>
      </c>
      <c r="AE243" s="11">
        <f>IF(ROUNDUP(T243/20,0)&gt;ROUNDUP(T242/20,0),"Lần " &amp; ROUNDUP(T243/20,0),"")</f>
        <v/>
      </c>
      <c r="AF243" s="11">
        <f>IF(ROUNDUP(U243/20,0)&gt;ROUNDUP(U242/20,0),"Lần " &amp; ROUNDUP(U243/20,0),"")</f>
        <v/>
      </c>
      <c r="AG243" s="11">
        <f>IF(ROUNDUP(V243/20,0)&gt;ROUNDUP(V242/20,0),"Lần " &amp; ROUNDUP(V243/20,0),"")</f>
        <v/>
      </c>
      <c r="AH243" s="11">
        <f>IF(ROUNDUP(W243/20,0)&gt;ROUNDUP(W242/20,0),"Lần " &amp; ROUNDUP(W243/20,0),"")</f>
        <v/>
      </c>
      <c r="AI243" s="11">
        <f>IF(ROUNDUP(X243/20,0)&gt;ROUNDUP(X242/20,0),"Lần " &amp; ROUNDUP(X243/20,0),"")</f>
        <v/>
      </c>
      <c r="AJ243" s="11">
        <f>IF(ROUNDUP(Y243/20,0)&gt;ROUNDUP(Y242/20,0),"Lần " &amp; ROUNDUP(Y243/20,0),"")</f>
        <v/>
      </c>
      <c r="AK243" s="11">
        <f>IF(ROUNDUP(Z243/20,0)&gt;ROUNDUP(Z242/20,0),"Lần " &amp; ROUNDUP(Z243/20,0),"")</f>
        <v/>
      </c>
      <c r="AL243" s="6" t="n"/>
      <c r="AN243" t="inlineStr">
        <is>
          <t>Dam</t>
        </is>
      </c>
      <c r="AO243" t="n">
        <v>59</v>
      </c>
    </row>
    <row r="244" ht="19" customHeight="1">
      <c r="A244" s="6" t="n">
        <v>235</v>
      </c>
      <c r="B244" s="7" t="inlineStr">
        <is>
          <t>Dầm chủ Super-T (15 phiến L=38.2m)</t>
        </is>
      </c>
      <c r="C244" s="7" t="inlineStr">
        <is>
          <t>Dầm S1B1 (tr.88)</t>
        </is>
      </c>
      <c r="D244" s="18" t="inlineStr">
        <is>
          <t>K1b</t>
        </is>
      </c>
      <c r="E244" s="19" t="n">
        <v>16</v>
      </c>
      <c r="F244" s="6" t="inlineStr">
        <is>
          <t>CB400-V</t>
        </is>
      </c>
      <c r="G244" s="7" t="inlineStr">
        <is>
          <t>S06</t>
        </is>
      </c>
      <c r="H244" s="20" t="n">
        <v>0.776</v>
      </c>
      <c r="I244" s="21" t="n">
        <v>16</v>
      </c>
      <c r="J244" s="22" t="n">
        <v>1.578</v>
      </c>
      <c r="K244" s="9">
        <f>ROUND(H244*I244*J244, 2)</f>
        <v/>
      </c>
      <c r="L244" s="23">
        <f>ROUND(K244/1000, 3)</f>
        <v/>
      </c>
      <c r="M244" s="8">
        <f>IF(AO244="","",IF(INDEX(Theo_Doi_Tan_Suat_Be_Tong!$C:$C,AO244)="","",INDEX(Theo_Doi_Tan_Suat_Be_Tong!$C:$C,AO244)-VLOOKUP(AN244,$AQ$2:$AR$7,2,FALSE)))</f>
        <v/>
      </c>
      <c r="N244" s="6" t="n"/>
      <c r="O244" s="24">
        <f>IF(ROUNDUP(S244/20,0)&gt;ROUNDUP(S243/20,0),"TN Ø16 (Lần " &amp; ROUNDUP(S244/20,0) &amp; ")","")</f>
        <v/>
      </c>
      <c r="P244" s="20">
        <f>ROUND(P243+IF(AND(E244&lt;=10,F244&lt;&gt;"ASTM A416"),L244,0),3)</f>
        <v/>
      </c>
      <c r="Q244" s="20">
        <f>ROUND(Q243+IF(AND(E244=12,F244&lt;&gt;"ASTM A416"),L244,0),3)</f>
        <v/>
      </c>
      <c r="R244" s="20">
        <f>ROUND(R243+IF(AND(E244=14,F244&lt;&gt;"ASTM A416"),L244,0),3)</f>
        <v/>
      </c>
      <c r="S244" s="20">
        <f>ROUND(S243+IF(AND(E244=16,F244&lt;&gt;"ASTM A416"),L244,0),3)</f>
        <v/>
      </c>
      <c r="T244" s="20">
        <f>ROUND(T243+IF(AND(E244=18,F244&lt;&gt;"ASTM A416"),L244,0),3)</f>
        <v/>
      </c>
      <c r="U244" s="20">
        <f>ROUND(U243+IF(AND(E244=20,F244&lt;&gt;"ASTM A416"),L244,0),3)</f>
        <v/>
      </c>
      <c r="V244" s="20">
        <f>ROUND(V243+IF(AND(E244=22,F244&lt;&gt;"ASTM A416"),L244,0),3)</f>
        <v/>
      </c>
      <c r="W244" s="20">
        <f>ROUND(W243+IF(AND(E244=25,F244&lt;&gt;"ASTM A416"),L244,0),3)</f>
        <v/>
      </c>
      <c r="X244" s="20">
        <f>ROUND(X243+IF(AND(E244=28,F244&lt;&gt;"ASTM A416"),L244,0),3)</f>
        <v/>
      </c>
      <c r="Y244" s="20">
        <f>ROUND(Y243+IF(AND(E244=32,F244&lt;&gt;"ASTM A416"),L244,0),3)</f>
        <v/>
      </c>
      <c r="Z244" s="20">
        <f>ROUND(Z243+IF(F244="ASTM A416",L244,0),3)</f>
        <v/>
      </c>
      <c r="AA244" s="11">
        <f>IF(ROUNDUP(P244/20,0)&gt;ROUNDUP(P243/20,0),"Lần " &amp; ROUNDUP(P244/20,0),"")</f>
        <v/>
      </c>
      <c r="AB244" s="11">
        <f>IF(ROUNDUP(Q244/20,0)&gt;ROUNDUP(Q243/20,0),"Lần " &amp; ROUNDUP(Q244/20,0),"")</f>
        <v/>
      </c>
      <c r="AC244" s="11">
        <f>IF(ROUNDUP(R244/20,0)&gt;ROUNDUP(R243/20,0),"Lần " &amp; ROUNDUP(R244/20,0),"")</f>
        <v/>
      </c>
      <c r="AD244" s="11">
        <f>IF(ROUNDUP(S244/20,0)&gt;ROUNDUP(S243/20,0),"Lần " &amp; ROUNDUP(S244/20,0),"")</f>
        <v/>
      </c>
      <c r="AE244" s="11">
        <f>IF(ROUNDUP(T244/20,0)&gt;ROUNDUP(T243/20,0),"Lần " &amp; ROUNDUP(T244/20,0),"")</f>
        <v/>
      </c>
      <c r="AF244" s="11">
        <f>IF(ROUNDUP(U244/20,0)&gt;ROUNDUP(U243/20,0),"Lần " &amp; ROUNDUP(U244/20,0),"")</f>
        <v/>
      </c>
      <c r="AG244" s="11">
        <f>IF(ROUNDUP(V244/20,0)&gt;ROUNDUP(V243/20,0),"Lần " &amp; ROUNDUP(V244/20,0),"")</f>
        <v/>
      </c>
      <c r="AH244" s="11">
        <f>IF(ROUNDUP(W244/20,0)&gt;ROUNDUP(W243/20,0),"Lần " &amp; ROUNDUP(W244/20,0),"")</f>
        <v/>
      </c>
      <c r="AI244" s="11">
        <f>IF(ROUNDUP(X244/20,0)&gt;ROUNDUP(X243/20,0),"Lần " &amp; ROUNDUP(X244/20,0),"")</f>
        <v/>
      </c>
      <c r="AJ244" s="11">
        <f>IF(ROUNDUP(Y244/20,0)&gt;ROUNDUP(Y243/20,0),"Lần " &amp; ROUNDUP(Y244/20,0),"")</f>
        <v/>
      </c>
      <c r="AK244" s="11">
        <f>IF(ROUNDUP(Z244/20,0)&gt;ROUNDUP(Z243/20,0),"Lần " &amp; ROUNDUP(Z244/20,0),"")</f>
        <v/>
      </c>
      <c r="AL244" s="6" t="n"/>
      <c r="AN244" t="inlineStr">
        <is>
          <t>Dam</t>
        </is>
      </c>
      <c r="AO244" t="n">
        <v>59</v>
      </c>
    </row>
    <row r="245" ht="19" customHeight="1">
      <c r="A245" s="6" t="n">
        <v>236</v>
      </c>
      <c r="B245" s="7" t="inlineStr">
        <is>
          <t>Dầm chủ Super-T (15 phiến L=38.2m)</t>
        </is>
      </c>
      <c r="C245" s="7" t="inlineStr">
        <is>
          <t>Dầm S1B2 (tr.91)</t>
        </is>
      </c>
      <c r="D245" s="18" t="inlineStr">
        <is>
          <t>G1a</t>
        </is>
      </c>
      <c r="E245" s="19" t="n">
        <v>16</v>
      </c>
      <c r="F245" s="6" t="inlineStr">
        <is>
          <t>CB400-V</t>
        </is>
      </c>
      <c r="G245" s="7" t="inlineStr">
        <is>
          <t>S06</t>
        </is>
      </c>
      <c r="H245" s="20" t="n">
        <v>5.056</v>
      </c>
      <c r="I245" s="21" t="n">
        <v>432</v>
      </c>
      <c r="J245" s="22" t="n">
        <v>1.578</v>
      </c>
      <c r="K245" s="9">
        <f>ROUND(H245*I245*J245, 2)</f>
        <v/>
      </c>
      <c r="L245" s="23">
        <f>ROUND(K245/1000, 3)</f>
        <v/>
      </c>
      <c r="M245" s="8">
        <f>IF(AO245="","",IF(INDEX(Theo_Doi_Tan_Suat_Be_Tong!$C:$C,AO245)="","",INDEX(Theo_Doi_Tan_Suat_Be_Tong!$C:$C,AO245)-VLOOKUP(AN245,$AQ$2:$AR$7,2,FALSE)))</f>
        <v/>
      </c>
      <c r="N245" s="6" t="n"/>
      <c r="O245" s="24">
        <f>IF(ROUNDUP(S245/20,0)&gt;ROUNDUP(S244/20,0),"TN Ø16 (Lần " &amp; ROUNDUP(S245/20,0) &amp; ")","")</f>
        <v/>
      </c>
      <c r="P245" s="20">
        <f>ROUND(P244+IF(AND(E245&lt;=10,F245&lt;&gt;"ASTM A416"),L245,0),3)</f>
        <v/>
      </c>
      <c r="Q245" s="20">
        <f>ROUND(Q244+IF(AND(E245=12,F245&lt;&gt;"ASTM A416"),L245,0),3)</f>
        <v/>
      </c>
      <c r="R245" s="20">
        <f>ROUND(R244+IF(AND(E245=14,F245&lt;&gt;"ASTM A416"),L245,0),3)</f>
        <v/>
      </c>
      <c r="S245" s="20">
        <f>ROUND(S244+IF(AND(E245=16,F245&lt;&gt;"ASTM A416"),L245,0),3)</f>
        <v/>
      </c>
      <c r="T245" s="20">
        <f>ROUND(T244+IF(AND(E245=18,F245&lt;&gt;"ASTM A416"),L245,0),3)</f>
        <v/>
      </c>
      <c r="U245" s="20">
        <f>ROUND(U244+IF(AND(E245=20,F245&lt;&gt;"ASTM A416"),L245,0),3)</f>
        <v/>
      </c>
      <c r="V245" s="20">
        <f>ROUND(V244+IF(AND(E245=22,F245&lt;&gt;"ASTM A416"),L245,0),3)</f>
        <v/>
      </c>
      <c r="W245" s="20">
        <f>ROUND(W244+IF(AND(E245=25,F245&lt;&gt;"ASTM A416"),L245,0),3)</f>
        <v/>
      </c>
      <c r="X245" s="20">
        <f>ROUND(X244+IF(AND(E245=28,F245&lt;&gt;"ASTM A416"),L245,0),3)</f>
        <v/>
      </c>
      <c r="Y245" s="20">
        <f>ROUND(Y244+IF(AND(E245=32,F245&lt;&gt;"ASTM A416"),L245,0),3)</f>
        <v/>
      </c>
      <c r="Z245" s="20">
        <f>ROUND(Z244+IF(F245="ASTM A416",L245,0),3)</f>
        <v/>
      </c>
      <c r="AA245" s="11">
        <f>IF(ROUNDUP(P245/20,0)&gt;ROUNDUP(P244/20,0),"Lần " &amp; ROUNDUP(P245/20,0),"")</f>
        <v/>
      </c>
      <c r="AB245" s="11">
        <f>IF(ROUNDUP(Q245/20,0)&gt;ROUNDUP(Q244/20,0),"Lần " &amp; ROUNDUP(Q245/20,0),"")</f>
        <v/>
      </c>
      <c r="AC245" s="11">
        <f>IF(ROUNDUP(R245/20,0)&gt;ROUNDUP(R244/20,0),"Lần " &amp; ROUNDUP(R245/20,0),"")</f>
        <v/>
      </c>
      <c r="AD245" s="11">
        <f>IF(ROUNDUP(S245/20,0)&gt;ROUNDUP(S244/20,0),"Lần " &amp; ROUNDUP(S245/20,0),"")</f>
        <v/>
      </c>
      <c r="AE245" s="11">
        <f>IF(ROUNDUP(T245/20,0)&gt;ROUNDUP(T244/20,0),"Lần " &amp; ROUNDUP(T245/20,0),"")</f>
        <v/>
      </c>
      <c r="AF245" s="11">
        <f>IF(ROUNDUP(U245/20,0)&gt;ROUNDUP(U244/20,0),"Lần " &amp; ROUNDUP(U245/20,0),"")</f>
        <v/>
      </c>
      <c r="AG245" s="11">
        <f>IF(ROUNDUP(V245/20,0)&gt;ROUNDUP(V244/20,0),"Lần " &amp; ROUNDUP(V245/20,0),"")</f>
        <v/>
      </c>
      <c r="AH245" s="11">
        <f>IF(ROUNDUP(W245/20,0)&gt;ROUNDUP(W244/20,0),"Lần " &amp; ROUNDUP(W245/20,0),"")</f>
        <v/>
      </c>
      <c r="AI245" s="11">
        <f>IF(ROUNDUP(X245/20,0)&gt;ROUNDUP(X244/20,0),"Lần " &amp; ROUNDUP(X245/20,0),"")</f>
        <v/>
      </c>
      <c r="AJ245" s="11">
        <f>IF(ROUNDUP(Y245/20,0)&gt;ROUNDUP(Y244/20,0),"Lần " &amp; ROUNDUP(Y245/20,0),"")</f>
        <v/>
      </c>
      <c r="AK245" s="11">
        <f>IF(ROUNDUP(Z245/20,0)&gt;ROUNDUP(Z244/20,0),"Lần " &amp; ROUNDUP(Z245/20,0),"")</f>
        <v/>
      </c>
      <c r="AL245" s="6" t="n"/>
      <c r="AN245" t="inlineStr">
        <is>
          <t>Dam</t>
        </is>
      </c>
      <c r="AO245" t="n">
        <v>59</v>
      </c>
    </row>
    <row r="246" ht="19" customHeight="1">
      <c r="A246" s="6" t="n">
        <v>237</v>
      </c>
      <c r="B246" s="7" t="inlineStr">
        <is>
          <t>Dầm chủ Super-T (15 phiến L=38.2m)</t>
        </is>
      </c>
      <c r="C246" s="7" t="inlineStr">
        <is>
          <t>Dầm S1B2 (tr.91)</t>
        </is>
      </c>
      <c r="D246" s="18" t="inlineStr">
        <is>
          <t>G1b</t>
        </is>
      </c>
      <c r="E246" s="19" t="n">
        <v>12</v>
      </c>
      <c r="F246" s="6" t="inlineStr">
        <is>
          <t>CB400-V</t>
        </is>
      </c>
      <c r="G246" s="7" t="inlineStr">
        <is>
          <t>S06</t>
        </is>
      </c>
      <c r="H246" s="20" t="n">
        <v>5.075</v>
      </c>
      <c r="I246" s="21" t="n">
        <v>375</v>
      </c>
      <c r="J246" s="22" t="n">
        <v>0.888</v>
      </c>
      <c r="K246" s="9">
        <f>ROUND(H246*I246*J246, 2)</f>
        <v/>
      </c>
      <c r="L246" s="23">
        <f>ROUND(K246/1000, 3)</f>
        <v/>
      </c>
      <c r="M246" s="8">
        <f>IF(AO246="","",IF(INDEX(Theo_Doi_Tan_Suat_Be_Tong!$C:$C,AO246)="","",INDEX(Theo_Doi_Tan_Suat_Be_Tong!$C:$C,AO246)-VLOOKUP(AN246,$AQ$2:$AR$7,2,FALSE)))</f>
        <v/>
      </c>
      <c r="N246" s="6" t="n"/>
      <c r="O246" s="24">
        <f>IF(ROUNDUP(Q246/20,0)&gt;ROUNDUP(Q245/20,0),"TN Ø12 (Lần " &amp; ROUNDUP(Q246/20,0) &amp; ")","")</f>
        <v/>
      </c>
      <c r="P246" s="20">
        <f>ROUND(P245+IF(AND(E246&lt;=10,F246&lt;&gt;"ASTM A416"),L246,0),3)</f>
        <v/>
      </c>
      <c r="Q246" s="20">
        <f>ROUND(Q245+IF(AND(E246=12,F246&lt;&gt;"ASTM A416"),L246,0),3)</f>
        <v/>
      </c>
      <c r="R246" s="20">
        <f>ROUND(R245+IF(AND(E246=14,F246&lt;&gt;"ASTM A416"),L246,0),3)</f>
        <v/>
      </c>
      <c r="S246" s="20">
        <f>ROUND(S245+IF(AND(E246=16,F246&lt;&gt;"ASTM A416"),L246,0),3)</f>
        <v/>
      </c>
      <c r="T246" s="20">
        <f>ROUND(T245+IF(AND(E246=18,F246&lt;&gt;"ASTM A416"),L246,0),3)</f>
        <v/>
      </c>
      <c r="U246" s="20">
        <f>ROUND(U245+IF(AND(E246=20,F246&lt;&gt;"ASTM A416"),L246,0),3)</f>
        <v/>
      </c>
      <c r="V246" s="20">
        <f>ROUND(V245+IF(AND(E246=22,F246&lt;&gt;"ASTM A416"),L246,0),3)</f>
        <v/>
      </c>
      <c r="W246" s="20">
        <f>ROUND(W245+IF(AND(E246=25,F246&lt;&gt;"ASTM A416"),L246,0),3)</f>
        <v/>
      </c>
      <c r="X246" s="20">
        <f>ROUND(X245+IF(AND(E246=28,F246&lt;&gt;"ASTM A416"),L246,0),3)</f>
        <v/>
      </c>
      <c r="Y246" s="20">
        <f>ROUND(Y245+IF(AND(E246=32,F246&lt;&gt;"ASTM A416"),L246,0),3)</f>
        <v/>
      </c>
      <c r="Z246" s="20">
        <f>ROUND(Z245+IF(F246="ASTM A416",L246,0),3)</f>
        <v/>
      </c>
      <c r="AA246" s="11">
        <f>IF(ROUNDUP(P246/20,0)&gt;ROUNDUP(P245/20,0),"Lần " &amp; ROUNDUP(P246/20,0),"")</f>
        <v/>
      </c>
      <c r="AB246" s="11">
        <f>IF(ROUNDUP(Q246/20,0)&gt;ROUNDUP(Q245/20,0),"Lần " &amp; ROUNDUP(Q246/20,0),"")</f>
        <v/>
      </c>
      <c r="AC246" s="11">
        <f>IF(ROUNDUP(R246/20,0)&gt;ROUNDUP(R245/20,0),"Lần " &amp; ROUNDUP(R246/20,0),"")</f>
        <v/>
      </c>
      <c r="AD246" s="11">
        <f>IF(ROUNDUP(S246/20,0)&gt;ROUNDUP(S245/20,0),"Lần " &amp; ROUNDUP(S246/20,0),"")</f>
        <v/>
      </c>
      <c r="AE246" s="11">
        <f>IF(ROUNDUP(T246/20,0)&gt;ROUNDUP(T245/20,0),"Lần " &amp; ROUNDUP(T246/20,0),"")</f>
        <v/>
      </c>
      <c r="AF246" s="11">
        <f>IF(ROUNDUP(U246/20,0)&gt;ROUNDUP(U245/20,0),"Lần " &amp; ROUNDUP(U246/20,0),"")</f>
        <v/>
      </c>
      <c r="AG246" s="11">
        <f>IF(ROUNDUP(V246/20,0)&gt;ROUNDUP(V245/20,0),"Lần " &amp; ROUNDUP(V246/20,0),"")</f>
        <v/>
      </c>
      <c r="AH246" s="11">
        <f>IF(ROUNDUP(W246/20,0)&gt;ROUNDUP(W245/20,0),"Lần " &amp; ROUNDUP(W246/20,0),"")</f>
        <v/>
      </c>
      <c r="AI246" s="11">
        <f>IF(ROUNDUP(X246/20,0)&gt;ROUNDUP(X245/20,0),"Lần " &amp; ROUNDUP(X246/20,0),"")</f>
        <v/>
      </c>
      <c r="AJ246" s="11">
        <f>IF(ROUNDUP(Y246/20,0)&gt;ROUNDUP(Y245/20,0),"Lần " &amp; ROUNDUP(Y246/20,0),"")</f>
        <v/>
      </c>
      <c r="AK246" s="11">
        <f>IF(ROUNDUP(Z246/20,0)&gt;ROUNDUP(Z245/20,0),"Lần " &amp; ROUNDUP(Z246/20,0),"")</f>
        <v/>
      </c>
      <c r="AL246" s="6" t="n"/>
      <c r="AN246" t="inlineStr">
        <is>
          <t>Dam</t>
        </is>
      </c>
      <c r="AO246" t="n">
        <v>59</v>
      </c>
    </row>
    <row r="247" ht="19" customHeight="1">
      <c r="A247" s="6" t="n">
        <v>238</v>
      </c>
      <c r="B247" s="7" t="inlineStr">
        <is>
          <t>Dầm chủ Super-T (15 phiến L=38.2m)</t>
        </is>
      </c>
      <c r="C247" s="7" t="inlineStr">
        <is>
          <t>Dầm S1B2 (tr.91)</t>
        </is>
      </c>
      <c r="D247" s="18" t="inlineStr">
        <is>
          <t>G2</t>
        </is>
      </c>
      <c r="E247" s="19" t="n">
        <v>12</v>
      </c>
      <c r="F247" s="6" t="inlineStr">
        <is>
          <t>CB400-V</t>
        </is>
      </c>
      <c r="G247" s="7" t="inlineStr">
        <is>
          <t>S06</t>
        </is>
      </c>
      <c r="H247" s="20" t="n">
        <v>1.184</v>
      </c>
      <c r="I247" s="21" t="n">
        <v>765</v>
      </c>
      <c r="J247" s="22" t="n">
        <v>0.888</v>
      </c>
      <c r="K247" s="9">
        <f>ROUND(H247*I247*J247, 2)</f>
        <v/>
      </c>
      <c r="L247" s="23">
        <f>ROUND(K247/1000, 3)</f>
        <v/>
      </c>
      <c r="M247" s="8">
        <f>IF(AO247="","",IF(INDEX(Theo_Doi_Tan_Suat_Be_Tong!$C:$C,AO247)="","",INDEX(Theo_Doi_Tan_Suat_Be_Tong!$C:$C,AO247)-VLOOKUP(AN247,$AQ$2:$AR$7,2,FALSE)))</f>
        <v/>
      </c>
      <c r="N247" s="6" t="n"/>
      <c r="O247" s="24">
        <f>IF(ROUNDUP(Q247/20,0)&gt;ROUNDUP(Q246/20,0),"TN Ø12 (Lần " &amp; ROUNDUP(Q247/20,0) &amp; ")","")</f>
        <v/>
      </c>
      <c r="P247" s="20">
        <f>ROUND(P246+IF(AND(E247&lt;=10,F247&lt;&gt;"ASTM A416"),L247,0),3)</f>
        <v/>
      </c>
      <c r="Q247" s="20">
        <f>ROUND(Q246+IF(AND(E247=12,F247&lt;&gt;"ASTM A416"),L247,0),3)</f>
        <v/>
      </c>
      <c r="R247" s="20">
        <f>ROUND(R246+IF(AND(E247=14,F247&lt;&gt;"ASTM A416"),L247,0),3)</f>
        <v/>
      </c>
      <c r="S247" s="20">
        <f>ROUND(S246+IF(AND(E247=16,F247&lt;&gt;"ASTM A416"),L247,0),3)</f>
        <v/>
      </c>
      <c r="T247" s="20">
        <f>ROUND(T246+IF(AND(E247=18,F247&lt;&gt;"ASTM A416"),L247,0),3)</f>
        <v/>
      </c>
      <c r="U247" s="20">
        <f>ROUND(U246+IF(AND(E247=20,F247&lt;&gt;"ASTM A416"),L247,0),3)</f>
        <v/>
      </c>
      <c r="V247" s="20">
        <f>ROUND(V246+IF(AND(E247=22,F247&lt;&gt;"ASTM A416"),L247,0),3)</f>
        <v/>
      </c>
      <c r="W247" s="20">
        <f>ROUND(W246+IF(AND(E247=25,F247&lt;&gt;"ASTM A416"),L247,0),3)</f>
        <v/>
      </c>
      <c r="X247" s="20">
        <f>ROUND(X246+IF(AND(E247=28,F247&lt;&gt;"ASTM A416"),L247,0),3)</f>
        <v/>
      </c>
      <c r="Y247" s="20">
        <f>ROUND(Y246+IF(AND(E247=32,F247&lt;&gt;"ASTM A416"),L247,0),3)</f>
        <v/>
      </c>
      <c r="Z247" s="20">
        <f>ROUND(Z246+IF(F247="ASTM A416",L247,0),3)</f>
        <v/>
      </c>
      <c r="AA247" s="11">
        <f>IF(ROUNDUP(P247/20,0)&gt;ROUNDUP(P246/20,0),"Lần " &amp; ROUNDUP(P247/20,0),"")</f>
        <v/>
      </c>
      <c r="AB247" s="11">
        <f>IF(ROUNDUP(Q247/20,0)&gt;ROUNDUP(Q246/20,0),"Lần " &amp; ROUNDUP(Q247/20,0),"")</f>
        <v/>
      </c>
      <c r="AC247" s="11">
        <f>IF(ROUNDUP(R247/20,0)&gt;ROUNDUP(R246/20,0),"Lần " &amp; ROUNDUP(R247/20,0),"")</f>
        <v/>
      </c>
      <c r="AD247" s="11">
        <f>IF(ROUNDUP(S247/20,0)&gt;ROUNDUP(S246/20,0),"Lần " &amp; ROUNDUP(S247/20,0),"")</f>
        <v/>
      </c>
      <c r="AE247" s="11">
        <f>IF(ROUNDUP(T247/20,0)&gt;ROUNDUP(T246/20,0),"Lần " &amp; ROUNDUP(T247/20,0),"")</f>
        <v/>
      </c>
      <c r="AF247" s="11">
        <f>IF(ROUNDUP(U247/20,0)&gt;ROUNDUP(U246/20,0),"Lần " &amp; ROUNDUP(U247/20,0),"")</f>
        <v/>
      </c>
      <c r="AG247" s="11">
        <f>IF(ROUNDUP(V247/20,0)&gt;ROUNDUP(V246/20,0),"Lần " &amp; ROUNDUP(V247/20,0),"")</f>
        <v/>
      </c>
      <c r="AH247" s="11">
        <f>IF(ROUNDUP(W247/20,0)&gt;ROUNDUP(W246/20,0),"Lần " &amp; ROUNDUP(W247/20,0),"")</f>
        <v/>
      </c>
      <c r="AI247" s="11">
        <f>IF(ROUNDUP(X247/20,0)&gt;ROUNDUP(X246/20,0),"Lần " &amp; ROUNDUP(X247/20,0),"")</f>
        <v/>
      </c>
      <c r="AJ247" s="11">
        <f>IF(ROUNDUP(Y247/20,0)&gt;ROUNDUP(Y246/20,0),"Lần " &amp; ROUNDUP(Y247/20,0),"")</f>
        <v/>
      </c>
      <c r="AK247" s="11">
        <f>IF(ROUNDUP(Z247/20,0)&gt;ROUNDUP(Z246/20,0),"Lần " &amp; ROUNDUP(Z247/20,0),"")</f>
        <v/>
      </c>
      <c r="AL247" s="6" t="n"/>
      <c r="AN247" t="inlineStr">
        <is>
          <t>Dam</t>
        </is>
      </c>
      <c r="AO247" t="n">
        <v>59</v>
      </c>
    </row>
    <row r="248" ht="19" customHeight="1">
      <c r="A248" s="6" t="n">
        <v>239</v>
      </c>
      <c r="B248" s="7" t="inlineStr">
        <is>
          <t>Dầm chủ Super-T (15 phiến L=38.2m)</t>
        </is>
      </c>
      <c r="C248" s="7" t="inlineStr">
        <is>
          <t>Dầm S1B2 (tr.91)</t>
        </is>
      </c>
      <c r="D248" s="18" t="inlineStr">
        <is>
          <t>G2a</t>
        </is>
      </c>
      <c r="E248" s="19" t="n">
        <v>12</v>
      </c>
      <c r="F248" s="6" t="inlineStr">
        <is>
          <t>CB400-V</t>
        </is>
      </c>
      <c r="G248" s="7" t="inlineStr">
        <is>
          <t>S06</t>
        </is>
      </c>
      <c r="H248" s="20" t="n">
        <v>1.284</v>
      </c>
      <c r="I248" s="21" t="n">
        <v>807</v>
      </c>
      <c r="J248" s="22" t="n">
        <v>0.888</v>
      </c>
      <c r="K248" s="9">
        <f>ROUND(H248*I248*J248, 2)</f>
        <v/>
      </c>
      <c r="L248" s="23">
        <f>ROUND(K248/1000, 3)</f>
        <v/>
      </c>
      <c r="M248" s="8">
        <f>IF(AO248="","",IF(INDEX(Theo_Doi_Tan_Suat_Be_Tong!$C:$C,AO248)="","",INDEX(Theo_Doi_Tan_Suat_Be_Tong!$C:$C,AO248)-VLOOKUP(AN248,$AQ$2:$AR$7,2,FALSE)))</f>
        <v/>
      </c>
      <c r="N248" s="6" t="n"/>
      <c r="O248" s="24">
        <f>IF(ROUNDUP(Q248/20,0)&gt;ROUNDUP(Q247/20,0),"TN Ø12 (Lần " &amp; ROUNDUP(Q248/20,0) &amp; ")","")</f>
        <v/>
      </c>
      <c r="P248" s="20">
        <f>ROUND(P247+IF(AND(E248&lt;=10,F248&lt;&gt;"ASTM A416"),L248,0),3)</f>
        <v/>
      </c>
      <c r="Q248" s="20">
        <f>ROUND(Q247+IF(AND(E248=12,F248&lt;&gt;"ASTM A416"),L248,0),3)</f>
        <v/>
      </c>
      <c r="R248" s="20">
        <f>ROUND(R247+IF(AND(E248=14,F248&lt;&gt;"ASTM A416"),L248,0),3)</f>
        <v/>
      </c>
      <c r="S248" s="20">
        <f>ROUND(S247+IF(AND(E248=16,F248&lt;&gt;"ASTM A416"),L248,0),3)</f>
        <v/>
      </c>
      <c r="T248" s="20">
        <f>ROUND(T247+IF(AND(E248=18,F248&lt;&gt;"ASTM A416"),L248,0),3)</f>
        <v/>
      </c>
      <c r="U248" s="20">
        <f>ROUND(U247+IF(AND(E248=20,F248&lt;&gt;"ASTM A416"),L248,0),3)</f>
        <v/>
      </c>
      <c r="V248" s="20">
        <f>ROUND(V247+IF(AND(E248=22,F248&lt;&gt;"ASTM A416"),L248,0),3)</f>
        <v/>
      </c>
      <c r="W248" s="20">
        <f>ROUND(W247+IF(AND(E248=25,F248&lt;&gt;"ASTM A416"),L248,0),3)</f>
        <v/>
      </c>
      <c r="X248" s="20">
        <f>ROUND(X247+IF(AND(E248=28,F248&lt;&gt;"ASTM A416"),L248,0),3)</f>
        <v/>
      </c>
      <c r="Y248" s="20">
        <f>ROUND(Y247+IF(AND(E248=32,F248&lt;&gt;"ASTM A416"),L248,0),3)</f>
        <v/>
      </c>
      <c r="Z248" s="20">
        <f>ROUND(Z247+IF(F248="ASTM A416",L248,0),3)</f>
        <v/>
      </c>
      <c r="AA248" s="11">
        <f>IF(ROUNDUP(P248/20,0)&gt;ROUNDUP(P247/20,0),"Lần " &amp; ROUNDUP(P248/20,0),"")</f>
        <v/>
      </c>
      <c r="AB248" s="11">
        <f>IF(ROUNDUP(Q248/20,0)&gt;ROUNDUP(Q247/20,0),"Lần " &amp; ROUNDUP(Q248/20,0),"")</f>
        <v/>
      </c>
      <c r="AC248" s="11">
        <f>IF(ROUNDUP(R248/20,0)&gt;ROUNDUP(R247/20,0),"Lần " &amp; ROUNDUP(R248/20,0),"")</f>
        <v/>
      </c>
      <c r="AD248" s="11">
        <f>IF(ROUNDUP(S248/20,0)&gt;ROUNDUP(S247/20,0),"Lần " &amp; ROUNDUP(S248/20,0),"")</f>
        <v/>
      </c>
      <c r="AE248" s="11">
        <f>IF(ROUNDUP(T248/20,0)&gt;ROUNDUP(T247/20,0),"Lần " &amp; ROUNDUP(T248/20,0),"")</f>
        <v/>
      </c>
      <c r="AF248" s="11">
        <f>IF(ROUNDUP(U248/20,0)&gt;ROUNDUP(U247/20,0),"Lần " &amp; ROUNDUP(U248/20,0),"")</f>
        <v/>
      </c>
      <c r="AG248" s="11">
        <f>IF(ROUNDUP(V248/20,0)&gt;ROUNDUP(V247/20,0),"Lần " &amp; ROUNDUP(V248/20,0),"")</f>
        <v/>
      </c>
      <c r="AH248" s="11">
        <f>IF(ROUNDUP(W248/20,0)&gt;ROUNDUP(W247/20,0),"Lần " &amp; ROUNDUP(W248/20,0),"")</f>
        <v/>
      </c>
      <c r="AI248" s="11">
        <f>IF(ROUNDUP(X248/20,0)&gt;ROUNDUP(X247/20,0),"Lần " &amp; ROUNDUP(X248/20,0),"")</f>
        <v/>
      </c>
      <c r="AJ248" s="11">
        <f>IF(ROUNDUP(Y248/20,0)&gt;ROUNDUP(Y247/20,0),"Lần " &amp; ROUNDUP(Y248/20,0),"")</f>
        <v/>
      </c>
      <c r="AK248" s="11">
        <f>IF(ROUNDUP(Z248/20,0)&gt;ROUNDUP(Z247/20,0),"Lần " &amp; ROUNDUP(Z248/20,0),"")</f>
        <v/>
      </c>
      <c r="AL248" s="6" t="n"/>
      <c r="AN248" t="inlineStr">
        <is>
          <t>Dam</t>
        </is>
      </c>
      <c r="AO248" t="n">
        <v>59</v>
      </c>
    </row>
    <row r="249" ht="19" customHeight="1">
      <c r="A249" s="6" t="n">
        <v>240</v>
      </c>
      <c r="B249" s="7" t="inlineStr">
        <is>
          <t>Dầm chủ Super-T (15 phiến L=38.2m)</t>
        </is>
      </c>
      <c r="C249" s="7" t="inlineStr">
        <is>
          <t>Dầm S1B2 (tr.91)</t>
        </is>
      </c>
      <c r="D249" s="18" t="inlineStr">
        <is>
          <t>G3</t>
        </is>
      </c>
      <c r="E249" s="19" t="n">
        <v>12</v>
      </c>
      <c r="F249" s="6" t="inlineStr">
        <is>
          <t>CB400-V</t>
        </is>
      </c>
      <c r="G249" s="7" t="inlineStr">
        <is>
          <t>S06</t>
        </is>
      </c>
      <c r="H249" s="20" t="n">
        <v>1.259</v>
      </c>
      <c r="I249" s="21" t="n">
        <v>807</v>
      </c>
      <c r="J249" s="22" t="n">
        <v>0.888</v>
      </c>
      <c r="K249" s="9">
        <f>ROUND(H249*I249*J249, 2)</f>
        <v/>
      </c>
      <c r="L249" s="23">
        <f>ROUND(K249/1000, 3)</f>
        <v/>
      </c>
      <c r="M249" s="8">
        <f>IF(AO249="","",IF(INDEX(Theo_Doi_Tan_Suat_Be_Tong!$C:$C,AO249)="","",INDEX(Theo_Doi_Tan_Suat_Be_Tong!$C:$C,AO249)-VLOOKUP(AN249,$AQ$2:$AR$7,2,FALSE)))</f>
        <v/>
      </c>
      <c r="N249" s="6" t="n"/>
      <c r="O249" s="24">
        <f>IF(ROUNDUP(Q249/20,0)&gt;ROUNDUP(Q248/20,0),"TN Ø12 (Lần " &amp; ROUNDUP(Q249/20,0) &amp; ")","")</f>
        <v/>
      </c>
      <c r="P249" s="20">
        <f>ROUND(P248+IF(AND(E249&lt;=10,F249&lt;&gt;"ASTM A416"),L249,0),3)</f>
        <v/>
      </c>
      <c r="Q249" s="20">
        <f>ROUND(Q248+IF(AND(E249=12,F249&lt;&gt;"ASTM A416"),L249,0),3)</f>
        <v/>
      </c>
      <c r="R249" s="20">
        <f>ROUND(R248+IF(AND(E249=14,F249&lt;&gt;"ASTM A416"),L249,0),3)</f>
        <v/>
      </c>
      <c r="S249" s="20">
        <f>ROUND(S248+IF(AND(E249=16,F249&lt;&gt;"ASTM A416"),L249,0),3)</f>
        <v/>
      </c>
      <c r="T249" s="20">
        <f>ROUND(T248+IF(AND(E249=18,F249&lt;&gt;"ASTM A416"),L249,0),3)</f>
        <v/>
      </c>
      <c r="U249" s="20">
        <f>ROUND(U248+IF(AND(E249=20,F249&lt;&gt;"ASTM A416"),L249,0),3)</f>
        <v/>
      </c>
      <c r="V249" s="20">
        <f>ROUND(V248+IF(AND(E249=22,F249&lt;&gt;"ASTM A416"),L249,0),3)</f>
        <v/>
      </c>
      <c r="W249" s="20">
        <f>ROUND(W248+IF(AND(E249=25,F249&lt;&gt;"ASTM A416"),L249,0),3)</f>
        <v/>
      </c>
      <c r="X249" s="20">
        <f>ROUND(X248+IF(AND(E249=28,F249&lt;&gt;"ASTM A416"),L249,0),3)</f>
        <v/>
      </c>
      <c r="Y249" s="20">
        <f>ROUND(Y248+IF(AND(E249=32,F249&lt;&gt;"ASTM A416"),L249,0),3)</f>
        <v/>
      </c>
      <c r="Z249" s="20">
        <f>ROUND(Z248+IF(F249="ASTM A416",L249,0),3)</f>
        <v/>
      </c>
      <c r="AA249" s="11">
        <f>IF(ROUNDUP(P249/20,0)&gt;ROUNDUP(P248/20,0),"Lần " &amp; ROUNDUP(P249/20,0),"")</f>
        <v/>
      </c>
      <c r="AB249" s="11">
        <f>IF(ROUNDUP(Q249/20,0)&gt;ROUNDUP(Q248/20,0),"Lần " &amp; ROUNDUP(Q249/20,0),"")</f>
        <v/>
      </c>
      <c r="AC249" s="11">
        <f>IF(ROUNDUP(R249/20,0)&gt;ROUNDUP(R248/20,0),"Lần " &amp; ROUNDUP(R249/20,0),"")</f>
        <v/>
      </c>
      <c r="AD249" s="11">
        <f>IF(ROUNDUP(S249/20,0)&gt;ROUNDUP(S248/20,0),"Lần " &amp; ROUNDUP(S249/20,0),"")</f>
        <v/>
      </c>
      <c r="AE249" s="11">
        <f>IF(ROUNDUP(T249/20,0)&gt;ROUNDUP(T248/20,0),"Lần " &amp; ROUNDUP(T249/20,0),"")</f>
        <v/>
      </c>
      <c r="AF249" s="11">
        <f>IF(ROUNDUP(U249/20,0)&gt;ROUNDUP(U248/20,0),"Lần " &amp; ROUNDUP(U249/20,0),"")</f>
        <v/>
      </c>
      <c r="AG249" s="11">
        <f>IF(ROUNDUP(V249/20,0)&gt;ROUNDUP(V248/20,0),"Lần " &amp; ROUNDUP(V249/20,0),"")</f>
        <v/>
      </c>
      <c r="AH249" s="11">
        <f>IF(ROUNDUP(W249/20,0)&gt;ROUNDUP(W248/20,0),"Lần " &amp; ROUNDUP(W249/20,0),"")</f>
        <v/>
      </c>
      <c r="AI249" s="11">
        <f>IF(ROUNDUP(X249/20,0)&gt;ROUNDUP(X248/20,0),"Lần " &amp; ROUNDUP(X249/20,0),"")</f>
        <v/>
      </c>
      <c r="AJ249" s="11">
        <f>IF(ROUNDUP(Y249/20,0)&gt;ROUNDUP(Y248/20,0),"Lần " &amp; ROUNDUP(Y249/20,0),"")</f>
        <v/>
      </c>
      <c r="AK249" s="11">
        <f>IF(ROUNDUP(Z249/20,0)&gt;ROUNDUP(Z248/20,0),"Lần " &amp; ROUNDUP(Z249/20,0),"")</f>
        <v/>
      </c>
      <c r="AL249" s="6" t="n"/>
      <c r="AN249" t="inlineStr">
        <is>
          <t>Dam</t>
        </is>
      </c>
      <c r="AO249" t="n">
        <v>59</v>
      </c>
    </row>
    <row r="250" ht="19" customHeight="1">
      <c r="A250" s="6" t="n">
        <v>241</v>
      </c>
      <c r="B250" s="7" t="inlineStr">
        <is>
          <t>Dầm chủ Super-T (15 phiến L=38.2m)</t>
        </is>
      </c>
      <c r="C250" s="7" t="inlineStr">
        <is>
          <t>Dầm S1B2 (tr.91)</t>
        </is>
      </c>
      <c r="D250" s="18" t="inlineStr">
        <is>
          <t>G4a1</t>
        </is>
      </c>
      <c r="E250" s="19" t="n">
        <v>12</v>
      </c>
      <c r="F250" s="6" t="inlineStr">
        <is>
          <t>CB400-V</t>
        </is>
      </c>
      <c r="G250" s="7" t="inlineStr">
        <is>
          <t>S01</t>
        </is>
      </c>
      <c r="H250" s="20" t="n">
        <v>11.7</v>
      </c>
      <c r="I250" s="21" t="n">
        <v>63</v>
      </c>
      <c r="J250" s="22" t="n">
        <v>0.888</v>
      </c>
      <c r="K250" s="9">
        <f>ROUND(H250*I250*J250, 2)</f>
        <v/>
      </c>
      <c r="L250" s="23">
        <f>ROUND(K250/1000, 3)</f>
        <v/>
      </c>
      <c r="M250" s="8">
        <f>IF(AO250="","",IF(INDEX(Theo_Doi_Tan_Suat_Be_Tong!$C:$C,AO250)="","",INDEX(Theo_Doi_Tan_Suat_Be_Tong!$C:$C,AO250)-VLOOKUP(AN250,$AQ$2:$AR$7,2,FALSE)))</f>
        <v/>
      </c>
      <c r="N250" s="6" t="n"/>
      <c r="O250" s="24">
        <f>IF(ROUNDUP(Q250/20,0)&gt;ROUNDUP(Q249/20,0),"TN Ø12 (Lần " &amp; ROUNDUP(Q250/20,0) &amp; ")","")</f>
        <v/>
      </c>
      <c r="P250" s="20">
        <f>ROUND(P249+IF(AND(E250&lt;=10,F250&lt;&gt;"ASTM A416"),L250,0),3)</f>
        <v/>
      </c>
      <c r="Q250" s="20">
        <f>ROUND(Q249+IF(AND(E250=12,F250&lt;&gt;"ASTM A416"),L250,0),3)</f>
        <v/>
      </c>
      <c r="R250" s="20">
        <f>ROUND(R249+IF(AND(E250=14,F250&lt;&gt;"ASTM A416"),L250,0),3)</f>
        <v/>
      </c>
      <c r="S250" s="20">
        <f>ROUND(S249+IF(AND(E250=16,F250&lt;&gt;"ASTM A416"),L250,0),3)</f>
        <v/>
      </c>
      <c r="T250" s="20">
        <f>ROUND(T249+IF(AND(E250=18,F250&lt;&gt;"ASTM A416"),L250,0),3)</f>
        <v/>
      </c>
      <c r="U250" s="20">
        <f>ROUND(U249+IF(AND(E250=20,F250&lt;&gt;"ASTM A416"),L250,0),3)</f>
        <v/>
      </c>
      <c r="V250" s="20">
        <f>ROUND(V249+IF(AND(E250=22,F250&lt;&gt;"ASTM A416"),L250,0),3)</f>
        <v/>
      </c>
      <c r="W250" s="20">
        <f>ROUND(W249+IF(AND(E250=25,F250&lt;&gt;"ASTM A416"),L250,0),3)</f>
        <v/>
      </c>
      <c r="X250" s="20">
        <f>ROUND(X249+IF(AND(E250=28,F250&lt;&gt;"ASTM A416"),L250,0),3)</f>
        <v/>
      </c>
      <c r="Y250" s="20">
        <f>ROUND(Y249+IF(AND(E250=32,F250&lt;&gt;"ASTM A416"),L250,0),3)</f>
        <v/>
      </c>
      <c r="Z250" s="20">
        <f>ROUND(Z249+IF(F250="ASTM A416",L250,0),3)</f>
        <v/>
      </c>
      <c r="AA250" s="11">
        <f>IF(ROUNDUP(P250/20,0)&gt;ROUNDUP(P249/20,0),"Lần " &amp; ROUNDUP(P250/20,0),"")</f>
        <v/>
      </c>
      <c r="AB250" s="11">
        <f>IF(ROUNDUP(Q250/20,0)&gt;ROUNDUP(Q249/20,0),"Lần " &amp; ROUNDUP(Q250/20,0),"")</f>
        <v/>
      </c>
      <c r="AC250" s="11">
        <f>IF(ROUNDUP(R250/20,0)&gt;ROUNDUP(R249/20,0),"Lần " &amp; ROUNDUP(R250/20,0),"")</f>
        <v/>
      </c>
      <c r="AD250" s="11">
        <f>IF(ROUNDUP(S250/20,0)&gt;ROUNDUP(S249/20,0),"Lần " &amp; ROUNDUP(S250/20,0),"")</f>
        <v/>
      </c>
      <c r="AE250" s="11">
        <f>IF(ROUNDUP(T250/20,0)&gt;ROUNDUP(T249/20,0),"Lần " &amp; ROUNDUP(T250/20,0),"")</f>
        <v/>
      </c>
      <c r="AF250" s="11">
        <f>IF(ROUNDUP(U250/20,0)&gt;ROUNDUP(U249/20,0),"Lần " &amp; ROUNDUP(U250/20,0),"")</f>
        <v/>
      </c>
      <c r="AG250" s="11">
        <f>IF(ROUNDUP(V250/20,0)&gt;ROUNDUP(V249/20,0),"Lần " &amp; ROUNDUP(V250/20,0),"")</f>
        <v/>
      </c>
      <c r="AH250" s="11">
        <f>IF(ROUNDUP(W250/20,0)&gt;ROUNDUP(W249/20,0),"Lần " &amp; ROUNDUP(W250/20,0),"")</f>
        <v/>
      </c>
      <c r="AI250" s="11">
        <f>IF(ROUNDUP(X250/20,0)&gt;ROUNDUP(X249/20,0),"Lần " &amp; ROUNDUP(X250/20,0),"")</f>
        <v/>
      </c>
      <c r="AJ250" s="11">
        <f>IF(ROUNDUP(Y250/20,0)&gt;ROUNDUP(Y249/20,0),"Lần " &amp; ROUNDUP(Y250/20,0),"")</f>
        <v/>
      </c>
      <c r="AK250" s="11">
        <f>IF(ROUNDUP(Z250/20,0)&gt;ROUNDUP(Z249/20,0),"Lần " &amp; ROUNDUP(Z250/20,0),"")</f>
        <v/>
      </c>
      <c r="AL250" s="6" t="n"/>
      <c r="AN250" t="inlineStr">
        <is>
          <t>Dam</t>
        </is>
      </c>
      <c r="AO250" t="n">
        <v>59</v>
      </c>
    </row>
    <row r="251" ht="19" customHeight="1">
      <c r="A251" s="6" t="n">
        <v>242</v>
      </c>
      <c r="B251" s="7" t="inlineStr">
        <is>
          <t>Dầm chủ Super-T (15 phiến L=38.2m)</t>
        </is>
      </c>
      <c r="C251" s="7" t="inlineStr">
        <is>
          <t>Dầm S1B2 (tr.91)</t>
        </is>
      </c>
      <c r="D251" s="18" t="inlineStr">
        <is>
          <t>G4a2</t>
        </is>
      </c>
      <c r="E251" s="19" t="n">
        <v>12</v>
      </c>
      <c r="F251" s="6" t="inlineStr">
        <is>
          <t>CB400-V</t>
        </is>
      </c>
      <c r="G251" s="7" t="inlineStr">
        <is>
          <t>S06</t>
        </is>
      </c>
      <c r="H251" s="20" t="n">
        <v>4.46</v>
      </c>
      <c r="I251" s="21" t="n">
        <v>21</v>
      </c>
      <c r="J251" s="22" t="n">
        <v>0.888</v>
      </c>
      <c r="K251" s="9">
        <f>ROUND(H251*I251*J251, 2)</f>
        <v/>
      </c>
      <c r="L251" s="23">
        <f>ROUND(K251/1000, 3)</f>
        <v/>
      </c>
      <c r="M251" s="8">
        <f>IF(AO251="","",IF(INDEX(Theo_Doi_Tan_Suat_Be_Tong!$C:$C,AO251)="","",INDEX(Theo_Doi_Tan_Suat_Be_Tong!$C:$C,AO251)-VLOOKUP(AN251,$AQ$2:$AR$7,2,FALSE)))</f>
        <v/>
      </c>
      <c r="N251" s="6" t="n"/>
      <c r="O251" s="24">
        <f>IF(ROUNDUP(Q251/20,0)&gt;ROUNDUP(Q250/20,0),"TN Ø12 (Lần " &amp; ROUNDUP(Q251/20,0) &amp; ")","")</f>
        <v/>
      </c>
      <c r="P251" s="20">
        <f>ROUND(P250+IF(AND(E251&lt;=10,F251&lt;&gt;"ASTM A416"),L251,0),3)</f>
        <v/>
      </c>
      <c r="Q251" s="20">
        <f>ROUND(Q250+IF(AND(E251=12,F251&lt;&gt;"ASTM A416"),L251,0),3)</f>
        <v/>
      </c>
      <c r="R251" s="20">
        <f>ROUND(R250+IF(AND(E251=14,F251&lt;&gt;"ASTM A416"),L251,0),3)</f>
        <v/>
      </c>
      <c r="S251" s="20">
        <f>ROUND(S250+IF(AND(E251=16,F251&lt;&gt;"ASTM A416"),L251,0),3)</f>
        <v/>
      </c>
      <c r="T251" s="20">
        <f>ROUND(T250+IF(AND(E251=18,F251&lt;&gt;"ASTM A416"),L251,0),3)</f>
        <v/>
      </c>
      <c r="U251" s="20">
        <f>ROUND(U250+IF(AND(E251=20,F251&lt;&gt;"ASTM A416"),L251,0),3)</f>
        <v/>
      </c>
      <c r="V251" s="20">
        <f>ROUND(V250+IF(AND(E251=22,F251&lt;&gt;"ASTM A416"),L251,0),3)</f>
        <v/>
      </c>
      <c r="W251" s="20">
        <f>ROUND(W250+IF(AND(E251=25,F251&lt;&gt;"ASTM A416"),L251,0),3)</f>
        <v/>
      </c>
      <c r="X251" s="20">
        <f>ROUND(X250+IF(AND(E251=28,F251&lt;&gt;"ASTM A416"),L251,0),3)</f>
        <v/>
      </c>
      <c r="Y251" s="20">
        <f>ROUND(Y250+IF(AND(E251=32,F251&lt;&gt;"ASTM A416"),L251,0),3)</f>
        <v/>
      </c>
      <c r="Z251" s="20">
        <f>ROUND(Z250+IF(F251="ASTM A416",L251,0),3)</f>
        <v/>
      </c>
      <c r="AA251" s="11">
        <f>IF(ROUNDUP(P251/20,0)&gt;ROUNDUP(P250/20,0),"Lần " &amp; ROUNDUP(P251/20,0),"")</f>
        <v/>
      </c>
      <c r="AB251" s="11">
        <f>IF(ROUNDUP(Q251/20,0)&gt;ROUNDUP(Q250/20,0),"Lần " &amp; ROUNDUP(Q251/20,0),"")</f>
        <v/>
      </c>
      <c r="AC251" s="11">
        <f>IF(ROUNDUP(R251/20,0)&gt;ROUNDUP(R250/20,0),"Lần " &amp; ROUNDUP(R251/20,0),"")</f>
        <v/>
      </c>
      <c r="AD251" s="11">
        <f>IF(ROUNDUP(S251/20,0)&gt;ROUNDUP(S250/20,0),"Lần " &amp; ROUNDUP(S251/20,0),"")</f>
        <v/>
      </c>
      <c r="AE251" s="11">
        <f>IF(ROUNDUP(T251/20,0)&gt;ROUNDUP(T250/20,0),"Lần " &amp; ROUNDUP(T251/20,0),"")</f>
        <v/>
      </c>
      <c r="AF251" s="11">
        <f>IF(ROUNDUP(U251/20,0)&gt;ROUNDUP(U250/20,0),"Lần " &amp; ROUNDUP(U251/20,0),"")</f>
        <v/>
      </c>
      <c r="AG251" s="11">
        <f>IF(ROUNDUP(V251/20,0)&gt;ROUNDUP(V250/20,0),"Lần " &amp; ROUNDUP(V251/20,0),"")</f>
        <v/>
      </c>
      <c r="AH251" s="11">
        <f>IF(ROUNDUP(W251/20,0)&gt;ROUNDUP(W250/20,0),"Lần " &amp; ROUNDUP(W251/20,0),"")</f>
        <v/>
      </c>
      <c r="AI251" s="11">
        <f>IF(ROUNDUP(X251/20,0)&gt;ROUNDUP(X250/20,0),"Lần " &amp; ROUNDUP(X251/20,0),"")</f>
        <v/>
      </c>
      <c r="AJ251" s="11">
        <f>IF(ROUNDUP(Y251/20,0)&gt;ROUNDUP(Y250/20,0),"Lần " &amp; ROUNDUP(Y251/20,0),"")</f>
        <v/>
      </c>
      <c r="AK251" s="11">
        <f>IF(ROUNDUP(Z251/20,0)&gt;ROUNDUP(Z250/20,0),"Lần " &amp; ROUNDUP(Z251/20,0),"")</f>
        <v/>
      </c>
      <c r="AL251" s="6" t="n"/>
      <c r="AN251" t="inlineStr">
        <is>
          <t>Dam</t>
        </is>
      </c>
      <c r="AO251" t="n">
        <v>59</v>
      </c>
    </row>
    <row r="252" ht="19" customHeight="1">
      <c r="A252" s="6" t="n">
        <v>243</v>
      </c>
      <c r="B252" s="7" t="inlineStr">
        <is>
          <t>Dầm chủ Super-T (15 phiến L=38.2m)</t>
        </is>
      </c>
      <c r="C252" s="7" t="inlineStr">
        <is>
          <t>Dầm S1B2 (tr.91)</t>
        </is>
      </c>
      <c r="D252" s="18" t="inlineStr">
        <is>
          <t>G4b1</t>
        </is>
      </c>
      <c r="E252" s="19" t="n">
        <v>12</v>
      </c>
      <c r="F252" s="6" t="inlineStr">
        <is>
          <t>CB400-V</t>
        </is>
      </c>
      <c r="G252" s="7" t="inlineStr">
        <is>
          <t>S01</t>
        </is>
      </c>
      <c r="H252" s="20" t="n">
        <v>11.7</v>
      </c>
      <c r="I252" s="21" t="n">
        <v>36</v>
      </c>
      <c r="J252" s="22" t="n">
        <v>0.888</v>
      </c>
      <c r="K252" s="9">
        <f>ROUND(H252*I252*J252, 2)</f>
        <v/>
      </c>
      <c r="L252" s="23">
        <f>ROUND(K252/1000, 3)</f>
        <v/>
      </c>
      <c r="M252" s="8">
        <f>IF(AO252="","",IF(INDEX(Theo_Doi_Tan_Suat_Be_Tong!$C:$C,AO252)="","",INDEX(Theo_Doi_Tan_Suat_Be_Tong!$C:$C,AO252)-VLOOKUP(AN252,$AQ$2:$AR$7,2,FALSE)))</f>
        <v/>
      </c>
      <c r="N252" s="6" t="n"/>
      <c r="O252" s="24">
        <f>IF(ROUNDUP(Q252/20,0)&gt;ROUNDUP(Q251/20,0),"TN Ø12 (Lần " &amp; ROUNDUP(Q252/20,0) &amp; ")","")</f>
        <v/>
      </c>
      <c r="P252" s="20">
        <f>ROUND(P251+IF(AND(E252&lt;=10,F252&lt;&gt;"ASTM A416"),L252,0),3)</f>
        <v/>
      </c>
      <c r="Q252" s="20">
        <f>ROUND(Q251+IF(AND(E252=12,F252&lt;&gt;"ASTM A416"),L252,0),3)</f>
        <v/>
      </c>
      <c r="R252" s="20">
        <f>ROUND(R251+IF(AND(E252=14,F252&lt;&gt;"ASTM A416"),L252,0),3)</f>
        <v/>
      </c>
      <c r="S252" s="20">
        <f>ROUND(S251+IF(AND(E252=16,F252&lt;&gt;"ASTM A416"),L252,0),3)</f>
        <v/>
      </c>
      <c r="T252" s="20">
        <f>ROUND(T251+IF(AND(E252=18,F252&lt;&gt;"ASTM A416"),L252,0),3)</f>
        <v/>
      </c>
      <c r="U252" s="20">
        <f>ROUND(U251+IF(AND(E252=20,F252&lt;&gt;"ASTM A416"),L252,0),3)</f>
        <v/>
      </c>
      <c r="V252" s="20">
        <f>ROUND(V251+IF(AND(E252=22,F252&lt;&gt;"ASTM A416"),L252,0),3)</f>
        <v/>
      </c>
      <c r="W252" s="20">
        <f>ROUND(W251+IF(AND(E252=25,F252&lt;&gt;"ASTM A416"),L252,0),3)</f>
        <v/>
      </c>
      <c r="X252" s="20">
        <f>ROUND(X251+IF(AND(E252=28,F252&lt;&gt;"ASTM A416"),L252,0),3)</f>
        <v/>
      </c>
      <c r="Y252" s="20">
        <f>ROUND(Y251+IF(AND(E252=32,F252&lt;&gt;"ASTM A416"),L252,0),3)</f>
        <v/>
      </c>
      <c r="Z252" s="20">
        <f>ROUND(Z251+IF(F252="ASTM A416",L252,0),3)</f>
        <v/>
      </c>
      <c r="AA252" s="11">
        <f>IF(ROUNDUP(P252/20,0)&gt;ROUNDUP(P251/20,0),"Lần " &amp; ROUNDUP(P252/20,0),"")</f>
        <v/>
      </c>
      <c r="AB252" s="11">
        <f>IF(ROUNDUP(Q252/20,0)&gt;ROUNDUP(Q251/20,0),"Lần " &amp; ROUNDUP(Q252/20,0),"")</f>
        <v/>
      </c>
      <c r="AC252" s="11">
        <f>IF(ROUNDUP(R252/20,0)&gt;ROUNDUP(R251/20,0),"Lần " &amp; ROUNDUP(R252/20,0),"")</f>
        <v/>
      </c>
      <c r="AD252" s="11">
        <f>IF(ROUNDUP(S252/20,0)&gt;ROUNDUP(S251/20,0),"Lần " &amp; ROUNDUP(S252/20,0),"")</f>
        <v/>
      </c>
      <c r="AE252" s="11">
        <f>IF(ROUNDUP(T252/20,0)&gt;ROUNDUP(T251/20,0),"Lần " &amp; ROUNDUP(T252/20,0),"")</f>
        <v/>
      </c>
      <c r="AF252" s="11">
        <f>IF(ROUNDUP(U252/20,0)&gt;ROUNDUP(U251/20,0),"Lần " &amp; ROUNDUP(U252/20,0),"")</f>
        <v/>
      </c>
      <c r="AG252" s="11">
        <f>IF(ROUNDUP(V252/20,0)&gt;ROUNDUP(V251/20,0),"Lần " &amp; ROUNDUP(V252/20,0),"")</f>
        <v/>
      </c>
      <c r="AH252" s="11">
        <f>IF(ROUNDUP(W252/20,0)&gt;ROUNDUP(W251/20,0),"Lần " &amp; ROUNDUP(W252/20,0),"")</f>
        <v/>
      </c>
      <c r="AI252" s="11">
        <f>IF(ROUNDUP(X252/20,0)&gt;ROUNDUP(X251/20,0),"Lần " &amp; ROUNDUP(X252/20,0),"")</f>
        <v/>
      </c>
      <c r="AJ252" s="11">
        <f>IF(ROUNDUP(Y252/20,0)&gt;ROUNDUP(Y251/20,0),"Lần " &amp; ROUNDUP(Y252/20,0),"")</f>
        <v/>
      </c>
      <c r="AK252" s="11">
        <f>IF(ROUNDUP(Z252/20,0)&gt;ROUNDUP(Z251/20,0),"Lần " &amp; ROUNDUP(Z252/20,0),"")</f>
        <v/>
      </c>
      <c r="AL252" s="6" t="n"/>
      <c r="AN252" t="inlineStr">
        <is>
          <t>Dam</t>
        </is>
      </c>
      <c r="AO252" t="n">
        <v>59</v>
      </c>
    </row>
    <row r="253" ht="19" customHeight="1">
      <c r="A253" s="6" t="n">
        <v>244</v>
      </c>
      <c r="B253" s="7" t="inlineStr">
        <is>
          <t>Dầm chủ Super-T (15 phiến L=38.2m)</t>
        </is>
      </c>
      <c r="C253" s="7" t="inlineStr">
        <is>
          <t>Dầm S1B2 (tr.91)</t>
        </is>
      </c>
      <c r="D253" s="18" t="inlineStr">
        <is>
          <t>G4b2</t>
        </is>
      </c>
      <c r="E253" s="19" t="n">
        <v>12</v>
      </c>
      <c r="F253" s="6" t="inlineStr">
        <is>
          <t>CB400-V</t>
        </is>
      </c>
      <c r="G253" s="7" t="inlineStr">
        <is>
          <t>S06</t>
        </is>
      </c>
      <c r="H253" s="20" t="n">
        <v>3.06</v>
      </c>
      <c r="I253" s="21" t="n">
        <v>12</v>
      </c>
      <c r="J253" s="22" t="n">
        <v>0.888</v>
      </c>
      <c r="K253" s="9">
        <f>ROUND(H253*I253*J253, 2)</f>
        <v/>
      </c>
      <c r="L253" s="23">
        <f>ROUND(K253/1000, 3)</f>
        <v/>
      </c>
      <c r="M253" s="8">
        <f>IF(AO253="","",IF(INDEX(Theo_Doi_Tan_Suat_Be_Tong!$C:$C,AO253)="","",INDEX(Theo_Doi_Tan_Suat_Be_Tong!$C:$C,AO253)-VLOOKUP(AN253,$AQ$2:$AR$7,2,FALSE)))</f>
        <v/>
      </c>
      <c r="N253" s="6" t="n"/>
      <c r="O253" s="24">
        <f>IF(ROUNDUP(Q253/20,0)&gt;ROUNDUP(Q252/20,0),"TN Ø12 (Lần " &amp; ROUNDUP(Q253/20,0) &amp; ")","")</f>
        <v/>
      </c>
      <c r="P253" s="20">
        <f>ROUND(P252+IF(AND(E253&lt;=10,F253&lt;&gt;"ASTM A416"),L253,0),3)</f>
        <v/>
      </c>
      <c r="Q253" s="20">
        <f>ROUND(Q252+IF(AND(E253=12,F253&lt;&gt;"ASTM A416"),L253,0),3)</f>
        <v/>
      </c>
      <c r="R253" s="20">
        <f>ROUND(R252+IF(AND(E253=14,F253&lt;&gt;"ASTM A416"),L253,0),3)</f>
        <v/>
      </c>
      <c r="S253" s="20">
        <f>ROUND(S252+IF(AND(E253=16,F253&lt;&gt;"ASTM A416"),L253,0),3)</f>
        <v/>
      </c>
      <c r="T253" s="20">
        <f>ROUND(T252+IF(AND(E253=18,F253&lt;&gt;"ASTM A416"),L253,0),3)</f>
        <v/>
      </c>
      <c r="U253" s="20">
        <f>ROUND(U252+IF(AND(E253=20,F253&lt;&gt;"ASTM A416"),L253,0),3)</f>
        <v/>
      </c>
      <c r="V253" s="20">
        <f>ROUND(V252+IF(AND(E253=22,F253&lt;&gt;"ASTM A416"),L253,0),3)</f>
        <v/>
      </c>
      <c r="W253" s="20">
        <f>ROUND(W252+IF(AND(E253=25,F253&lt;&gt;"ASTM A416"),L253,0),3)</f>
        <v/>
      </c>
      <c r="X253" s="20">
        <f>ROUND(X252+IF(AND(E253=28,F253&lt;&gt;"ASTM A416"),L253,0),3)</f>
        <v/>
      </c>
      <c r="Y253" s="20">
        <f>ROUND(Y252+IF(AND(E253=32,F253&lt;&gt;"ASTM A416"),L253,0),3)</f>
        <v/>
      </c>
      <c r="Z253" s="20">
        <f>ROUND(Z252+IF(F253="ASTM A416",L253,0),3)</f>
        <v/>
      </c>
      <c r="AA253" s="11">
        <f>IF(ROUNDUP(P253/20,0)&gt;ROUNDUP(P252/20,0),"Lần " &amp; ROUNDUP(P253/20,0),"")</f>
        <v/>
      </c>
      <c r="AB253" s="11">
        <f>IF(ROUNDUP(Q253/20,0)&gt;ROUNDUP(Q252/20,0),"Lần " &amp; ROUNDUP(Q253/20,0),"")</f>
        <v/>
      </c>
      <c r="AC253" s="11">
        <f>IF(ROUNDUP(R253/20,0)&gt;ROUNDUP(R252/20,0),"Lần " &amp; ROUNDUP(R253/20,0),"")</f>
        <v/>
      </c>
      <c r="AD253" s="11">
        <f>IF(ROUNDUP(S253/20,0)&gt;ROUNDUP(S252/20,0),"Lần " &amp; ROUNDUP(S253/20,0),"")</f>
        <v/>
      </c>
      <c r="AE253" s="11">
        <f>IF(ROUNDUP(T253/20,0)&gt;ROUNDUP(T252/20,0),"Lần " &amp; ROUNDUP(T253/20,0),"")</f>
        <v/>
      </c>
      <c r="AF253" s="11">
        <f>IF(ROUNDUP(U253/20,0)&gt;ROUNDUP(U252/20,0),"Lần " &amp; ROUNDUP(U253/20,0),"")</f>
        <v/>
      </c>
      <c r="AG253" s="11">
        <f>IF(ROUNDUP(V253/20,0)&gt;ROUNDUP(V252/20,0),"Lần " &amp; ROUNDUP(V253/20,0),"")</f>
        <v/>
      </c>
      <c r="AH253" s="11">
        <f>IF(ROUNDUP(W253/20,0)&gt;ROUNDUP(W252/20,0),"Lần " &amp; ROUNDUP(W253/20,0),"")</f>
        <v/>
      </c>
      <c r="AI253" s="11">
        <f>IF(ROUNDUP(X253/20,0)&gt;ROUNDUP(X252/20,0),"Lần " &amp; ROUNDUP(X253/20,0),"")</f>
        <v/>
      </c>
      <c r="AJ253" s="11">
        <f>IF(ROUNDUP(Y253/20,0)&gt;ROUNDUP(Y252/20,0),"Lần " &amp; ROUNDUP(Y253/20,0),"")</f>
        <v/>
      </c>
      <c r="AK253" s="11">
        <f>IF(ROUNDUP(Z253/20,0)&gt;ROUNDUP(Z252/20,0),"Lần " &amp; ROUNDUP(Z253/20,0),"")</f>
        <v/>
      </c>
      <c r="AL253" s="6" t="n"/>
      <c r="AN253" t="inlineStr">
        <is>
          <t>Dam</t>
        </is>
      </c>
      <c r="AO253" t="n">
        <v>59</v>
      </c>
    </row>
    <row r="254" ht="19" customHeight="1">
      <c r="A254" s="6" t="n">
        <v>245</v>
      </c>
      <c r="B254" s="7" t="inlineStr">
        <is>
          <t>Dầm chủ Super-T (15 phiến L=38.2m)</t>
        </is>
      </c>
      <c r="C254" s="7" t="inlineStr">
        <is>
          <t>Dầm S1B2 (tr.91)</t>
        </is>
      </c>
      <c r="D254" s="18" t="inlineStr">
        <is>
          <t>G5a</t>
        </is>
      </c>
      <c r="E254" s="19" t="n">
        <v>16</v>
      </c>
      <c r="F254" s="6" t="inlineStr">
        <is>
          <t>CB400-V</t>
        </is>
      </c>
      <c r="G254" s="7" t="inlineStr">
        <is>
          <t>S01</t>
        </is>
      </c>
      <c r="H254" s="20" t="n">
        <v>11.7</v>
      </c>
      <c r="I254" s="21" t="n">
        <v>84</v>
      </c>
      <c r="J254" s="22" t="n">
        <v>1.578</v>
      </c>
      <c r="K254" s="9">
        <f>ROUND(H254*I254*J254, 2)</f>
        <v/>
      </c>
      <c r="L254" s="23">
        <f>ROUND(K254/1000, 3)</f>
        <v/>
      </c>
      <c r="M254" s="8">
        <f>IF(AO254="","",IF(INDEX(Theo_Doi_Tan_Suat_Be_Tong!$C:$C,AO254)="","",INDEX(Theo_Doi_Tan_Suat_Be_Tong!$C:$C,AO254)-VLOOKUP(AN254,$AQ$2:$AR$7,2,FALSE)))</f>
        <v/>
      </c>
      <c r="N254" s="6" t="n"/>
      <c r="O254" s="24">
        <f>IF(ROUNDUP(S254/20,0)&gt;ROUNDUP(S253/20,0),"TN Ø16 (Lần " &amp; ROUNDUP(S254/20,0) &amp; ")","")</f>
        <v/>
      </c>
      <c r="P254" s="20">
        <f>ROUND(P253+IF(AND(E254&lt;=10,F254&lt;&gt;"ASTM A416"),L254,0),3)</f>
        <v/>
      </c>
      <c r="Q254" s="20">
        <f>ROUND(Q253+IF(AND(E254=12,F254&lt;&gt;"ASTM A416"),L254,0),3)</f>
        <v/>
      </c>
      <c r="R254" s="20">
        <f>ROUND(R253+IF(AND(E254=14,F254&lt;&gt;"ASTM A416"),L254,0),3)</f>
        <v/>
      </c>
      <c r="S254" s="20">
        <f>ROUND(S253+IF(AND(E254=16,F254&lt;&gt;"ASTM A416"),L254,0),3)</f>
        <v/>
      </c>
      <c r="T254" s="20">
        <f>ROUND(T253+IF(AND(E254=18,F254&lt;&gt;"ASTM A416"),L254,0),3)</f>
        <v/>
      </c>
      <c r="U254" s="20">
        <f>ROUND(U253+IF(AND(E254=20,F254&lt;&gt;"ASTM A416"),L254,0),3)</f>
        <v/>
      </c>
      <c r="V254" s="20">
        <f>ROUND(V253+IF(AND(E254=22,F254&lt;&gt;"ASTM A416"),L254,0),3)</f>
        <v/>
      </c>
      <c r="W254" s="20">
        <f>ROUND(W253+IF(AND(E254=25,F254&lt;&gt;"ASTM A416"),L254,0),3)</f>
        <v/>
      </c>
      <c r="X254" s="20">
        <f>ROUND(X253+IF(AND(E254=28,F254&lt;&gt;"ASTM A416"),L254,0),3)</f>
        <v/>
      </c>
      <c r="Y254" s="20">
        <f>ROUND(Y253+IF(AND(E254=32,F254&lt;&gt;"ASTM A416"),L254,0),3)</f>
        <v/>
      </c>
      <c r="Z254" s="20">
        <f>ROUND(Z253+IF(F254="ASTM A416",L254,0),3)</f>
        <v/>
      </c>
      <c r="AA254" s="11">
        <f>IF(ROUNDUP(P254/20,0)&gt;ROUNDUP(P253/20,0),"Lần " &amp; ROUNDUP(P254/20,0),"")</f>
        <v/>
      </c>
      <c r="AB254" s="11">
        <f>IF(ROUNDUP(Q254/20,0)&gt;ROUNDUP(Q253/20,0),"Lần " &amp; ROUNDUP(Q254/20,0),"")</f>
        <v/>
      </c>
      <c r="AC254" s="11">
        <f>IF(ROUNDUP(R254/20,0)&gt;ROUNDUP(R253/20,0),"Lần " &amp; ROUNDUP(R254/20,0),"")</f>
        <v/>
      </c>
      <c r="AD254" s="11">
        <f>IF(ROUNDUP(S254/20,0)&gt;ROUNDUP(S253/20,0),"Lần " &amp; ROUNDUP(S254/20,0),"")</f>
        <v/>
      </c>
      <c r="AE254" s="11">
        <f>IF(ROUNDUP(T254/20,0)&gt;ROUNDUP(T253/20,0),"Lần " &amp; ROUNDUP(T254/20,0),"")</f>
        <v/>
      </c>
      <c r="AF254" s="11">
        <f>IF(ROUNDUP(U254/20,0)&gt;ROUNDUP(U253/20,0),"Lần " &amp; ROUNDUP(U254/20,0),"")</f>
        <v/>
      </c>
      <c r="AG254" s="11">
        <f>IF(ROUNDUP(V254/20,0)&gt;ROUNDUP(V253/20,0),"Lần " &amp; ROUNDUP(V254/20,0),"")</f>
        <v/>
      </c>
      <c r="AH254" s="11">
        <f>IF(ROUNDUP(W254/20,0)&gt;ROUNDUP(W253/20,0),"Lần " &amp; ROUNDUP(W254/20,0),"")</f>
        <v/>
      </c>
      <c r="AI254" s="11">
        <f>IF(ROUNDUP(X254/20,0)&gt;ROUNDUP(X253/20,0),"Lần " &amp; ROUNDUP(X254/20,0),"")</f>
        <v/>
      </c>
      <c r="AJ254" s="11">
        <f>IF(ROUNDUP(Y254/20,0)&gt;ROUNDUP(Y253/20,0),"Lần " &amp; ROUNDUP(Y254/20,0),"")</f>
        <v/>
      </c>
      <c r="AK254" s="11">
        <f>IF(ROUNDUP(Z254/20,0)&gt;ROUNDUP(Z253/20,0),"Lần " &amp; ROUNDUP(Z254/20,0),"")</f>
        <v/>
      </c>
      <c r="AL254" s="6" t="n"/>
      <c r="AN254" t="inlineStr">
        <is>
          <t>Dam</t>
        </is>
      </c>
      <c r="AO254" t="n">
        <v>59</v>
      </c>
    </row>
    <row r="255" ht="19" customHeight="1">
      <c r="A255" s="6" t="n">
        <v>246</v>
      </c>
      <c r="B255" s="7" t="inlineStr">
        <is>
          <t>Dầm chủ Super-T (15 phiến L=38.2m)</t>
        </is>
      </c>
      <c r="C255" s="7" t="inlineStr">
        <is>
          <t>Dầm S1B2 (tr.91)</t>
        </is>
      </c>
      <c r="D255" s="18" t="inlineStr">
        <is>
          <t>G5b</t>
        </is>
      </c>
      <c r="E255" s="19" t="n">
        <v>18</v>
      </c>
      <c r="F255" s="6" t="inlineStr">
        <is>
          <t>CB400-V</t>
        </is>
      </c>
      <c r="G255" s="7" t="inlineStr">
        <is>
          <t>S06</t>
        </is>
      </c>
      <c r="H255" s="20" t="n">
        <v>2.86</v>
      </c>
      <c r="I255" s="21" t="n">
        <v>42</v>
      </c>
      <c r="J255" s="22" t="n">
        <v>1.998</v>
      </c>
      <c r="K255" s="9">
        <f>ROUND(H255*I255*J255, 2)</f>
        <v/>
      </c>
      <c r="L255" s="23">
        <f>ROUND(K255/1000, 3)</f>
        <v/>
      </c>
      <c r="M255" s="8">
        <f>IF(AO255="","",IF(INDEX(Theo_Doi_Tan_Suat_Be_Tong!$C:$C,AO255)="","",INDEX(Theo_Doi_Tan_Suat_Be_Tong!$C:$C,AO255)-VLOOKUP(AN255,$AQ$2:$AR$7,2,FALSE)))</f>
        <v/>
      </c>
      <c r="N255" s="6" t="n"/>
      <c r="O255" s="24">
        <f>IF(ROUNDUP(T255/20,0)&gt;ROUNDUP(T254/20,0),"TN Ø18 (Lần " &amp; ROUNDUP(T255/20,0) &amp; ")","")</f>
        <v/>
      </c>
      <c r="P255" s="20">
        <f>ROUND(P254+IF(AND(E255&lt;=10,F255&lt;&gt;"ASTM A416"),L255,0),3)</f>
        <v/>
      </c>
      <c r="Q255" s="20">
        <f>ROUND(Q254+IF(AND(E255=12,F255&lt;&gt;"ASTM A416"),L255,0),3)</f>
        <v/>
      </c>
      <c r="R255" s="20">
        <f>ROUND(R254+IF(AND(E255=14,F255&lt;&gt;"ASTM A416"),L255,0),3)</f>
        <v/>
      </c>
      <c r="S255" s="20">
        <f>ROUND(S254+IF(AND(E255=16,F255&lt;&gt;"ASTM A416"),L255,0),3)</f>
        <v/>
      </c>
      <c r="T255" s="20">
        <f>ROUND(T254+IF(AND(E255=18,F255&lt;&gt;"ASTM A416"),L255,0),3)</f>
        <v/>
      </c>
      <c r="U255" s="20">
        <f>ROUND(U254+IF(AND(E255=20,F255&lt;&gt;"ASTM A416"),L255,0),3)</f>
        <v/>
      </c>
      <c r="V255" s="20">
        <f>ROUND(V254+IF(AND(E255=22,F255&lt;&gt;"ASTM A416"),L255,0),3)</f>
        <v/>
      </c>
      <c r="W255" s="20">
        <f>ROUND(W254+IF(AND(E255=25,F255&lt;&gt;"ASTM A416"),L255,0),3)</f>
        <v/>
      </c>
      <c r="X255" s="20">
        <f>ROUND(X254+IF(AND(E255=28,F255&lt;&gt;"ASTM A416"),L255,0),3)</f>
        <v/>
      </c>
      <c r="Y255" s="20">
        <f>ROUND(Y254+IF(AND(E255=32,F255&lt;&gt;"ASTM A416"),L255,0),3)</f>
        <v/>
      </c>
      <c r="Z255" s="20">
        <f>ROUND(Z254+IF(F255="ASTM A416",L255,0),3)</f>
        <v/>
      </c>
      <c r="AA255" s="11">
        <f>IF(ROUNDUP(P255/20,0)&gt;ROUNDUP(P254/20,0),"Lần " &amp; ROUNDUP(P255/20,0),"")</f>
        <v/>
      </c>
      <c r="AB255" s="11">
        <f>IF(ROUNDUP(Q255/20,0)&gt;ROUNDUP(Q254/20,0),"Lần " &amp; ROUNDUP(Q255/20,0),"")</f>
        <v/>
      </c>
      <c r="AC255" s="11">
        <f>IF(ROUNDUP(R255/20,0)&gt;ROUNDUP(R254/20,0),"Lần " &amp; ROUNDUP(R255/20,0),"")</f>
        <v/>
      </c>
      <c r="AD255" s="11">
        <f>IF(ROUNDUP(S255/20,0)&gt;ROUNDUP(S254/20,0),"Lần " &amp; ROUNDUP(S255/20,0),"")</f>
        <v/>
      </c>
      <c r="AE255" s="11">
        <f>IF(ROUNDUP(T255/20,0)&gt;ROUNDUP(T254/20,0),"Lần " &amp; ROUNDUP(T255/20,0),"")</f>
        <v/>
      </c>
      <c r="AF255" s="11">
        <f>IF(ROUNDUP(U255/20,0)&gt;ROUNDUP(U254/20,0),"Lần " &amp; ROUNDUP(U255/20,0),"")</f>
        <v/>
      </c>
      <c r="AG255" s="11">
        <f>IF(ROUNDUP(V255/20,0)&gt;ROUNDUP(V254/20,0),"Lần " &amp; ROUNDUP(V255/20,0),"")</f>
        <v/>
      </c>
      <c r="AH255" s="11">
        <f>IF(ROUNDUP(W255/20,0)&gt;ROUNDUP(W254/20,0),"Lần " &amp; ROUNDUP(W255/20,0),"")</f>
        <v/>
      </c>
      <c r="AI255" s="11">
        <f>IF(ROUNDUP(X255/20,0)&gt;ROUNDUP(X254/20,0),"Lần " &amp; ROUNDUP(X255/20,0),"")</f>
        <v/>
      </c>
      <c r="AJ255" s="11">
        <f>IF(ROUNDUP(Y255/20,0)&gt;ROUNDUP(Y254/20,0),"Lần " &amp; ROUNDUP(Y255/20,0),"")</f>
        <v/>
      </c>
      <c r="AK255" s="11">
        <f>IF(ROUNDUP(Z255/20,0)&gt;ROUNDUP(Z254/20,0),"Lần " &amp; ROUNDUP(Z255/20,0),"")</f>
        <v/>
      </c>
      <c r="AL255" s="6" t="n"/>
      <c r="AN255" t="inlineStr">
        <is>
          <t>Dam</t>
        </is>
      </c>
      <c r="AO255" t="n">
        <v>59</v>
      </c>
    </row>
    <row r="256" ht="19" customHeight="1">
      <c r="A256" s="6" t="n">
        <v>247</v>
      </c>
      <c r="B256" s="7" t="inlineStr">
        <is>
          <t>Dầm chủ Super-T (15 phiến L=38.2m)</t>
        </is>
      </c>
      <c r="C256" s="7" t="inlineStr">
        <is>
          <t>Dầm S1B2 (tr.91)</t>
        </is>
      </c>
      <c r="D256" s="18" t="inlineStr">
        <is>
          <t>G5c</t>
        </is>
      </c>
      <c r="E256" s="19" t="n">
        <v>16</v>
      </c>
      <c r="F256" s="6" t="inlineStr">
        <is>
          <t>CB400-V</t>
        </is>
      </c>
      <c r="G256" s="7" t="inlineStr">
        <is>
          <t>S01</t>
        </is>
      </c>
      <c r="H256" s="20" t="n">
        <v>10.68</v>
      </c>
      <c r="I256" s="21" t="n">
        <v>42</v>
      </c>
      <c r="J256" s="22" t="n">
        <v>1.578</v>
      </c>
      <c r="K256" s="9">
        <f>ROUND(H256*I256*J256, 2)</f>
        <v/>
      </c>
      <c r="L256" s="23">
        <f>ROUND(K256/1000, 3)</f>
        <v/>
      </c>
      <c r="M256" s="8">
        <f>IF(AO256="","",IF(INDEX(Theo_Doi_Tan_Suat_Be_Tong!$C:$C,AO256)="","",INDEX(Theo_Doi_Tan_Suat_Be_Tong!$C:$C,AO256)-VLOOKUP(AN256,$AQ$2:$AR$7,2,FALSE)))</f>
        <v/>
      </c>
      <c r="N256" s="6" t="n"/>
      <c r="O256" s="24">
        <f>IF(ROUNDUP(S256/20,0)&gt;ROUNDUP(S255/20,0),"TN Ø16 (Lần " &amp; ROUNDUP(S256/20,0) &amp; ")","")</f>
        <v/>
      </c>
      <c r="P256" s="20">
        <f>ROUND(P255+IF(AND(E256&lt;=10,F256&lt;&gt;"ASTM A416"),L256,0),3)</f>
        <v/>
      </c>
      <c r="Q256" s="20">
        <f>ROUND(Q255+IF(AND(E256=12,F256&lt;&gt;"ASTM A416"),L256,0),3)</f>
        <v/>
      </c>
      <c r="R256" s="20">
        <f>ROUND(R255+IF(AND(E256=14,F256&lt;&gt;"ASTM A416"),L256,0),3)</f>
        <v/>
      </c>
      <c r="S256" s="20">
        <f>ROUND(S255+IF(AND(E256=16,F256&lt;&gt;"ASTM A416"),L256,0),3)</f>
        <v/>
      </c>
      <c r="T256" s="20">
        <f>ROUND(T255+IF(AND(E256=18,F256&lt;&gt;"ASTM A416"),L256,0),3)</f>
        <v/>
      </c>
      <c r="U256" s="20">
        <f>ROUND(U255+IF(AND(E256=20,F256&lt;&gt;"ASTM A416"),L256,0),3)</f>
        <v/>
      </c>
      <c r="V256" s="20">
        <f>ROUND(V255+IF(AND(E256=22,F256&lt;&gt;"ASTM A416"),L256,0),3)</f>
        <v/>
      </c>
      <c r="W256" s="20">
        <f>ROUND(W255+IF(AND(E256=25,F256&lt;&gt;"ASTM A416"),L256,0),3)</f>
        <v/>
      </c>
      <c r="X256" s="20">
        <f>ROUND(X255+IF(AND(E256=28,F256&lt;&gt;"ASTM A416"),L256,0),3)</f>
        <v/>
      </c>
      <c r="Y256" s="20">
        <f>ROUND(Y255+IF(AND(E256=32,F256&lt;&gt;"ASTM A416"),L256,0),3)</f>
        <v/>
      </c>
      <c r="Z256" s="20">
        <f>ROUND(Z255+IF(F256="ASTM A416",L256,0),3)</f>
        <v/>
      </c>
      <c r="AA256" s="11">
        <f>IF(ROUNDUP(P256/20,0)&gt;ROUNDUP(P255/20,0),"Lần " &amp; ROUNDUP(P256/20,0),"")</f>
        <v/>
      </c>
      <c r="AB256" s="11">
        <f>IF(ROUNDUP(Q256/20,0)&gt;ROUNDUP(Q255/20,0),"Lần " &amp; ROUNDUP(Q256/20,0),"")</f>
        <v/>
      </c>
      <c r="AC256" s="11">
        <f>IF(ROUNDUP(R256/20,0)&gt;ROUNDUP(R255/20,0),"Lần " &amp; ROUNDUP(R256/20,0),"")</f>
        <v/>
      </c>
      <c r="AD256" s="11">
        <f>IF(ROUNDUP(S256/20,0)&gt;ROUNDUP(S255/20,0),"Lần " &amp; ROUNDUP(S256/20,0),"")</f>
        <v/>
      </c>
      <c r="AE256" s="11">
        <f>IF(ROUNDUP(T256/20,0)&gt;ROUNDUP(T255/20,0),"Lần " &amp; ROUNDUP(T256/20,0),"")</f>
        <v/>
      </c>
      <c r="AF256" s="11">
        <f>IF(ROUNDUP(U256/20,0)&gt;ROUNDUP(U255/20,0),"Lần " &amp; ROUNDUP(U256/20,0),"")</f>
        <v/>
      </c>
      <c r="AG256" s="11">
        <f>IF(ROUNDUP(V256/20,0)&gt;ROUNDUP(V255/20,0),"Lần " &amp; ROUNDUP(V256/20,0),"")</f>
        <v/>
      </c>
      <c r="AH256" s="11">
        <f>IF(ROUNDUP(W256/20,0)&gt;ROUNDUP(W255/20,0),"Lần " &amp; ROUNDUP(W256/20,0),"")</f>
        <v/>
      </c>
      <c r="AI256" s="11">
        <f>IF(ROUNDUP(X256/20,0)&gt;ROUNDUP(X255/20,0),"Lần " &amp; ROUNDUP(X256/20,0),"")</f>
        <v/>
      </c>
      <c r="AJ256" s="11">
        <f>IF(ROUNDUP(Y256/20,0)&gt;ROUNDUP(Y255/20,0),"Lần " &amp; ROUNDUP(Y256/20,0),"")</f>
        <v/>
      </c>
      <c r="AK256" s="11">
        <f>IF(ROUNDUP(Z256/20,0)&gt;ROUNDUP(Z255/20,0),"Lần " &amp; ROUNDUP(Z256/20,0),"")</f>
        <v/>
      </c>
      <c r="AL256" s="6" t="n"/>
      <c r="AN256" t="inlineStr">
        <is>
          <t>Dam</t>
        </is>
      </c>
      <c r="AO256" t="n">
        <v>59</v>
      </c>
    </row>
    <row r="257" ht="20" customHeight="1">
      <c r="A257" s="6" t="n">
        <v>248</v>
      </c>
      <c r="B257" s="7" t="inlineStr">
        <is>
          <t>Dầm chủ Super-T (15 phiến L=38.2m)</t>
        </is>
      </c>
      <c r="C257" s="7" t="inlineStr">
        <is>
          <t>Dầm S1B2 (tr.91)</t>
        </is>
      </c>
      <c r="D257" s="18" t="inlineStr">
        <is>
          <t>G5d</t>
        </is>
      </c>
      <c r="E257" s="19" t="n">
        <v>18</v>
      </c>
      <c r="F257" s="6" t="inlineStr">
        <is>
          <t>CB400-V</t>
        </is>
      </c>
      <c r="G257" s="7" t="inlineStr">
        <is>
          <t>S06</t>
        </is>
      </c>
      <c r="H257" s="20" t="n">
        <v>3.9</v>
      </c>
      <c r="I257" s="21" t="n">
        <v>42</v>
      </c>
      <c r="J257" s="22" t="n">
        <v>1.998</v>
      </c>
      <c r="K257" s="9">
        <f>ROUND(H257*I257*J257, 2)</f>
        <v/>
      </c>
      <c r="L257" s="23">
        <f>ROUND(K257/1000, 3)</f>
        <v/>
      </c>
      <c r="M257" s="8">
        <f>IF(AO257="","",IF(INDEX(Theo_Doi_Tan_Suat_Be_Tong!$C:$C,AO257)="","",INDEX(Theo_Doi_Tan_Suat_Be_Tong!$C:$C,AO257)-VLOOKUP(AN257,$AQ$2:$AR$7,2,FALSE)))</f>
        <v/>
      </c>
      <c r="N257" s="6" t="n"/>
      <c r="O257" s="24">
        <f>IF(ROUNDUP(T257/20,0)&gt;ROUNDUP(T256/20,0),"TN Ø18 (Lần " &amp; ROUNDUP(T257/20,0) &amp; ")","")</f>
        <v/>
      </c>
      <c r="P257" s="20">
        <f>ROUND(P256+IF(AND(E257&lt;=10,F257&lt;&gt;"ASTM A416"),L257,0),3)</f>
        <v/>
      </c>
      <c r="Q257" s="20">
        <f>ROUND(Q256+IF(AND(E257=12,F257&lt;&gt;"ASTM A416"),L257,0),3)</f>
        <v/>
      </c>
      <c r="R257" s="20">
        <f>ROUND(R256+IF(AND(E257=14,F257&lt;&gt;"ASTM A416"),L257,0),3)</f>
        <v/>
      </c>
      <c r="S257" s="20">
        <f>ROUND(S256+IF(AND(E257=16,F257&lt;&gt;"ASTM A416"),L257,0),3)</f>
        <v/>
      </c>
      <c r="T257" s="20">
        <f>ROUND(T256+IF(AND(E257=18,F257&lt;&gt;"ASTM A416"),L257,0),3)</f>
        <v/>
      </c>
      <c r="U257" s="20">
        <f>ROUND(U256+IF(AND(E257=20,F257&lt;&gt;"ASTM A416"),L257,0),3)</f>
        <v/>
      </c>
      <c r="V257" s="20">
        <f>ROUND(V256+IF(AND(E257=22,F257&lt;&gt;"ASTM A416"),L257,0),3)</f>
        <v/>
      </c>
      <c r="W257" s="20">
        <f>ROUND(W256+IF(AND(E257=25,F257&lt;&gt;"ASTM A416"),L257,0),3)</f>
        <v/>
      </c>
      <c r="X257" s="20">
        <f>ROUND(X256+IF(AND(E257=28,F257&lt;&gt;"ASTM A416"),L257,0),3)</f>
        <v/>
      </c>
      <c r="Y257" s="20">
        <f>ROUND(Y256+IF(AND(E257=32,F257&lt;&gt;"ASTM A416"),L257,0),3)</f>
        <v/>
      </c>
      <c r="Z257" s="20">
        <f>ROUND(Z256+IF(F257="ASTM A416",L257,0),3)</f>
        <v/>
      </c>
      <c r="AA257" s="11">
        <f>IF(ROUNDUP(P257/20,0)&gt;ROUNDUP(P256/20,0),"Lần " &amp; ROUNDUP(P257/20,0),"")</f>
        <v/>
      </c>
      <c r="AB257" s="11">
        <f>IF(ROUNDUP(Q257/20,0)&gt;ROUNDUP(Q256/20,0),"Lần " &amp; ROUNDUP(Q257/20,0),"")</f>
        <v/>
      </c>
      <c r="AC257" s="11">
        <f>IF(ROUNDUP(R257/20,0)&gt;ROUNDUP(R256/20,0),"Lần " &amp; ROUNDUP(R257/20,0),"")</f>
        <v/>
      </c>
      <c r="AD257" s="11">
        <f>IF(ROUNDUP(S257/20,0)&gt;ROUNDUP(S256/20,0),"Lần " &amp; ROUNDUP(S257/20,0),"")</f>
        <v/>
      </c>
      <c r="AE257" s="11">
        <f>IF(ROUNDUP(T257/20,0)&gt;ROUNDUP(T256/20,0),"Lần " &amp; ROUNDUP(T257/20,0),"")</f>
        <v/>
      </c>
      <c r="AF257" s="11">
        <f>IF(ROUNDUP(U257/20,0)&gt;ROUNDUP(U256/20,0),"Lần " &amp; ROUNDUP(U257/20,0),"")</f>
        <v/>
      </c>
      <c r="AG257" s="11">
        <f>IF(ROUNDUP(V257/20,0)&gt;ROUNDUP(V256/20,0),"Lần " &amp; ROUNDUP(V257/20,0),"")</f>
        <v/>
      </c>
      <c r="AH257" s="11">
        <f>IF(ROUNDUP(W257/20,0)&gt;ROUNDUP(W256/20,0),"Lần " &amp; ROUNDUP(W257/20,0),"")</f>
        <v/>
      </c>
      <c r="AI257" s="11">
        <f>IF(ROUNDUP(X257/20,0)&gt;ROUNDUP(X256/20,0),"Lần " &amp; ROUNDUP(X257/20,0),"")</f>
        <v/>
      </c>
      <c r="AJ257" s="11">
        <f>IF(ROUNDUP(Y257/20,0)&gt;ROUNDUP(Y256/20,0),"Lần " &amp; ROUNDUP(Y257/20,0),"")</f>
        <v/>
      </c>
      <c r="AK257" s="11">
        <f>IF(ROUNDUP(Z257/20,0)&gt;ROUNDUP(Z256/20,0),"Lần " &amp; ROUNDUP(Z257/20,0),"")</f>
        <v/>
      </c>
      <c r="AL257" s="6" t="n"/>
      <c r="AN257" t="inlineStr">
        <is>
          <t>Dam</t>
        </is>
      </c>
      <c r="AO257" t="n">
        <v>59</v>
      </c>
    </row>
    <row r="258" ht="19" customHeight="1">
      <c r="A258" s="6" t="n">
        <v>249</v>
      </c>
      <c r="B258" s="7" t="inlineStr">
        <is>
          <t>Dầm chủ Super-T (15 phiến L=38.2m)</t>
        </is>
      </c>
      <c r="C258" s="7" t="inlineStr">
        <is>
          <t>Dầm S1B2 (tr.91)</t>
        </is>
      </c>
      <c r="D258" s="18" t="inlineStr">
        <is>
          <t>G6a</t>
        </is>
      </c>
      <c r="E258" s="19" t="n">
        <v>32</v>
      </c>
      <c r="F258" s="6" t="inlineStr">
        <is>
          <t>CB400-V</t>
        </is>
      </c>
      <c r="G258" s="7" t="inlineStr">
        <is>
          <t>S01</t>
        </is>
      </c>
      <c r="H258" s="20" t="n">
        <v>11.7</v>
      </c>
      <c r="I258" s="21" t="n">
        <v>27</v>
      </c>
      <c r="J258" s="22" t="n">
        <v>6.313</v>
      </c>
      <c r="K258" s="9">
        <f>ROUND(H258*I258*J258, 2)</f>
        <v/>
      </c>
      <c r="L258" s="23">
        <f>ROUND(K258/1000, 3)</f>
        <v/>
      </c>
      <c r="M258" s="8">
        <f>IF(AO258="","",IF(INDEX(Theo_Doi_Tan_Suat_Be_Tong!$C:$C,AO258)="","",INDEX(Theo_Doi_Tan_Suat_Be_Tong!$C:$C,AO258)-VLOOKUP(AN258,$AQ$2:$AR$7,2,FALSE)))</f>
        <v/>
      </c>
      <c r="N258" s="6" t="n"/>
      <c r="O258" s="24">
        <f>IF(ROUNDUP(Y258/20,0)&gt;ROUNDUP(Y257/20,0),"TN Ø32 (Lần " &amp; ROUNDUP(Y258/20,0) &amp; ")","")</f>
        <v/>
      </c>
      <c r="P258" s="20">
        <f>ROUND(P257+IF(AND(E258&lt;=10,F258&lt;&gt;"ASTM A416"),L258,0),3)</f>
        <v/>
      </c>
      <c r="Q258" s="20">
        <f>ROUND(Q257+IF(AND(E258=12,F258&lt;&gt;"ASTM A416"),L258,0),3)</f>
        <v/>
      </c>
      <c r="R258" s="20">
        <f>ROUND(R257+IF(AND(E258=14,F258&lt;&gt;"ASTM A416"),L258,0),3)</f>
        <v/>
      </c>
      <c r="S258" s="20">
        <f>ROUND(S257+IF(AND(E258=16,F258&lt;&gt;"ASTM A416"),L258,0),3)</f>
        <v/>
      </c>
      <c r="T258" s="20">
        <f>ROUND(T257+IF(AND(E258=18,F258&lt;&gt;"ASTM A416"),L258,0),3)</f>
        <v/>
      </c>
      <c r="U258" s="20">
        <f>ROUND(U257+IF(AND(E258=20,F258&lt;&gt;"ASTM A416"),L258,0),3)</f>
        <v/>
      </c>
      <c r="V258" s="20">
        <f>ROUND(V257+IF(AND(E258=22,F258&lt;&gt;"ASTM A416"),L258,0),3)</f>
        <v/>
      </c>
      <c r="W258" s="20">
        <f>ROUND(W257+IF(AND(E258=25,F258&lt;&gt;"ASTM A416"),L258,0),3)</f>
        <v/>
      </c>
      <c r="X258" s="20">
        <f>ROUND(X257+IF(AND(E258=28,F258&lt;&gt;"ASTM A416"),L258,0),3)</f>
        <v/>
      </c>
      <c r="Y258" s="20">
        <f>ROUND(Y257+IF(AND(E258=32,F258&lt;&gt;"ASTM A416"),L258,0),3)</f>
        <v/>
      </c>
      <c r="Z258" s="20">
        <f>ROUND(Z257+IF(F258="ASTM A416",L258,0),3)</f>
        <v/>
      </c>
      <c r="AA258" s="11">
        <f>IF(ROUNDUP(P258/20,0)&gt;ROUNDUP(P257/20,0),"Lần " &amp; ROUNDUP(P258/20,0),"")</f>
        <v/>
      </c>
      <c r="AB258" s="11">
        <f>IF(ROUNDUP(Q258/20,0)&gt;ROUNDUP(Q257/20,0),"Lần " &amp; ROUNDUP(Q258/20,0),"")</f>
        <v/>
      </c>
      <c r="AC258" s="11">
        <f>IF(ROUNDUP(R258/20,0)&gt;ROUNDUP(R257/20,0),"Lần " &amp; ROUNDUP(R258/20,0),"")</f>
        <v/>
      </c>
      <c r="AD258" s="11">
        <f>IF(ROUNDUP(S258/20,0)&gt;ROUNDUP(S257/20,0),"Lần " &amp; ROUNDUP(S258/20,0),"")</f>
        <v/>
      </c>
      <c r="AE258" s="11">
        <f>IF(ROUNDUP(T258/20,0)&gt;ROUNDUP(T257/20,0),"Lần " &amp; ROUNDUP(T258/20,0),"")</f>
        <v/>
      </c>
      <c r="AF258" s="11">
        <f>IF(ROUNDUP(U258/20,0)&gt;ROUNDUP(U257/20,0),"Lần " &amp; ROUNDUP(U258/20,0),"")</f>
        <v/>
      </c>
      <c r="AG258" s="11">
        <f>IF(ROUNDUP(V258/20,0)&gt;ROUNDUP(V257/20,0),"Lần " &amp; ROUNDUP(V258/20,0),"")</f>
        <v/>
      </c>
      <c r="AH258" s="11">
        <f>IF(ROUNDUP(W258/20,0)&gt;ROUNDUP(W257/20,0),"Lần " &amp; ROUNDUP(W258/20,0),"")</f>
        <v/>
      </c>
      <c r="AI258" s="11">
        <f>IF(ROUNDUP(X258/20,0)&gt;ROUNDUP(X257/20,0),"Lần " &amp; ROUNDUP(X258/20,0),"")</f>
        <v/>
      </c>
      <c r="AJ258" s="11">
        <f>IF(ROUNDUP(Y258/20,0)&gt;ROUNDUP(Y257/20,0),"Lần " &amp; ROUNDUP(Y258/20,0),"")</f>
        <v/>
      </c>
      <c r="AK258" s="11">
        <f>IF(ROUNDUP(Z258/20,0)&gt;ROUNDUP(Z257/20,0),"Lần " &amp; ROUNDUP(Z258/20,0),"")</f>
        <v/>
      </c>
      <c r="AL258" s="6" t="n"/>
      <c r="AN258" t="inlineStr">
        <is>
          <t>Dam</t>
        </is>
      </c>
      <c r="AO258" t="n">
        <v>59</v>
      </c>
    </row>
    <row r="259" ht="19" customHeight="1">
      <c r="A259" s="6" t="n">
        <v>250</v>
      </c>
      <c r="B259" s="7" t="inlineStr">
        <is>
          <t>Dầm chủ Super-T (15 phiến L=38.2m)</t>
        </is>
      </c>
      <c r="C259" s="7" t="inlineStr">
        <is>
          <t>Dầm S1B2 (tr.91)</t>
        </is>
      </c>
      <c r="D259" s="18" t="inlineStr">
        <is>
          <t>G6b</t>
        </is>
      </c>
      <c r="E259" s="19" t="n">
        <v>32</v>
      </c>
      <c r="F259" s="6" t="inlineStr">
        <is>
          <t>CB400-V</t>
        </is>
      </c>
      <c r="G259" s="7" t="inlineStr">
        <is>
          <t>S06</t>
        </is>
      </c>
      <c r="H259" s="20" t="n">
        <v>6.86</v>
      </c>
      <c r="I259" s="21" t="n">
        <v>9</v>
      </c>
      <c r="J259" s="22" t="n">
        <v>6.313</v>
      </c>
      <c r="K259" s="9">
        <f>ROUND(H259*I259*J259, 2)</f>
        <v/>
      </c>
      <c r="L259" s="23">
        <f>ROUND(K259/1000, 3)</f>
        <v/>
      </c>
      <c r="M259" s="8">
        <f>IF(AO259="","",IF(INDEX(Theo_Doi_Tan_Suat_Be_Tong!$C:$C,AO259)="","",INDEX(Theo_Doi_Tan_Suat_Be_Tong!$C:$C,AO259)-VLOOKUP(AN259,$AQ$2:$AR$7,2,FALSE)))</f>
        <v/>
      </c>
      <c r="N259" s="6" t="n"/>
      <c r="O259" s="24">
        <f>IF(ROUNDUP(Y259/20,0)&gt;ROUNDUP(Y258/20,0),"TN Ø32 (Lần " &amp; ROUNDUP(Y259/20,0) &amp; ")","")</f>
        <v/>
      </c>
      <c r="P259" s="20">
        <f>ROUND(P258+IF(AND(E259&lt;=10,F259&lt;&gt;"ASTM A416"),L259,0),3)</f>
        <v/>
      </c>
      <c r="Q259" s="20">
        <f>ROUND(Q258+IF(AND(E259=12,F259&lt;&gt;"ASTM A416"),L259,0),3)</f>
        <v/>
      </c>
      <c r="R259" s="20">
        <f>ROUND(R258+IF(AND(E259=14,F259&lt;&gt;"ASTM A416"),L259,0),3)</f>
        <v/>
      </c>
      <c r="S259" s="20">
        <f>ROUND(S258+IF(AND(E259=16,F259&lt;&gt;"ASTM A416"),L259,0),3)</f>
        <v/>
      </c>
      <c r="T259" s="20">
        <f>ROUND(T258+IF(AND(E259=18,F259&lt;&gt;"ASTM A416"),L259,0),3)</f>
        <v/>
      </c>
      <c r="U259" s="20">
        <f>ROUND(U258+IF(AND(E259=20,F259&lt;&gt;"ASTM A416"),L259,0),3)</f>
        <v/>
      </c>
      <c r="V259" s="20">
        <f>ROUND(V258+IF(AND(E259=22,F259&lt;&gt;"ASTM A416"),L259,0),3)</f>
        <v/>
      </c>
      <c r="W259" s="20">
        <f>ROUND(W258+IF(AND(E259=25,F259&lt;&gt;"ASTM A416"),L259,0),3)</f>
        <v/>
      </c>
      <c r="X259" s="20">
        <f>ROUND(X258+IF(AND(E259=28,F259&lt;&gt;"ASTM A416"),L259,0),3)</f>
        <v/>
      </c>
      <c r="Y259" s="20">
        <f>ROUND(Y258+IF(AND(E259=32,F259&lt;&gt;"ASTM A416"),L259,0),3)</f>
        <v/>
      </c>
      <c r="Z259" s="20">
        <f>ROUND(Z258+IF(F259="ASTM A416",L259,0),3)</f>
        <v/>
      </c>
      <c r="AA259" s="11">
        <f>IF(ROUNDUP(P259/20,0)&gt;ROUNDUP(P258/20,0),"Lần " &amp; ROUNDUP(P259/20,0),"")</f>
        <v/>
      </c>
      <c r="AB259" s="11">
        <f>IF(ROUNDUP(Q259/20,0)&gt;ROUNDUP(Q258/20,0),"Lần " &amp; ROUNDUP(Q259/20,0),"")</f>
        <v/>
      </c>
      <c r="AC259" s="11">
        <f>IF(ROUNDUP(R259/20,0)&gt;ROUNDUP(R258/20,0),"Lần " &amp; ROUNDUP(R259/20,0),"")</f>
        <v/>
      </c>
      <c r="AD259" s="11">
        <f>IF(ROUNDUP(S259/20,0)&gt;ROUNDUP(S258/20,0),"Lần " &amp; ROUNDUP(S259/20,0),"")</f>
        <v/>
      </c>
      <c r="AE259" s="11">
        <f>IF(ROUNDUP(T259/20,0)&gt;ROUNDUP(T258/20,0),"Lần " &amp; ROUNDUP(T259/20,0),"")</f>
        <v/>
      </c>
      <c r="AF259" s="11">
        <f>IF(ROUNDUP(U259/20,0)&gt;ROUNDUP(U258/20,0),"Lần " &amp; ROUNDUP(U259/20,0),"")</f>
        <v/>
      </c>
      <c r="AG259" s="11">
        <f>IF(ROUNDUP(V259/20,0)&gt;ROUNDUP(V258/20,0),"Lần " &amp; ROUNDUP(V259/20,0),"")</f>
        <v/>
      </c>
      <c r="AH259" s="11">
        <f>IF(ROUNDUP(W259/20,0)&gt;ROUNDUP(W258/20,0),"Lần " &amp; ROUNDUP(W259/20,0),"")</f>
        <v/>
      </c>
      <c r="AI259" s="11">
        <f>IF(ROUNDUP(X259/20,0)&gt;ROUNDUP(X258/20,0),"Lần " &amp; ROUNDUP(X259/20,0),"")</f>
        <v/>
      </c>
      <c r="AJ259" s="11">
        <f>IF(ROUNDUP(Y259/20,0)&gt;ROUNDUP(Y258/20,0),"Lần " &amp; ROUNDUP(Y259/20,0),"")</f>
        <v/>
      </c>
      <c r="AK259" s="11">
        <f>IF(ROUNDUP(Z259/20,0)&gt;ROUNDUP(Z258/20,0),"Lần " &amp; ROUNDUP(Z259/20,0),"")</f>
        <v/>
      </c>
      <c r="AL259" s="6" t="n"/>
      <c r="AN259" t="inlineStr">
        <is>
          <t>Dam</t>
        </is>
      </c>
      <c r="AO259" t="n">
        <v>59</v>
      </c>
    </row>
    <row r="260" ht="19" customHeight="1">
      <c r="A260" s="6" t="n">
        <v>251</v>
      </c>
      <c r="B260" s="7" t="inlineStr">
        <is>
          <t>Dầm chủ Super-T (15 phiến L=38.2m)</t>
        </is>
      </c>
      <c r="C260" s="7" t="inlineStr">
        <is>
          <t>Dầm S1B2 (tr.91)</t>
        </is>
      </c>
      <c r="D260" s="18" t="inlineStr">
        <is>
          <t>N1a</t>
        </is>
      </c>
      <c r="E260" s="19" t="n">
        <v>12</v>
      </c>
      <c r="F260" s="6" t="inlineStr">
        <is>
          <t>CB400-V</t>
        </is>
      </c>
      <c r="G260" s="7" t="inlineStr">
        <is>
          <t>S06</t>
        </is>
      </c>
      <c r="H260" s="20" t="n">
        <v>1.185</v>
      </c>
      <c r="I260" s="21" t="n">
        <v>111</v>
      </c>
      <c r="J260" s="22" t="n">
        <v>0.888</v>
      </c>
      <c r="K260" s="9">
        <f>ROUND(H260*I260*J260, 2)</f>
        <v/>
      </c>
      <c r="L260" s="23">
        <f>ROUND(K260/1000, 3)</f>
        <v/>
      </c>
      <c r="M260" s="8">
        <f>IF(AO260="","",IF(INDEX(Theo_Doi_Tan_Suat_Be_Tong!$C:$C,AO260)="","",INDEX(Theo_Doi_Tan_Suat_Be_Tong!$C:$C,AO260)-VLOOKUP(AN260,$AQ$2:$AR$7,2,FALSE)))</f>
        <v/>
      </c>
      <c r="N260" s="6" t="n"/>
      <c r="O260" s="24">
        <f>IF(ROUNDUP(Q260/20,0)&gt;ROUNDUP(Q259/20,0),"TN Ø12 (Lần " &amp; ROUNDUP(Q260/20,0) &amp; ")","")</f>
        <v/>
      </c>
      <c r="P260" s="20">
        <f>ROUND(P259+IF(AND(E260&lt;=10,F260&lt;&gt;"ASTM A416"),L260,0),3)</f>
        <v/>
      </c>
      <c r="Q260" s="20">
        <f>ROUND(Q259+IF(AND(E260=12,F260&lt;&gt;"ASTM A416"),L260,0),3)</f>
        <v/>
      </c>
      <c r="R260" s="20">
        <f>ROUND(R259+IF(AND(E260=14,F260&lt;&gt;"ASTM A416"),L260,0),3)</f>
        <v/>
      </c>
      <c r="S260" s="20">
        <f>ROUND(S259+IF(AND(E260=16,F260&lt;&gt;"ASTM A416"),L260,0),3)</f>
        <v/>
      </c>
      <c r="T260" s="20">
        <f>ROUND(T259+IF(AND(E260=18,F260&lt;&gt;"ASTM A416"),L260,0),3)</f>
        <v/>
      </c>
      <c r="U260" s="20">
        <f>ROUND(U259+IF(AND(E260=20,F260&lt;&gt;"ASTM A416"),L260,0),3)</f>
        <v/>
      </c>
      <c r="V260" s="20">
        <f>ROUND(V259+IF(AND(E260=22,F260&lt;&gt;"ASTM A416"),L260,0),3)</f>
        <v/>
      </c>
      <c r="W260" s="20">
        <f>ROUND(W259+IF(AND(E260=25,F260&lt;&gt;"ASTM A416"),L260,0),3)</f>
        <v/>
      </c>
      <c r="X260" s="20">
        <f>ROUND(X259+IF(AND(E260=28,F260&lt;&gt;"ASTM A416"),L260,0),3)</f>
        <v/>
      </c>
      <c r="Y260" s="20">
        <f>ROUND(Y259+IF(AND(E260=32,F260&lt;&gt;"ASTM A416"),L260,0),3)</f>
        <v/>
      </c>
      <c r="Z260" s="20">
        <f>ROUND(Z259+IF(F260="ASTM A416",L260,0),3)</f>
        <v/>
      </c>
      <c r="AA260" s="11">
        <f>IF(ROUNDUP(P260/20,0)&gt;ROUNDUP(P259/20,0),"Lần " &amp; ROUNDUP(P260/20,0),"")</f>
        <v/>
      </c>
      <c r="AB260" s="11">
        <f>IF(ROUNDUP(Q260/20,0)&gt;ROUNDUP(Q259/20,0),"Lần " &amp; ROUNDUP(Q260/20,0),"")</f>
        <v/>
      </c>
      <c r="AC260" s="11">
        <f>IF(ROUNDUP(R260/20,0)&gt;ROUNDUP(R259/20,0),"Lần " &amp; ROUNDUP(R260/20,0),"")</f>
        <v/>
      </c>
      <c r="AD260" s="11">
        <f>IF(ROUNDUP(S260/20,0)&gt;ROUNDUP(S259/20,0),"Lần " &amp; ROUNDUP(S260/20,0),"")</f>
        <v/>
      </c>
      <c r="AE260" s="11">
        <f>IF(ROUNDUP(T260/20,0)&gt;ROUNDUP(T259/20,0),"Lần " &amp; ROUNDUP(T260/20,0),"")</f>
        <v/>
      </c>
      <c r="AF260" s="11">
        <f>IF(ROUNDUP(U260/20,0)&gt;ROUNDUP(U259/20,0),"Lần " &amp; ROUNDUP(U260/20,0),"")</f>
        <v/>
      </c>
      <c r="AG260" s="11">
        <f>IF(ROUNDUP(V260/20,0)&gt;ROUNDUP(V259/20,0),"Lần " &amp; ROUNDUP(V260/20,0),"")</f>
        <v/>
      </c>
      <c r="AH260" s="11">
        <f>IF(ROUNDUP(W260/20,0)&gt;ROUNDUP(W259/20,0),"Lần " &amp; ROUNDUP(W260/20,0),"")</f>
        <v/>
      </c>
      <c r="AI260" s="11">
        <f>IF(ROUNDUP(X260/20,0)&gt;ROUNDUP(X259/20,0),"Lần " &amp; ROUNDUP(X260/20,0),"")</f>
        <v/>
      </c>
      <c r="AJ260" s="11">
        <f>IF(ROUNDUP(Y260/20,0)&gt;ROUNDUP(Y259/20,0),"Lần " &amp; ROUNDUP(Y260/20,0),"")</f>
        <v/>
      </c>
      <c r="AK260" s="11">
        <f>IF(ROUNDUP(Z260/20,0)&gt;ROUNDUP(Z259/20,0),"Lần " &amp; ROUNDUP(Z260/20,0),"")</f>
        <v/>
      </c>
      <c r="AL260" s="6" t="n"/>
      <c r="AN260" t="inlineStr">
        <is>
          <t>Dam</t>
        </is>
      </c>
      <c r="AO260" t="n">
        <v>59</v>
      </c>
    </row>
    <row r="261" ht="19" customHeight="1">
      <c r="A261" s="6" t="n">
        <v>252</v>
      </c>
      <c r="B261" s="7" t="inlineStr">
        <is>
          <t>Dầm chủ Super-T (15 phiến L=38.2m)</t>
        </is>
      </c>
      <c r="C261" s="7" t="inlineStr">
        <is>
          <t>Dầm S1B2 (tr.91)</t>
        </is>
      </c>
      <c r="D261" s="18" t="inlineStr">
        <is>
          <t>N1b</t>
        </is>
      </c>
      <c r="E261" s="19" t="n">
        <v>12</v>
      </c>
      <c r="F261" s="6" t="inlineStr">
        <is>
          <t>CB400-V</t>
        </is>
      </c>
      <c r="G261" s="7" t="inlineStr">
        <is>
          <t>S06</t>
        </is>
      </c>
      <c r="H261" s="20" t="n">
        <v>0.93</v>
      </c>
      <c r="I261" s="21" t="n">
        <v>777</v>
      </c>
      <c r="J261" s="22" t="n">
        <v>0.888</v>
      </c>
      <c r="K261" s="9">
        <f>ROUND(H261*I261*J261, 2)</f>
        <v/>
      </c>
      <c r="L261" s="23">
        <f>ROUND(K261/1000, 3)</f>
        <v/>
      </c>
      <c r="M261" s="8">
        <f>IF(AO261="","",IF(INDEX(Theo_Doi_Tan_Suat_Be_Tong!$C:$C,AO261)="","",INDEX(Theo_Doi_Tan_Suat_Be_Tong!$C:$C,AO261)-VLOOKUP(AN261,$AQ$2:$AR$7,2,FALSE)))</f>
        <v/>
      </c>
      <c r="N261" s="6" t="n"/>
      <c r="O261" s="24">
        <f>IF(ROUNDUP(Q261/20,0)&gt;ROUNDUP(Q260/20,0),"TN Ø12 (Lần " &amp; ROUNDUP(Q261/20,0) &amp; ")","")</f>
        <v/>
      </c>
      <c r="P261" s="20">
        <f>ROUND(P260+IF(AND(E261&lt;=10,F261&lt;&gt;"ASTM A416"),L261,0),3)</f>
        <v/>
      </c>
      <c r="Q261" s="20">
        <f>ROUND(Q260+IF(AND(E261=12,F261&lt;&gt;"ASTM A416"),L261,0),3)</f>
        <v/>
      </c>
      <c r="R261" s="20">
        <f>ROUND(R260+IF(AND(E261=14,F261&lt;&gt;"ASTM A416"),L261,0),3)</f>
        <v/>
      </c>
      <c r="S261" s="20">
        <f>ROUND(S260+IF(AND(E261=16,F261&lt;&gt;"ASTM A416"),L261,0),3)</f>
        <v/>
      </c>
      <c r="T261" s="20">
        <f>ROUND(T260+IF(AND(E261=18,F261&lt;&gt;"ASTM A416"),L261,0),3)</f>
        <v/>
      </c>
      <c r="U261" s="20">
        <f>ROUND(U260+IF(AND(E261=20,F261&lt;&gt;"ASTM A416"),L261,0),3)</f>
        <v/>
      </c>
      <c r="V261" s="20">
        <f>ROUND(V260+IF(AND(E261=22,F261&lt;&gt;"ASTM A416"),L261,0),3)</f>
        <v/>
      </c>
      <c r="W261" s="20">
        <f>ROUND(W260+IF(AND(E261=25,F261&lt;&gt;"ASTM A416"),L261,0),3)</f>
        <v/>
      </c>
      <c r="X261" s="20">
        <f>ROUND(X260+IF(AND(E261=28,F261&lt;&gt;"ASTM A416"),L261,0),3)</f>
        <v/>
      </c>
      <c r="Y261" s="20">
        <f>ROUND(Y260+IF(AND(E261=32,F261&lt;&gt;"ASTM A416"),L261,0),3)</f>
        <v/>
      </c>
      <c r="Z261" s="20">
        <f>ROUND(Z260+IF(F261="ASTM A416",L261,0),3)</f>
        <v/>
      </c>
      <c r="AA261" s="11">
        <f>IF(ROUNDUP(P261/20,0)&gt;ROUNDUP(P260/20,0),"Lần " &amp; ROUNDUP(P261/20,0),"")</f>
        <v/>
      </c>
      <c r="AB261" s="11">
        <f>IF(ROUNDUP(Q261/20,0)&gt;ROUNDUP(Q260/20,0),"Lần " &amp; ROUNDUP(Q261/20,0),"")</f>
        <v/>
      </c>
      <c r="AC261" s="11">
        <f>IF(ROUNDUP(R261/20,0)&gt;ROUNDUP(R260/20,0),"Lần " &amp; ROUNDUP(R261/20,0),"")</f>
        <v/>
      </c>
      <c r="AD261" s="11">
        <f>IF(ROUNDUP(S261/20,0)&gt;ROUNDUP(S260/20,0),"Lần " &amp; ROUNDUP(S261/20,0),"")</f>
        <v/>
      </c>
      <c r="AE261" s="11">
        <f>IF(ROUNDUP(T261/20,0)&gt;ROUNDUP(T260/20,0),"Lần " &amp; ROUNDUP(T261/20,0),"")</f>
        <v/>
      </c>
      <c r="AF261" s="11">
        <f>IF(ROUNDUP(U261/20,0)&gt;ROUNDUP(U260/20,0),"Lần " &amp; ROUNDUP(U261/20,0),"")</f>
        <v/>
      </c>
      <c r="AG261" s="11">
        <f>IF(ROUNDUP(V261/20,0)&gt;ROUNDUP(V260/20,0),"Lần " &amp; ROUNDUP(V261/20,0),"")</f>
        <v/>
      </c>
      <c r="AH261" s="11">
        <f>IF(ROUNDUP(W261/20,0)&gt;ROUNDUP(W260/20,0),"Lần " &amp; ROUNDUP(W261/20,0),"")</f>
        <v/>
      </c>
      <c r="AI261" s="11">
        <f>IF(ROUNDUP(X261/20,0)&gt;ROUNDUP(X260/20,0),"Lần " &amp; ROUNDUP(X261/20,0),"")</f>
        <v/>
      </c>
      <c r="AJ261" s="11">
        <f>IF(ROUNDUP(Y261/20,0)&gt;ROUNDUP(Y260/20,0),"Lần " &amp; ROUNDUP(Y261/20,0),"")</f>
        <v/>
      </c>
      <c r="AK261" s="11">
        <f>IF(ROUNDUP(Z261/20,0)&gt;ROUNDUP(Z260/20,0),"Lần " &amp; ROUNDUP(Z261/20,0),"")</f>
        <v/>
      </c>
      <c r="AL261" s="6" t="n"/>
      <c r="AN261" t="inlineStr">
        <is>
          <t>Dam</t>
        </is>
      </c>
      <c r="AO261" t="n">
        <v>59</v>
      </c>
    </row>
    <row r="262" ht="19" customHeight="1">
      <c r="A262" s="6" t="n">
        <v>253</v>
      </c>
      <c r="B262" s="7" t="inlineStr">
        <is>
          <t>Dầm chủ Super-T (15 phiến L=38.2m)</t>
        </is>
      </c>
      <c r="C262" s="7" t="inlineStr">
        <is>
          <t>Dầm S1B2 (tr.91)</t>
        </is>
      </c>
      <c r="D262" s="18" t="inlineStr">
        <is>
          <t>N2</t>
        </is>
      </c>
      <c r="E262" s="19" t="n">
        <v>12</v>
      </c>
      <c r="F262" s="6" t="inlineStr">
        <is>
          <t>CB400-V</t>
        </is>
      </c>
      <c r="G262" s="7" t="inlineStr">
        <is>
          <t>S06</t>
        </is>
      </c>
      <c r="H262" s="20" t="n">
        <v>3.664</v>
      </c>
      <c r="I262" s="21" t="n">
        <v>9</v>
      </c>
      <c r="J262" s="22" t="n">
        <v>0.888</v>
      </c>
      <c r="K262" s="9">
        <f>ROUND(H262*I262*J262, 2)</f>
        <v/>
      </c>
      <c r="L262" s="23">
        <f>ROUND(K262/1000, 3)</f>
        <v/>
      </c>
      <c r="M262" s="8">
        <f>IF(AO262="","",IF(INDEX(Theo_Doi_Tan_Suat_Be_Tong!$C:$C,AO262)="","",INDEX(Theo_Doi_Tan_Suat_Be_Tong!$C:$C,AO262)-VLOOKUP(AN262,$AQ$2:$AR$7,2,FALSE)))</f>
        <v/>
      </c>
      <c r="N262" s="6" t="n"/>
      <c r="O262" s="24">
        <f>IF(ROUNDUP(Q262/20,0)&gt;ROUNDUP(Q261/20,0),"TN Ø12 (Lần " &amp; ROUNDUP(Q262/20,0) &amp; ")","")</f>
        <v/>
      </c>
      <c r="P262" s="20">
        <f>ROUND(P261+IF(AND(E262&lt;=10,F262&lt;&gt;"ASTM A416"),L262,0),3)</f>
        <v/>
      </c>
      <c r="Q262" s="20">
        <f>ROUND(Q261+IF(AND(E262=12,F262&lt;&gt;"ASTM A416"),L262,0),3)</f>
        <v/>
      </c>
      <c r="R262" s="20">
        <f>ROUND(R261+IF(AND(E262=14,F262&lt;&gt;"ASTM A416"),L262,0),3)</f>
        <v/>
      </c>
      <c r="S262" s="20">
        <f>ROUND(S261+IF(AND(E262=16,F262&lt;&gt;"ASTM A416"),L262,0),3)</f>
        <v/>
      </c>
      <c r="T262" s="20">
        <f>ROUND(T261+IF(AND(E262=18,F262&lt;&gt;"ASTM A416"),L262,0),3)</f>
        <v/>
      </c>
      <c r="U262" s="20">
        <f>ROUND(U261+IF(AND(E262=20,F262&lt;&gt;"ASTM A416"),L262,0),3)</f>
        <v/>
      </c>
      <c r="V262" s="20">
        <f>ROUND(V261+IF(AND(E262=22,F262&lt;&gt;"ASTM A416"),L262,0),3)</f>
        <v/>
      </c>
      <c r="W262" s="20">
        <f>ROUND(W261+IF(AND(E262=25,F262&lt;&gt;"ASTM A416"),L262,0),3)</f>
        <v/>
      </c>
      <c r="X262" s="20">
        <f>ROUND(X261+IF(AND(E262=28,F262&lt;&gt;"ASTM A416"),L262,0),3)</f>
        <v/>
      </c>
      <c r="Y262" s="20">
        <f>ROUND(Y261+IF(AND(E262=32,F262&lt;&gt;"ASTM A416"),L262,0),3)</f>
        <v/>
      </c>
      <c r="Z262" s="20">
        <f>ROUND(Z261+IF(F262="ASTM A416",L262,0),3)</f>
        <v/>
      </c>
      <c r="AA262" s="11">
        <f>IF(ROUNDUP(P262/20,0)&gt;ROUNDUP(P261/20,0),"Lần " &amp; ROUNDUP(P262/20,0),"")</f>
        <v/>
      </c>
      <c r="AB262" s="11">
        <f>IF(ROUNDUP(Q262/20,0)&gt;ROUNDUP(Q261/20,0),"Lần " &amp; ROUNDUP(Q262/20,0),"")</f>
        <v/>
      </c>
      <c r="AC262" s="11">
        <f>IF(ROUNDUP(R262/20,0)&gt;ROUNDUP(R261/20,0),"Lần " &amp; ROUNDUP(R262/20,0),"")</f>
        <v/>
      </c>
      <c r="AD262" s="11">
        <f>IF(ROUNDUP(S262/20,0)&gt;ROUNDUP(S261/20,0),"Lần " &amp; ROUNDUP(S262/20,0),"")</f>
        <v/>
      </c>
      <c r="AE262" s="11">
        <f>IF(ROUNDUP(T262/20,0)&gt;ROUNDUP(T261/20,0),"Lần " &amp; ROUNDUP(T262/20,0),"")</f>
        <v/>
      </c>
      <c r="AF262" s="11">
        <f>IF(ROUNDUP(U262/20,0)&gt;ROUNDUP(U261/20,0),"Lần " &amp; ROUNDUP(U262/20,0),"")</f>
        <v/>
      </c>
      <c r="AG262" s="11">
        <f>IF(ROUNDUP(V262/20,0)&gt;ROUNDUP(V261/20,0),"Lần " &amp; ROUNDUP(V262/20,0),"")</f>
        <v/>
      </c>
      <c r="AH262" s="11">
        <f>IF(ROUNDUP(W262/20,0)&gt;ROUNDUP(W261/20,0),"Lần " &amp; ROUNDUP(W262/20,0),"")</f>
        <v/>
      </c>
      <c r="AI262" s="11">
        <f>IF(ROUNDUP(X262/20,0)&gt;ROUNDUP(X261/20,0),"Lần " &amp; ROUNDUP(X262/20,0),"")</f>
        <v/>
      </c>
      <c r="AJ262" s="11">
        <f>IF(ROUNDUP(Y262/20,0)&gt;ROUNDUP(Y261/20,0),"Lần " &amp; ROUNDUP(Y262/20,0),"")</f>
        <v/>
      </c>
      <c r="AK262" s="11">
        <f>IF(ROUNDUP(Z262/20,0)&gt;ROUNDUP(Z261/20,0),"Lần " &amp; ROUNDUP(Z262/20,0),"")</f>
        <v/>
      </c>
      <c r="AL262" s="6" t="n"/>
      <c r="AN262" t="inlineStr">
        <is>
          <t>Dam</t>
        </is>
      </c>
      <c r="AO262" t="n">
        <v>59</v>
      </c>
    </row>
    <row r="263" ht="19" customHeight="1">
      <c r="A263" s="6" t="n">
        <v>254</v>
      </c>
      <c r="B263" s="7" t="inlineStr">
        <is>
          <t>Dầm chủ Super-T (15 phiến L=38.2m)</t>
        </is>
      </c>
      <c r="C263" s="7" t="inlineStr">
        <is>
          <t>Dầm S1B2 (tr.91)</t>
        </is>
      </c>
      <c r="D263" s="18" t="inlineStr">
        <is>
          <t>E1</t>
        </is>
      </c>
      <c r="E263" s="19" t="n">
        <v>16</v>
      </c>
      <c r="F263" s="6" t="inlineStr">
        <is>
          <t>CB400-V</t>
        </is>
      </c>
      <c r="G263" s="7" t="inlineStr">
        <is>
          <t>S06</t>
        </is>
      </c>
      <c r="H263" s="20" t="n">
        <v>2.376</v>
      </c>
      <c r="I263" s="21" t="n">
        <v>756</v>
      </c>
      <c r="J263" s="22" t="n">
        <v>1.578</v>
      </c>
      <c r="K263" s="9">
        <f>ROUND(H263*I263*J263, 2)</f>
        <v/>
      </c>
      <c r="L263" s="23">
        <f>ROUND(K263/1000, 3)</f>
        <v/>
      </c>
      <c r="M263" s="8">
        <f>IF(AO263="","",IF(INDEX(Theo_Doi_Tan_Suat_Be_Tong!$C:$C,AO263)="","",INDEX(Theo_Doi_Tan_Suat_Be_Tong!$C:$C,AO263)-VLOOKUP(AN263,$AQ$2:$AR$7,2,FALSE)))</f>
        <v/>
      </c>
      <c r="N263" s="6" t="n"/>
      <c r="O263" s="24">
        <f>IF(ROUNDUP(S263/20,0)&gt;ROUNDUP(S262/20,0),"TN Ø16 (Lần " &amp; ROUNDUP(S263/20,0) &amp; ")","")</f>
        <v/>
      </c>
      <c r="P263" s="20">
        <f>ROUND(P262+IF(AND(E263&lt;=10,F263&lt;&gt;"ASTM A416"),L263,0),3)</f>
        <v/>
      </c>
      <c r="Q263" s="20">
        <f>ROUND(Q262+IF(AND(E263=12,F263&lt;&gt;"ASTM A416"),L263,0),3)</f>
        <v/>
      </c>
      <c r="R263" s="20">
        <f>ROUND(R262+IF(AND(E263=14,F263&lt;&gt;"ASTM A416"),L263,0),3)</f>
        <v/>
      </c>
      <c r="S263" s="20">
        <f>ROUND(S262+IF(AND(E263=16,F263&lt;&gt;"ASTM A416"),L263,0),3)</f>
        <v/>
      </c>
      <c r="T263" s="20">
        <f>ROUND(T262+IF(AND(E263=18,F263&lt;&gt;"ASTM A416"),L263,0),3)</f>
        <v/>
      </c>
      <c r="U263" s="20">
        <f>ROUND(U262+IF(AND(E263=20,F263&lt;&gt;"ASTM A416"),L263,0),3)</f>
        <v/>
      </c>
      <c r="V263" s="20">
        <f>ROUND(V262+IF(AND(E263=22,F263&lt;&gt;"ASTM A416"),L263,0),3)</f>
        <v/>
      </c>
      <c r="W263" s="20">
        <f>ROUND(W262+IF(AND(E263=25,F263&lt;&gt;"ASTM A416"),L263,0),3)</f>
        <v/>
      </c>
      <c r="X263" s="20">
        <f>ROUND(X262+IF(AND(E263=28,F263&lt;&gt;"ASTM A416"),L263,0),3)</f>
        <v/>
      </c>
      <c r="Y263" s="20">
        <f>ROUND(Y262+IF(AND(E263=32,F263&lt;&gt;"ASTM A416"),L263,0),3)</f>
        <v/>
      </c>
      <c r="Z263" s="20">
        <f>ROUND(Z262+IF(F263="ASTM A416",L263,0),3)</f>
        <v/>
      </c>
      <c r="AA263" s="11">
        <f>IF(ROUNDUP(P263/20,0)&gt;ROUNDUP(P262/20,0),"Lần " &amp; ROUNDUP(P263/20,0),"")</f>
        <v/>
      </c>
      <c r="AB263" s="11">
        <f>IF(ROUNDUP(Q263/20,0)&gt;ROUNDUP(Q262/20,0),"Lần " &amp; ROUNDUP(Q263/20,0),"")</f>
        <v/>
      </c>
      <c r="AC263" s="11">
        <f>IF(ROUNDUP(R263/20,0)&gt;ROUNDUP(R262/20,0),"Lần " &amp; ROUNDUP(R263/20,0),"")</f>
        <v/>
      </c>
      <c r="AD263" s="11">
        <f>IF(ROUNDUP(S263/20,0)&gt;ROUNDUP(S262/20,0),"Lần " &amp; ROUNDUP(S263/20,0),"")</f>
        <v/>
      </c>
      <c r="AE263" s="11">
        <f>IF(ROUNDUP(T263/20,0)&gt;ROUNDUP(T262/20,0),"Lần " &amp; ROUNDUP(T263/20,0),"")</f>
        <v/>
      </c>
      <c r="AF263" s="11">
        <f>IF(ROUNDUP(U263/20,0)&gt;ROUNDUP(U262/20,0),"Lần " &amp; ROUNDUP(U263/20,0),"")</f>
        <v/>
      </c>
      <c r="AG263" s="11">
        <f>IF(ROUNDUP(V263/20,0)&gt;ROUNDUP(V262/20,0),"Lần " &amp; ROUNDUP(V263/20,0),"")</f>
        <v/>
      </c>
      <c r="AH263" s="11">
        <f>IF(ROUNDUP(W263/20,0)&gt;ROUNDUP(W262/20,0),"Lần " &amp; ROUNDUP(W263/20,0),"")</f>
        <v/>
      </c>
      <c r="AI263" s="11">
        <f>IF(ROUNDUP(X263/20,0)&gt;ROUNDUP(X262/20,0),"Lần " &amp; ROUNDUP(X263/20,0),"")</f>
        <v/>
      </c>
      <c r="AJ263" s="11">
        <f>IF(ROUNDUP(Y263/20,0)&gt;ROUNDUP(Y262/20,0),"Lần " &amp; ROUNDUP(Y263/20,0),"")</f>
        <v/>
      </c>
      <c r="AK263" s="11">
        <f>IF(ROUNDUP(Z263/20,0)&gt;ROUNDUP(Z262/20,0),"Lần " &amp; ROUNDUP(Z263/20,0),"")</f>
        <v/>
      </c>
      <c r="AL263" s="6" t="n"/>
      <c r="AN263" t="inlineStr">
        <is>
          <t>Dam</t>
        </is>
      </c>
      <c r="AO263" t="n">
        <v>59</v>
      </c>
    </row>
    <row r="264" ht="19" customHeight="1">
      <c r="A264" s="6" t="n">
        <v>255</v>
      </c>
      <c r="B264" s="7" t="inlineStr">
        <is>
          <t>Dầm chủ Super-T (15 phiến L=38.2m)</t>
        </is>
      </c>
      <c r="C264" s="7" t="inlineStr">
        <is>
          <t>Dầm S1B2 (tr.91)</t>
        </is>
      </c>
      <c r="D264" s="18" t="inlineStr">
        <is>
          <t>E2</t>
        </is>
      </c>
      <c r="E264" s="19" t="n">
        <v>16</v>
      </c>
      <c r="F264" s="6" t="inlineStr">
        <is>
          <t>CB400-V</t>
        </is>
      </c>
      <c r="G264" s="7" t="inlineStr">
        <is>
          <t>S06</t>
        </is>
      </c>
      <c r="H264" s="20" t="n">
        <v>3.932</v>
      </c>
      <c r="I264" s="21" t="n">
        <v>60</v>
      </c>
      <c r="J264" s="22" t="n">
        <v>1.578</v>
      </c>
      <c r="K264" s="9">
        <f>ROUND(H264*I264*J264, 2)</f>
        <v/>
      </c>
      <c r="L264" s="23">
        <f>ROUND(K264/1000, 3)</f>
        <v/>
      </c>
      <c r="M264" s="8">
        <f>IF(AO264="","",IF(INDEX(Theo_Doi_Tan_Suat_Be_Tong!$C:$C,AO264)="","",INDEX(Theo_Doi_Tan_Suat_Be_Tong!$C:$C,AO264)-VLOOKUP(AN264,$AQ$2:$AR$7,2,FALSE)))</f>
        <v/>
      </c>
      <c r="N264" s="6" t="n"/>
      <c r="O264" s="24">
        <f>IF(ROUNDUP(S264/20,0)&gt;ROUNDUP(S263/20,0),"TN Ø16 (Lần " &amp; ROUNDUP(S264/20,0) &amp; ")","")</f>
        <v/>
      </c>
      <c r="P264" s="20">
        <f>ROUND(P263+IF(AND(E264&lt;=10,F264&lt;&gt;"ASTM A416"),L264,0),3)</f>
        <v/>
      </c>
      <c r="Q264" s="20">
        <f>ROUND(Q263+IF(AND(E264=12,F264&lt;&gt;"ASTM A416"),L264,0),3)</f>
        <v/>
      </c>
      <c r="R264" s="20">
        <f>ROUND(R263+IF(AND(E264=14,F264&lt;&gt;"ASTM A416"),L264,0),3)</f>
        <v/>
      </c>
      <c r="S264" s="20">
        <f>ROUND(S263+IF(AND(E264=16,F264&lt;&gt;"ASTM A416"),L264,0),3)</f>
        <v/>
      </c>
      <c r="T264" s="20">
        <f>ROUND(T263+IF(AND(E264=18,F264&lt;&gt;"ASTM A416"),L264,0),3)</f>
        <v/>
      </c>
      <c r="U264" s="20">
        <f>ROUND(U263+IF(AND(E264=20,F264&lt;&gt;"ASTM A416"),L264,0),3)</f>
        <v/>
      </c>
      <c r="V264" s="20">
        <f>ROUND(V263+IF(AND(E264=22,F264&lt;&gt;"ASTM A416"),L264,0),3)</f>
        <v/>
      </c>
      <c r="W264" s="20">
        <f>ROUND(W263+IF(AND(E264=25,F264&lt;&gt;"ASTM A416"),L264,0),3)</f>
        <v/>
      </c>
      <c r="X264" s="20">
        <f>ROUND(X263+IF(AND(E264=28,F264&lt;&gt;"ASTM A416"),L264,0),3)</f>
        <v/>
      </c>
      <c r="Y264" s="20">
        <f>ROUND(Y263+IF(AND(E264=32,F264&lt;&gt;"ASTM A416"),L264,0),3)</f>
        <v/>
      </c>
      <c r="Z264" s="20">
        <f>ROUND(Z263+IF(F264="ASTM A416",L264,0),3)</f>
        <v/>
      </c>
      <c r="AA264" s="11">
        <f>IF(ROUNDUP(P264/20,0)&gt;ROUNDUP(P263/20,0),"Lần " &amp; ROUNDUP(P264/20,0),"")</f>
        <v/>
      </c>
      <c r="AB264" s="11">
        <f>IF(ROUNDUP(Q264/20,0)&gt;ROUNDUP(Q263/20,0),"Lần " &amp; ROUNDUP(Q264/20,0),"")</f>
        <v/>
      </c>
      <c r="AC264" s="11">
        <f>IF(ROUNDUP(R264/20,0)&gt;ROUNDUP(R263/20,0),"Lần " &amp; ROUNDUP(R264/20,0),"")</f>
        <v/>
      </c>
      <c r="AD264" s="11">
        <f>IF(ROUNDUP(S264/20,0)&gt;ROUNDUP(S263/20,0),"Lần " &amp; ROUNDUP(S264/20,0),"")</f>
        <v/>
      </c>
      <c r="AE264" s="11">
        <f>IF(ROUNDUP(T264/20,0)&gt;ROUNDUP(T263/20,0),"Lần " &amp; ROUNDUP(T264/20,0),"")</f>
        <v/>
      </c>
      <c r="AF264" s="11">
        <f>IF(ROUNDUP(U264/20,0)&gt;ROUNDUP(U263/20,0),"Lần " &amp; ROUNDUP(U264/20,0),"")</f>
        <v/>
      </c>
      <c r="AG264" s="11">
        <f>IF(ROUNDUP(V264/20,0)&gt;ROUNDUP(V263/20,0),"Lần " &amp; ROUNDUP(V264/20,0),"")</f>
        <v/>
      </c>
      <c r="AH264" s="11">
        <f>IF(ROUNDUP(W264/20,0)&gt;ROUNDUP(W263/20,0),"Lần " &amp; ROUNDUP(W264/20,0),"")</f>
        <v/>
      </c>
      <c r="AI264" s="11">
        <f>IF(ROUNDUP(X264/20,0)&gt;ROUNDUP(X263/20,0),"Lần " &amp; ROUNDUP(X264/20,0),"")</f>
        <v/>
      </c>
      <c r="AJ264" s="11">
        <f>IF(ROUNDUP(Y264/20,0)&gt;ROUNDUP(Y263/20,0),"Lần " &amp; ROUNDUP(Y264/20,0),"")</f>
        <v/>
      </c>
      <c r="AK264" s="11">
        <f>IF(ROUNDUP(Z264/20,0)&gt;ROUNDUP(Z263/20,0),"Lần " &amp; ROUNDUP(Z264/20,0),"")</f>
        <v/>
      </c>
      <c r="AL264" s="6" t="n"/>
      <c r="AN264" t="inlineStr">
        <is>
          <t>Dam</t>
        </is>
      </c>
      <c r="AO264" t="n">
        <v>59</v>
      </c>
    </row>
    <row r="265" ht="19" customHeight="1">
      <c r="A265" s="6" t="n">
        <v>256</v>
      </c>
      <c r="B265" s="7" t="inlineStr">
        <is>
          <t>Dầm chủ Super-T (15 phiến L=38.2m)</t>
        </is>
      </c>
      <c r="C265" s="7" t="inlineStr">
        <is>
          <t>Dầm S1B2 (tr.91)</t>
        </is>
      </c>
      <c r="D265" s="18" t="inlineStr">
        <is>
          <t>Thanh neo</t>
        </is>
      </c>
      <c r="E265" s="19" t="n">
        <v>20</v>
      </c>
      <c r="F265" s="6" t="inlineStr">
        <is>
          <t>CB400-V</t>
        </is>
      </c>
      <c r="G265" s="7" t="inlineStr">
        <is>
          <t>S06</t>
        </is>
      </c>
      <c r="H265" s="20" t="n">
        <v>0.11</v>
      </c>
      <c r="I265" s="21" t="n">
        <v>24</v>
      </c>
      <c r="J265" s="22" t="n">
        <v>2.466</v>
      </c>
      <c r="K265" s="9">
        <f>ROUND(H265*I265*J265, 2)</f>
        <v/>
      </c>
      <c r="L265" s="23">
        <f>ROUND(K265/1000, 3)</f>
        <v/>
      </c>
      <c r="M265" s="8">
        <f>IF(AO265="","",IF(INDEX(Theo_Doi_Tan_Suat_Be_Tong!$C:$C,AO265)="","",INDEX(Theo_Doi_Tan_Suat_Be_Tong!$C:$C,AO265)-VLOOKUP(AN265,$AQ$2:$AR$7,2,FALSE)))</f>
        <v/>
      </c>
      <c r="N265" s="6" t="n"/>
      <c r="O265" s="24">
        <f>IF(ROUNDUP(U265/20,0)&gt;ROUNDUP(U264/20,0),"TN Ø20 (Lần " &amp; ROUNDUP(U265/20,0) &amp; ")","")</f>
        <v/>
      </c>
      <c r="P265" s="20">
        <f>ROUND(P264+IF(AND(E265&lt;=10,F265&lt;&gt;"ASTM A416"),L265,0),3)</f>
        <v/>
      </c>
      <c r="Q265" s="20">
        <f>ROUND(Q264+IF(AND(E265=12,F265&lt;&gt;"ASTM A416"),L265,0),3)</f>
        <v/>
      </c>
      <c r="R265" s="20">
        <f>ROUND(R264+IF(AND(E265=14,F265&lt;&gt;"ASTM A416"),L265,0),3)</f>
        <v/>
      </c>
      <c r="S265" s="20">
        <f>ROUND(S264+IF(AND(E265=16,F265&lt;&gt;"ASTM A416"),L265,0),3)</f>
        <v/>
      </c>
      <c r="T265" s="20">
        <f>ROUND(T264+IF(AND(E265=18,F265&lt;&gt;"ASTM A416"),L265,0),3)</f>
        <v/>
      </c>
      <c r="U265" s="20">
        <f>ROUND(U264+IF(AND(E265=20,F265&lt;&gt;"ASTM A416"),L265,0),3)</f>
        <v/>
      </c>
      <c r="V265" s="20">
        <f>ROUND(V264+IF(AND(E265=22,F265&lt;&gt;"ASTM A416"),L265,0),3)</f>
        <v/>
      </c>
      <c r="W265" s="20">
        <f>ROUND(W264+IF(AND(E265=25,F265&lt;&gt;"ASTM A416"),L265,0),3)</f>
        <v/>
      </c>
      <c r="X265" s="20">
        <f>ROUND(X264+IF(AND(E265=28,F265&lt;&gt;"ASTM A416"),L265,0),3)</f>
        <v/>
      </c>
      <c r="Y265" s="20">
        <f>ROUND(Y264+IF(AND(E265=32,F265&lt;&gt;"ASTM A416"),L265,0),3)</f>
        <v/>
      </c>
      <c r="Z265" s="20">
        <f>ROUND(Z264+IF(F265="ASTM A416",L265,0),3)</f>
        <v/>
      </c>
      <c r="AA265" s="11">
        <f>IF(ROUNDUP(P265/20,0)&gt;ROUNDUP(P264/20,0),"Lần " &amp; ROUNDUP(P265/20,0),"")</f>
        <v/>
      </c>
      <c r="AB265" s="11">
        <f>IF(ROUNDUP(Q265/20,0)&gt;ROUNDUP(Q264/20,0),"Lần " &amp; ROUNDUP(Q265/20,0),"")</f>
        <v/>
      </c>
      <c r="AC265" s="11">
        <f>IF(ROUNDUP(R265/20,0)&gt;ROUNDUP(R264/20,0),"Lần " &amp; ROUNDUP(R265/20,0),"")</f>
        <v/>
      </c>
      <c r="AD265" s="11">
        <f>IF(ROUNDUP(S265/20,0)&gt;ROUNDUP(S264/20,0),"Lần " &amp; ROUNDUP(S265/20,0),"")</f>
        <v/>
      </c>
      <c r="AE265" s="11">
        <f>IF(ROUNDUP(T265/20,0)&gt;ROUNDUP(T264/20,0),"Lần " &amp; ROUNDUP(T265/20,0),"")</f>
        <v/>
      </c>
      <c r="AF265" s="11">
        <f>IF(ROUNDUP(U265/20,0)&gt;ROUNDUP(U264/20,0),"Lần " &amp; ROUNDUP(U265/20,0),"")</f>
        <v/>
      </c>
      <c r="AG265" s="11">
        <f>IF(ROUNDUP(V265/20,0)&gt;ROUNDUP(V264/20,0),"Lần " &amp; ROUNDUP(V265/20,0),"")</f>
        <v/>
      </c>
      <c r="AH265" s="11">
        <f>IF(ROUNDUP(W265/20,0)&gt;ROUNDUP(W264/20,0),"Lần " &amp; ROUNDUP(W265/20,0),"")</f>
        <v/>
      </c>
      <c r="AI265" s="11">
        <f>IF(ROUNDUP(X265/20,0)&gt;ROUNDUP(X264/20,0),"Lần " &amp; ROUNDUP(X265/20,0),"")</f>
        <v/>
      </c>
      <c r="AJ265" s="11">
        <f>IF(ROUNDUP(Y265/20,0)&gt;ROUNDUP(Y264/20,0),"Lần " &amp; ROUNDUP(Y265/20,0),"")</f>
        <v/>
      </c>
      <c r="AK265" s="11">
        <f>IF(ROUNDUP(Z265/20,0)&gt;ROUNDUP(Z264/20,0),"Lần " &amp; ROUNDUP(Z265/20,0),"")</f>
        <v/>
      </c>
      <c r="AL265" s="6" t="n"/>
      <c r="AN265" t="inlineStr">
        <is>
          <t>Dam</t>
        </is>
      </c>
      <c r="AO265" t="n">
        <v>59</v>
      </c>
    </row>
    <row r="266" ht="19" customHeight="1">
      <c r="A266" s="6" t="n">
        <v>257</v>
      </c>
      <c r="B266" s="7" t="inlineStr">
        <is>
          <t>Dầm chủ Super-T (15 phiến L=38.2m)</t>
        </is>
      </c>
      <c r="C266" s="7" t="inlineStr">
        <is>
          <t>Dầm S1B2 (tr.91)</t>
        </is>
      </c>
      <c r="D266" s="18" t="inlineStr">
        <is>
          <t>K1a</t>
        </is>
      </c>
      <c r="E266" s="19" t="n">
        <v>16</v>
      </c>
      <c r="F266" s="6" t="inlineStr">
        <is>
          <t>CB400-V</t>
        </is>
      </c>
      <c r="G266" s="7" t="inlineStr">
        <is>
          <t>S06</t>
        </is>
      </c>
      <c r="H266" s="20" t="n">
        <v>0.976</v>
      </c>
      <c r="I266" s="21" t="n">
        <v>24</v>
      </c>
      <c r="J266" s="22" t="n">
        <v>1.578</v>
      </c>
      <c r="K266" s="9">
        <f>ROUND(H266*I266*J266, 2)</f>
        <v/>
      </c>
      <c r="L266" s="23">
        <f>ROUND(K266/1000, 3)</f>
        <v/>
      </c>
      <c r="M266" s="8">
        <f>IF(AO266="","",IF(INDEX(Theo_Doi_Tan_Suat_Be_Tong!$C:$C,AO266)="","",INDEX(Theo_Doi_Tan_Suat_Be_Tong!$C:$C,AO266)-VLOOKUP(AN266,$AQ$2:$AR$7,2,FALSE)))</f>
        <v/>
      </c>
      <c r="N266" s="6" t="n"/>
      <c r="O266" s="24">
        <f>IF(ROUNDUP(S266/20,0)&gt;ROUNDUP(S265/20,0),"TN Ø16 (Lần " &amp; ROUNDUP(S266/20,0) &amp; ")","")</f>
        <v/>
      </c>
      <c r="P266" s="20">
        <f>ROUND(P265+IF(AND(E266&lt;=10,F266&lt;&gt;"ASTM A416"),L266,0),3)</f>
        <v/>
      </c>
      <c r="Q266" s="20">
        <f>ROUND(Q265+IF(AND(E266=12,F266&lt;&gt;"ASTM A416"),L266,0),3)</f>
        <v/>
      </c>
      <c r="R266" s="20">
        <f>ROUND(R265+IF(AND(E266=14,F266&lt;&gt;"ASTM A416"),L266,0),3)</f>
        <v/>
      </c>
      <c r="S266" s="20">
        <f>ROUND(S265+IF(AND(E266=16,F266&lt;&gt;"ASTM A416"),L266,0),3)</f>
        <v/>
      </c>
      <c r="T266" s="20">
        <f>ROUND(T265+IF(AND(E266=18,F266&lt;&gt;"ASTM A416"),L266,0),3)</f>
        <v/>
      </c>
      <c r="U266" s="20">
        <f>ROUND(U265+IF(AND(E266=20,F266&lt;&gt;"ASTM A416"),L266,0),3)</f>
        <v/>
      </c>
      <c r="V266" s="20">
        <f>ROUND(V265+IF(AND(E266=22,F266&lt;&gt;"ASTM A416"),L266,0),3)</f>
        <v/>
      </c>
      <c r="W266" s="20">
        <f>ROUND(W265+IF(AND(E266=25,F266&lt;&gt;"ASTM A416"),L266,0),3)</f>
        <v/>
      </c>
      <c r="X266" s="20">
        <f>ROUND(X265+IF(AND(E266=28,F266&lt;&gt;"ASTM A416"),L266,0),3)</f>
        <v/>
      </c>
      <c r="Y266" s="20">
        <f>ROUND(Y265+IF(AND(E266=32,F266&lt;&gt;"ASTM A416"),L266,0),3)</f>
        <v/>
      </c>
      <c r="Z266" s="20">
        <f>ROUND(Z265+IF(F266="ASTM A416",L266,0),3)</f>
        <v/>
      </c>
      <c r="AA266" s="11">
        <f>IF(ROUNDUP(P266/20,0)&gt;ROUNDUP(P265/20,0),"Lần " &amp; ROUNDUP(P266/20,0),"")</f>
        <v/>
      </c>
      <c r="AB266" s="11">
        <f>IF(ROUNDUP(Q266/20,0)&gt;ROUNDUP(Q265/20,0),"Lần " &amp; ROUNDUP(Q266/20,0),"")</f>
        <v/>
      </c>
      <c r="AC266" s="11">
        <f>IF(ROUNDUP(R266/20,0)&gt;ROUNDUP(R265/20,0),"Lần " &amp; ROUNDUP(R266/20,0),"")</f>
        <v/>
      </c>
      <c r="AD266" s="11">
        <f>IF(ROUNDUP(S266/20,0)&gt;ROUNDUP(S265/20,0),"Lần " &amp; ROUNDUP(S266/20,0),"")</f>
        <v/>
      </c>
      <c r="AE266" s="11">
        <f>IF(ROUNDUP(T266/20,0)&gt;ROUNDUP(T265/20,0),"Lần " &amp; ROUNDUP(T266/20,0),"")</f>
        <v/>
      </c>
      <c r="AF266" s="11">
        <f>IF(ROUNDUP(U266/20,0)&gt;ROUNDUP(U265/20,0),"Lần " &amp; ROUNDUP(U266/20,0),"")</f>
        <v/>
      </c>
      <c r="AG266" s="11">
        <f>IF(ROUNDUP(V266/20,0)&gt;ROUNDUP(V265/20,0),"Lần " &amp; ROUNDUP(V266/20,0),"")</f>
        <v/>
      </c>
      <c r="AH266" s="11">
        <f>IF(ROUNDUP(W266/20,0)&gt;ROUNDUP(W265/20,0),"Lần " &amp; ROUNDUP(W266/20,0),"")</f>
        <v/>
      </c>
      <c r="AI266" s="11">
        <f>IF(ROUNDUP(X266/20,0)&gt;ROUNDUP(X265/20,0),"Lần " &amp; ROUNDUP(X266/20,0),"")</f>
        <v/>
      </c>
      <c r="AJ266" s="11">
        <f>IF(ROUNDUP(Y266/20,0)&gt;ROUNDUP(Y265/20,0),"Lần " &amp; ROUNDUP(Y266/20,0),"")</f>
        <v/>
      </c>
      <c r="AK266" s="11">
        <f>IF(ROUNDUP(Z266/20,0)&gt;ROUNDUP(Z265/20,0),"Lần " &amp; ROUNDUP(Z266/20,0),"")</f>
        <v/>
      </c>
      <c r="AL266" s="6" t="n"/>
      <c r="AN266" t="inlineStr">
        <is>
          <t>Dam</t>
        </is>
      </c>
      <c r="AO266" t="n">
        <v>59</v>
      </c>
    </row>
    <row r="267" ht="19" customHeight="1">
      <c r="A267" s="6" t="n">
        <v>258</v>
      </c>
      <c r="B267" s="7" t="inlineStr">
        <is>
          <t>Dầm chủ Super-T (15 phiến L=38.2m)</t>
        </is>
      </c>
      <c r="C267" s="7" t="inlineStr">
        <is>
          <t>Dầm S1B2 (tr.91)</t>
        </is>
      </c>
      <c r="D267" s="18" t="inlineStr">
        <is>
          <t>K1b</t>
        </is>
      </c>
      <c r="E267" s="19" t="n">
        <v>16</v>
      </c>
      <c r="F267" s="6" t="inlineStr">
        <is>
          <t>CB400-V</t>
        </is>
      </c>
      <c r="G267" s="7" t="inlineStr">
        <is>
          <t>S06</t>
        </is>
      </c>
      <c r="H267" s="20" t="n">
        <v>0.776</v>
      </c>
      <c r="I267" s="21" t="n">
        <v>24</v>
      </c>
      <c r="J267" s="22" t="n">
        <v>1.578</v>
      </c>
      <c r="K267" s="9">
        <f>ROUND(H267*I267*J267, 2)</f>
        <v/>
      </c>
      <c r="L267" s="23">
        <f>ROUND(K267/1000, 3)</f>
        <v/>
      </c>
      <c r="M267" s="8">
        <f>IF(AO267="","",IF(INDEX(Theo_Doi_Tan_Suat_Be_Tong!$C:$C,AO267)="","",INDEX(Theo_Doi_Tan_Suat_Be_Tong!$C:$C,AO267)-VLOOKUP(AN267,$AQ$2:$AR$7,2,FALSE)))</f>
        <v/>
      </c>
      <c r="N267" s="6" t="n"/>
      <c r="O267" s="24">
        <f>IF(ROUNDUP(S267/20,0)&gt;ROUNDUP(S266/20,0),"TN Ø16 (Lần " &amp; ROUNDUP(S267/20,0) &amp; ")","")</f>
        <v/>
      </c>
      <c r="P267" s="20">
        <f>ROUND(P266+IF(AND(E267&lt;=10,F267&lt;&gt;"ASTM A416"),L267,0),3)</f>
        <v/>
      </c>
      <c r="Q267" s="20">
        <f>ROUND(Q266+IF(AND(E267=12,F267&lt;&gt;"ASTM A416"),L267,0),3)</f>
        <v/>
      </c>
      <c r="R267" s="20">
        <f>ROUND(R266+IF(AND(E267=14,F267&lt;&gt;"ASTM A416"),L267,0),3)</f>
        <v/>
      </c>
      <c r="S267" s="20">
        <f>ROUND(S266+IF(AND(E267=16,F267&lt;&gt;"ASTM A416"),L267,0),3)</f>
        <v/>
      </c>
      <c r="T267" s="20">
        <f>ROUND(T266+IF(AND(E267=18,F267&lt;&gt;"ASTM A416"),L267,0),3)</f>
        <v/>
      </c>
      <c r="U267" s="20">
        <f>ROUND(U266+IF(AND(E267=20,F267&lt;&gt;"ASTM A416"),L267,0),3)</f>
        <v/>
      </c>
      <c r="V267" s="20">
        <f>ROUND(V266+IF(AND(E267=22,F267&lt;&gt;"ASTM A416"),L267,0),3)</f>
        <v/>
      </c>
      <c r="W267" s="20">
        <f>ROUND(W266+IF(AND(E267=25,F267&lt;&gt;"ASTM A416"),L267,0),3)</f>
        <v/>
      </c>
      <c r="X267" s="20">
        <f>ROUND(X266+IF(AND(E267=28,F267&lt;&gt;"ASTM A416"),L267,0),3)</f>
        <v/>
      </c>
      <c r="Y267" s="20">
        <f>ROUND(Y266+IF(AND(E267=32,F267&lt;&gt;"ASTM A416"),L267,0),3)</f>
        <v/>
      </c>
      <c r="Z267" s="20">
        <f>ROUND(Z266+IF(F267="ASTM A416",L267,0),3)</f>
        <v/>
      </c>
      <c r="AA267" s="11">
        <f>IF(ROUNDUP(P267/20,0)&gt;ROUNDUP(P266/20,0),"Lần " &amp; ROUNDUP(P267/20,0),"")</f>
        <v/>
      </c>
      <c r="AB267" s="11">
        <f>IF(ROUNDUP(Q267/20,0)&gt;ROUNDUP(Q266/20,0),"Lần " &amp; ROUNDUP(Q267/20,0),"")</f>
        <v/>
      </c>
      <c r="AC267" s="11">
        <f>IF(ROUNDUP(R267/20,0)&gt;ROUNDUP(R266/20,0),"Lần " &amp; ROUNDUP(R267/20,0),"")</f>
        <v/>
      </c>
      <c r="AD267" s="11">
        <f>IF(ROUNDUP(S267/20,0)&gt;ROUNDUP(S266/20,0),"Lần " &amp; ROUNDUP(S267/20,0),"")</f>
        <v/>
      </c>
      <c r="AE267" s="11">
        <f>IF(ROUNDUP(T267/20,0)&gt;ROUNDUP(T266/20,0),"Lần " &amp; ROUNDUP(T267/20,0),"")</f>
        <v/>
      </c>
      <c r="AF267" s="11">
        <f>IF(ROUNDUP(U267/20,0)&gt;ROUNDUP(U266/20,0),"Lần " &amp; ROUNDUP(U267/20,0),"")</f>
        <v/>
      </c>
      <c r="AG267" s="11">
        <f>IF(ROUNDUP(V267/20,0)&gt;ROUNDUP(V266/20,0),"Lần " &amp; ROUNDUP(V267/20,0),"")</f>
        <v/>
      </c>
      <c r="AH267" s="11">
        <f>IF(ROUNDUP(W267/20,0)&gt;ROUNDUP(W266/20,0),"Lần " &amp; ROUNDUP(W267/20,0),"")</f>
        <v/>
      </c>
      <c r="AI267" s="11">
        <f>IF(ROUNDUP(X267/20,0)&gt;ROUNDUP(X266/20,0),"Lần " &amp; ROUNDUP(X267/20,0),"")</f>
        <v/>
      </c>
      <c r="AJ267" s="11">
        <f>IF(ROUNDUP(Y267/20,0)&gt;ROUNDUP(Y266/20,0),"Lần " &amp; ROUNDUP(Y267/20,0),"")</f>
        <v/>
      </c>
      <c r="AK267" s="11">
        <f>IF(ROUNDUP(Z267/20,0)&gt;ROUNDUP(Z266/20,0),"Lần " &amp; ROUNDUP(Z267/20,0),"")</f>
        <v/>
      </c>
      <c r="AL267" s="6" t="n"/>
      <c r="AN267" t="inlineStr">
        <is>
          <t>Dam</t>
        </is>
      </c>
      <c r="AO267" t="n">
        <v>59</v>
      </c>
    </row>
    <row r="268" ht="19" customHeight="1">
      <c r="A268" s="6" t="n">
        <v>259</v>
      </c>
      <c r="B268" s="7" t="inlineStr">
        <is>
          <t>Dầm chủ Super-T (15 phiến L=38.2m)</t>
        </is>
      </c>
      <c r="C268" s="7" t="inlineStr">
        <is>
          <t>Dầm S1B3 (bảng thép như S1B1) (tr.88)</t>
        </is>
      </c>
      <c r="D268" s="18" t="inlineStr">
        <is>
          <t>G1a</t>
        </is>
      </c>
      <c r="E268" s="19" t="n">
        <v>16</v>
      </c>
      <c r="F268" s="6" t="inlineStr">
        <is>
          <t>CB400-V</t>
        </is>
      </c>
      <c r="G268" s="7" t="inlineStr">
        <is>
          <t>S06</t>
        </is>
      </c>
      <c r="H268" s="20" t="n">
        <v>5.056</v>
      </c>
      <c r="I268" s="21" t="n">
        <v>144</v>
      </c>
      <c r="J268" s="22" t="n">
        <v>1.578</v>
      </c>
      <c r="K268" s="9">
        <f>ROUND(H268*I268*J268, 2)</f>
        <v/>
      </c>
      <c r="L268" s="23">
        <f>ROUND(K268/1000, 3)</f>
        <v/>
      </c>
      <c r="M268" s="8">
        <f>IF(AO268="","",IF(INDEX(Theo_Doi_Tan_Suat_Be_Tong!$C:$C,AO268)="","",INDEX(Theo_Doi_Tan_Suat_Be_Tong!$C:$C,AO268)-VLOOKUP(AN268,$AQ$2:$AR$7,2,FALSE)))</f>
        <v/>
      </c>
      <c r="N268" s="6" t="n"/>
      <c r="O268" s="24">
        <f>IF(ROUNDUP(S268/20,0)&gt;ROUNDUP(S267/20,0),"TN Ø16 (Lần " &amp; ROUNDUP(S268/20,0) &amp; ")","")</f>
        <v/>
      </c>
      <c r="P268" s="20">
        <f>ROUND(P267+IF(AND(E268&lt;=10,F268&lt;&gt;"ASTM A416"),L268,0),3)</f>
        <v/>
      </c>
      <c r="Q268" s="20">
        <f>ROUND(Q267+IF(AND(E268=12,F268&lt;&gt;"ASTM A416"),L268,0),3)</f>
        <v/>
      </c>
      <c r="R268" s="20">
        <f>ROUND(R267+IF(AND(E268=14,F268&lt;&gt;"ASTM A416"),L268,0),3)</f>
        <v/>
      </c>
      <c r="S268" s="20">
        <f>ROUND(S267+IF(AND(E268=16,F268&lt;&gt;"ASTM A416"),L268,0),3)</f>
        <v/>
      </c>
      <c r="T268" s="20">
        <f>ROUND(T267+IF(AND(E268=18,F268&lt;&gt;"ASTM A416"),L268,0),3)</f>
        <v/>
      </c>
      <c r="U268" s="20">
        <f>ROUND(U267+IF(AND(E268=20,F268&lt;&gt;"ASTM A416"),L268,0),3)</f>
        <v/>
      </c>
      <c r="V268" s="20">
        <f>ROUND(V267+IF(AND(E268=22,F268&lt;&gt;"ASTM A416"),L268,0),3)</f>
        <v/>
      </c>
      <c r="W268" s="20">
        <f>ROUND(W267+IF(AND(E268=25,F268&lt;&gt;"ASTM A416"),L268,0),3)</f>
        <v/>
      </c>
      <c r="X268" s="20">
        <f>ROUND(X267+IF(AND(E268=28,F268&lt;&gt;"ASTM A416"),L268,0),3)</f>
        <v/>
      </c>
      <c r="Y268" s="20">
        <f>ROUND(Y267+IF(AND(E268=32,F268&lt;&gt;"ASTM A416"),L268,0),3)</f>
        <v/>
      </c>
      <c r="Z268" s="20">
        <f>ROUND(Z267+IF(F268="ASTM A416",L268,0),3)</f>
        <v/>
      </c>
      <c r="AA268" s="11">
        <f>IF(ROUNDUP(P268/20,0)&gt;ROUNDUP(P267/20,0),"Lần " &amp; ROUNDUP(P268/20,0),"")</f>
        <v/>
      </c>
      <c r="AB268" s="11">
        <f>IF(ROUNDUP(Q268/20,0)&gt;ROUNDUP(Q267/20,0),"Lần " &amp; ROUNDUP(Q268/20,0),"")</f>
        <v/>
      </c>
      <c r="AC268" s="11">
        <f>IF(ROUNDUP(R268/20,0)&gt;ROUNDUP(R267/20,0),"Lần " &amp; ROUNDUP(R268/20,0),"")</f>
        <v/>
      </c>
      <c r="AD268" s="11">
        <f>IF(ROUNDUP(S268/20,0)&gt;ROUNDUP(S267/20,0),"Lần " &amp; ROUNDUP(S268/20,0),"")</f>
        <v/>
      </c>
      <c r="AE268" s="11">
        <f>IF(ROUNDUP(T268/20,0)&gt;ROUNDUP(T267/20,0),"Lần " &amp; ROUNDUP(T268/20,0),"")</f>
        <v/>
      </c>
      <c r="AF268" s="11">
        <f>IF(ROUNDUP(U268/20,0)&gt;ROUNDUP(U267/20,0),"Lần " &amp; ROUNDUP(U268/20,0),"")</f>
        <v/>
      </c>
      <c r="AG268" s="11">
        <f>IF(ROUNDUP(V268/20,0)&gt;ROUNDUP(V267/20,0),"Lần " &amp; ROUNDUP(V268/20,0),"")</f>
        <v/>
      </c>
      <c r="AH268" s="11">
        <f>IF(ROUNDUP(W268/20,0)&gt;ROUNDUP(W267/20,0),"Lần " &amp; ROUNDUP(W268/20,0),"")</f>
        <v/>
      </c>
      <c r="AI268" s="11">
        <f>IF(ROUNDUP(X268/20,0)&gt;ROUNDUP(X267/20,0),"Lần " &amp; ROUNDUP(X268/20,0),"")</f>
        <v/>
      </c>
      <c r="AJ268" s="11">
        <f>IF(ROUNDUP(Y268/20,0)&gt;ROUNDUP(Y267/20,0),"Lần " &amp; ROUNDUP(Y268/20,0),"")</f>
        <v/>
      </c>
      <c r="AK268" s="11">
        <f>IF(ROUNDUP(Z268/20,0)&gt;ROUNDUP(Z267/20,0),"Lần " &amp; ROUNDUP(Z268/20,0),"")</f>
        <v/>
      </c>
      <c r="AL268" s="6" t="n"/>
      <c r="AN268" t="inlineStr">
        <is>
          <t>Dam</t>
        </is>
      </c>
      <c r="AO268" t="n">
        <v>59</v>
      </c>
    </row>
    <row r="269" ht="19" customHeight="1">
      <c r="A269" s="6" t="n">
        <v>260</v>
      </c>
      <c r="B269" s="7" t="inlineStr">
        <is>
          <t>Dầm chủ Super-T (15 phiến L=38.2m)</t>
        </is>
      </c>
      <c r="C269" s="7" t="inlineStr">
        <is>
          <t>Dầm S1B3 (bảng thép như S1B1) (tr.88)</t>
        </is>
      </c>
      <c r="D269" s="18" t="inlineStr">
        <is>
          <t>G1b</t>
        </is>
      </c>
      <c r="E269" s="19" t="n">
        <v>12</v>
      </c>
      <c r="F269" s="6" t="inlineStr">
        <is>
          <t>CB400-V</t>
        </is>
      </c>
      <c r="G269" s="7" t="inlineStr">
        <is>
          <t>S06</t>
        </is>
      </c>
      <c r="H269" s="20" t="n">
        <v>5.075</v>
      </c>
      <c r="I269" s="21" t="n">
        <v>125</v>
      </c>
      <c r="J269" s="22" t="n">
        <v>0.888</v>
      </c>
      <c r="K269" s="9">
        <f>ROUND(H269*I269*J269, 2)</f>
        <v/>
      </c>
      <c r="L269" s="23">
        <f>ROUND(K269/1000, 3)</f>
        <v/>
      </c>
      <c r="M269" s="8">
        <f>IF(AO269="","",IF(INDEX(Theo_Doi_Tan_Suat_Be_Tong!$C:$C,AO269)="","",INDEX(Theo_Doi_Tan_Suat_Be_Tong!$C:$C,AO269)-VLOOKUP(AN269,$AQ$2:$AR$7,2,FALSE)))</f>
        <v/>
      </c>
      <c r="N269" s="6" t="n"/>
      <c r="O269" s="24">
        <f>IF(ROUNDUP(Q269/20,0)&gt;ROUNDUP(Q268/20,0),"TN Ø12 (Lần " &amp; ROUNDUP(Q269/20,0) &amp; ")","")</f>
        <v/>
      </c>
      <c r="P269" s="20">
        <f>ROUND(P268+IF(AND(E269&lt;=10,F269&lt;&gt;"ASTM A416"),L269,0),3)</f>
        <v/>
      </c>
      <c r="Q269" s="20">
        <f>ROUND(Q268+IF(AND(E269=12,F269&lt;&gt;"ASTM A416"),L269,0),3)</f>
        <v/>
      </c>
      <c r="R269" s="20">
        <f>ROUND(R268+IF(AND(E269=14,F269&lt;&gt;"ASTM A416"),L269,0),3)</f>
        <v/>
      </c>
      <c r="S269" s="20">
        <f>ROUND(S268+IF(AND(E269=16,F269&lt;&gt;"ASTM A416"),L269,0),3)</f>
        <v/>
      </c>
      <c r="T269" s="20">
        <f>ROUND(T268+IF(AND(E269=18,F269&lt;&gt;"ASTM A416"),L269,0),3)</f>
        <v/>
      </c>
      <c r="U269" s="20">
        <f>ROUND(U268+IF(AND(E269=20,F269&lt;&gt;"ASTM A416"),L269,0),3)</f>
        <v/>
      </c>
      <c r="V269" s="20">
        <f>ROUND(V268+IF(AND(E269=22,F269&lt;&gt;"ASTM A416"),L269,0),3)</f>
        <v/>
      </c>
      <c r="W269" s="20">
        <f>ROUND(W268+IF(AND(E269=25,F269&lt;&gt;"ASTM A416"),L269,0),3)</f>
        <v/>
      </c>
      <c r="X269" s="20">
        <f>ROUND(X268+IF(AND(E269=28,F269&lt;&gt;"ASTM A416"),L269,0),3)</f>
        <v/>
      </c>
      <c r="Y269" s="20">
        <f>ROUND(Y268+IF(AND(E269=32,F269&lt;&gt;"ASTM A416"),L269,0),3)</f>
        <v/>
      </c>
      <c r="Z269" s="20">
        <f>ROUND(Z268+IF(F269="ASTM A416",L269,0),3)</f>
        <v/>
      </c>
      <c r="AA269" s="11">
        <f>IF(ROUNDUP(P269/20,0)&gt;ROUNDUP(P268/20,0),"Lần " &amp; ROUNDUP(P269/20,0),"")</f>
        <v/>
      </c>
      <c r="AB269" s="11">
        <f>IF(ROUNDUP(Q269/20,0)&gt;ROUNDUP(Q268/20,0),"Lần " &amp; ROUNDUP(Q269/20,0),"")</f>
        <v/>
      </c>
      <c r="AC269" s="11">
        <f>IF(ROUNDUP(R269/20,0)&gt;ROUNDUP(R268/20,0),"Lần " &amp; ROUNDUP(R269/20,0),"")</f>
        <v/>
      </c>
      <c r="AD269" s="11">
        <f>IF(ROUNDUP(S269/20,0)&gt;ROUNDUP(S268/20,0),"Lần " &amp; ROUNDUP(S269/20,0),"")</f>
        <v/>
      </c>
      <c r="AE269" s="11">
        <f>IF(ROUNDUP(T269/20,0)&gt;ROUNDUP(T268/20,0),"Lần " &amp; ROUNDUP(T269/20,0),"")</f>
        <v/>
      </c>
      <c r="AF269" s="11">
        <f>IF(ROUNDUP(U269/20,0)&gt;ROUNDUP(U268/20,0),"Lần " &amp; ROUNDUP(U269/20,0),"")</f>
        <v/>
      </c>
      <c r="AG269" s="11">
        <f>IF(ROUNDUP(V269/20,0)&gt;ROUNDUP(V268/20,0),"Lần " &amp; ROUNDUP(V269/20,0),"")</f>
        <v/>
      </c>
      <c r="AH269" s="11">
        <f>IF(ROUNDUP(W269/20,0)&gt;ROUNDUP(W268/20,0),"Lần " &amp; ROUNDUP(W269/20,0),"")</f>
        <v/>
      </c>
      <c r="AI269" s="11">
        <f>IF(ROUNDUP(X269/20,0)&gt;ROUNDUP(X268/20,0),"Lần " &amp; ROUNDUP(X269/20,0),"")</f>
        <v/>
      </c>
      <c r="AJ269" s="11">
        <f>IF(ROUNDUP(Y269/20,0)&gt;ROUNDUP(Y268/20,0),"Lần " &amp; ROUNDUP(Y269/20,0),"")</f>
        <v/>
      </c>
      <c r="AK269" s="11">
        <f>IF(ROUNDUP(Z269/20,0)&gt;ROUNDUP(Z268/20,0),"Lần " &amp; ROUNDUP(Z269/20,0),"")</f>
        <v/>
      </c>
      <c r="AL269" s="6" t="n"/>
      <c r="AN269" t="inlineStr">
        <is>
          <t>Dam</t>
        </is>
      </c>
      <c r="AO269" t="n">
        <v>59</v>
      </c>
    </row>
    <row r="270" ht="19" customHeight="1">
      <c r="A270" s="6" t="n">
        <v>261</v>
      </c>
      <c r="B270" s="7" t="inlineStr">
        <is>
          <t>Dầm chủ Super-T (15 phiến L=38.2m)</t>
        </is>
      </c>
      <c r="C270" s="7" t="inlineStr">
        <is>
          <t>Dầm S1B3 (bảng thép như S1B1) (tr.88)</t>
        </is>
      </c>
      <c r="D270" s="18" t="inlineStr">
        <is>
          <t>G2</t>
        </is>
      </c>
      <c r="E270" s="19" t="n">
        <v>12</v>
      </c>
      <c r="F270" s="6" t="inlineStr">
        <is>
          <t>CB400-V</t>
        </is>
      </c>
      <c r="G270" s="7" t="inlineStr">
        <is>
          <t>S06</t>
        </is>
      </c>
      <c r="H270" s="20" t="n">
        <v>1.184</v>
      </c>
      <c r="I270" s="21" t="n">
        <v>255</v>
      </c>
      <c r="J270" s="22" t="n">
        <v>0.888</v>
      </c>
      <c r="K270" s="9">
        <f>ROUND(H270*I270*J270, 2)</f>
        <v/>
      </c>
      <c r="L270" s="23">
        <f>ROUND(K270/1000, 3)</f>
        <v/>
      </c>
      <c r="M270" s="8">
        <f>IF(AO270="","",IF(INDEX(Theo_Doi_Tan_Suat_Be_Tong!$C:$C,AO270)="","",INDEX(Theo_Doi_Tan_Suat_Be_Tong!$C:$C,AO270)-VLOOKUP(AN270,$AQ$2:$AR$7,2,FALSE)))</f>
        <v/>
      </c>
      <c r="N270" s="6" t="n"/>
      <c r="O270" s="24">
        <f>IF(ROUNDUP(Q270/20,0)&gt;ROUNDUP(Q269/20,0),"TN Ø12 (Lần " &amp; ROUNDUP(Q270/20,0) &amp; ")","")</f>
        <v/>
      </c>
      <c r="P270" s="20">
        <f>ROUND(P269+IF(AND(E270&lt;=10,F270&lt;&gt;"ASTM A416"),L270,0),3)</f>
        <v/>
      </c>
      <c r="Q270" s="20">
        <f>ROUND(Q269+IF(AND(E270=12,F270&lt;&gt;"ASTM A416"),L270,0),3)</f>
        <v/>
      </c>
      <c r="R270" s="20">
        <f>ROUND(R269+IF(AND(E270=14,F270&lt;&gt;"ASTM A416"),L270,0),3)</f>
        <v/>
      </c>
      <c r="S270" s="20">
        <f>ROUND(S269+IF(AND(E270=16,F270&lt;&gt;"ASTM A416"),L270,0),3)</f>
        <v/>
      </c>
      <c r="T270" s="20">
        <f>ROUND(T269+IF(AND(E270=18,F270&lt;&gt;"ASTM A416"),L270,0),3)</f>
        <v/>
      </c>
      <c r="U270" s="20">
        <f>ROUND(U269+IF(AND(E270=20,F270&lt;&gt;"ASTM A416"),L270,0),3)</f>
        <v/>
      </c>
      <c r="V270" s="20">
        <f>ROUND(V269+IF(AND(E270=22,F270&lt;&gt;"ASTM A416"),L270,0),3)</f>
        <v/>
      </c>
      <c r="W270" s="20">
        <f>ROUND(W269+IF(AND(E270=25,F270&lt;&gt;"ASTM A416"),L270,0),3)</f>
        <v/>
      </c>
      <c r="X270" s="20">
        <f>ROUND(X269+IF(AND(E270=28,F270&lt;&gt;"ASTM A416"),L270,0),3)</f>
        <v/>
      </c>
      <c r="Y270" s="20">
        <f>ROUND(Y269+IF(AND(E270=32,F270&lt;&gt;"ASTM A416"),L270,0),3)</f>
        <v/>
      </c>
      <c r="Z270" s="20">
        <f>ROUND(Z269+IF(F270="ASTM A416",L270,0),3)</f>
        <v/>
      </c>
      <c r="AA270" s="11">
        <f>IF(ROUNDUP(P270/20,0)&gt;ROUNDUP(P269/20,0),"Lần " &amp; ROUNDUP(P270/20,0),"")</f>
        <v/>
      </c>
      <c r="AB270" s="11">
        <f>IF(ROUNDUP(Q270/20,0)&gt;ROUNDUP(Q269/20,0),"Lần " &amp; ROUNDUP(Q270/20,0),"")</f>
        <v/>
      </c>
      <c r="AC270" s="11">
        <f>IF(ROUNDUP(R270/20,0)&gt;ROUNDUP(R269/20,0),"Lần " &amp; ROUNDUP(R270/20,0),"")</f>
        <v/>
      </c>
      <c r="AD270" s="11">
        <f>IF(ROUNDUP(S270/20,0)&gt;ROUNDUP(S269/20,0),"Lần " &amp; ROUNDUP(S270/20,0),"")</f>
        <v/>
      </c>
      <c r="AE270" s="11">
        <f>IF(ROUNDUP(T270/20,0)&gt;ROUNDUP(T269/20,0),"Lần " &amp; ROUNDUP(T270/20,0),"")</f>
        <v/>
      </c>
      <c r="AF270" s="11">
        <f>IF(ROUNDUP(U270/20,0)&gt;ROUNDUP(U269/20,0),"Lần " &amp; ROUNDUP(U270/20,0),"")</f>
        <v/>
      </c>
      <c r="AG270" s="11">
        <f>IF(ROUNDUP(V270/20,0)&gt;ROUNDUP(V269/20,0),"Lần " &amp; ROUNDUP(V270/20,0),"")</f>
        <v/>
      </c>
      <c r="AH270" s="11">
        <f>IF(ROUNDUP(W270/20,0)&gt;ROUNDUP(W269/20,0),"Lần " &amp; ROUNDUP(W270/20,0),"")</f>
        <v/>
      </c>
      <c r="AI270" s="11">
        <f>IF(ROUNDUP(X270/20,0)&gt;ROUNDUP(X269/20,0),"Lần " &amp; ROUNDUP(X270/20,0),"")</f>
        <v/>
      </c>
      <c r="AJ270" s="11">
        <f>IF(ROUNDUP(Y270/20,0)&gt;ROUNDUP(Y269/20,0),"Lần " &amp; ROUNDUP(Y270/20,0),"")</f>
        <v/>
      </c>
      <c r="AK270" s="11">
        <f>IF(ROUNDUP(Z270/20,0)&gt;ROUNDUP(Z269/20,0),"Lần " &amp; ROUNDUP(Z270/20,0),"")</f>
        <v/>
      </c>
      <c r="AL270" s="6" t="n"/>
      <c r="AN270" t="inlineStr">
        <is>
          <t>Dam</t>
        </is>
      </c>
      <c r="AO270" t="n">
        <v>59</v>
      </c>
    </row>
    <row r="271" ht="19" customHeight="1">
      <c r="A271" s="6" t="n">
        <v>262</v>
      </c>
      <c r="B271" s="7" t="inlineStr">
        <is>
          <t>Dầm chủ Super-T (15 phiến L=38.2m)</t>
        </is>
      </c>
      <c r="C271" s="7" t="inlineStr">
        <is>
          <t>Dầm S1B3 (bảng thép như S1B1) (tr.88)</t>
        </is>
      </c>
      <c r="D271" s="18" t="inlineStr">
        <is>
          <t>G2a</t>
        </is>
      </c>
      <c r="E271" s="19" t="n">
        <v>12</v>
      </c>
      <c r="F271" s="6" t="inlineStr">
        <is>
          <t>CB400-V</t>
        </is>
      </c>
      <c r="G271" s="7" t="inlineStr">
        <is>
          <t>S06</t>
        </is>
      </c>
      <c r="H271" s="20" t="n">
        <v>1.309</v>
      </c>
      <c r="I271" s="21" t="n">
        <v>269</v>
      </c>
      <c r="J271" s="22" t="n">
        <v>0.888</v>
      </c>
      <c r="K271" s="9">
        <f>ROUND(H271*I271*J271, 2)</f>
        <v/>
      </c>
      <c r="L271" s="23">
        <f>ROUND(K271/1000, 3)</f>
        <v/>
      </c>
      <c r="M271" s="8">
        <f>IF(AO271="","",IF(INDEX(Theo_Doi_Tan_Suat_Be_Tong!$C:$C,AO271)="","",INDEX(Theo_Doi_Tan_Suat_Be_Tong!$C:$C,AO271)-VLOOKUP(AN271,$AQ$2:$AR$7,2,FALSE)))</f>
        <v/>
      </c>
      <c r="N271" s="6" t="n"/>
      <c r="O271" s="24">
        <f>IF(ROUNDUP(Q271/20,0)&gt;ROUNDUP(Q270/20,0),"TN Ø12 (Lần " &amp; ROUNDUP(Q271/20,0) &amp; ")","")</f>
        <v/>
      </c>
      <c r="P271" s="20">
        <f>ROUND(P270+IF(AND(E271&lt;=10,F271&lt;&gt;"ASTM A416"),L271,0),3)</f>
        <v/>
      </c>
      <c r="Q271" s="20">
        <f>ROUND(Q270+IF(AND(E271=12,F271&lt;&gt;"ASTM A416"),L271,0),3)</f>
        <v/>
      </c>
      <c r="R271" s="20">
        <f>ROUND(R270+IF(AND(E271=14,F271&lt;&gt;"ASTM A416"),L271,0),3)</f>
        <v/>
      </c>
      <c r="S271" s="20">
        <f>ROUND(S270+IF(AND(E271=16,F271&lt;&gt;"ASTM A416"),L271,0),3)</f>
        <v/>
      </c>
      <c r="T271" s="20">
        <f>ROUND(T270+IF(AND(E271=18,F271&lt;&gt;"ASTM A416"),L271,0),3)</f>
        <v/>
      </c>
      <c r="U271" s="20">
        <f>ROUND(U270+IF(AND(E271=20,F271&lt;&gt;"ASTM A416"),L271,0),3)</f>
        <v/>
      </c>
      <c r="V271" s="20">
        <f>ROUND(V270+IF(AND(E271=22,F271&lt;&gt;"ASTM A416"),L271,0),3)</f>
        <v/>
      </c>
      <c r="W271" s="20">
        <f>ROUND(W270+IF(AND(E271=25,F271&lt;&gt;"ASTM A416"),L271,0),3)</f>
        <v/>
      </c>
      <c r="X271" s="20">
        <f>ROUND(X270+IF(AND(E271=28,F271&lt;&gt;"ASTM A416"),L271,0),3)</f>
        <v/>
      </c>
      <c r="Y271" s="20">
        <f>ROUND(Y270+IF(AND(E271=32,F271&lt;&gt;"ASTM A416"),L271,0),3)</f>
        <v/>
      </c>
      <c r="Z271" s="20">
        <f>ROUND(Z270+IF(F271="ASTM A416",L271,0),3)</f>
        <v/>
      </c>
      <c r="AA271" s="11">
        <f>IF(ROUNDUP(P271/20,0)&gt;ROUNDUP(P270/20,0),"Lần " &amp; ROUNDUP(P271/20,0),"")</f>
        <v/>
      </c>
      <c r="AB271" s="11">
        <f>IF(ROUNDUP(Q271/20,0)&gt;ROUNDUP(Q270/20,0),"Lần " &amp; ROUNDUP(Q271/20,0),"")</f>
        <v/>
      </c>
      <c r="AC271" s="11">
        <f>IF(ROUNDUP(R271/20,0)&gt;ROUNDUP(R270/20,0),"Lần " &amp; ROUNDUP(R271/20,0),"")</f>
        <v/>
      </c>
      <c r="AD271" s="11">
        <f>IF(ROUNDUP(S271/20,0)&gt;ROUNDUP(S270/20,0),"Lần " &amp; ROUNDUP(S271/20,0),"")</f>
        <v/>
      </c>
      <c r="AE271" s="11">
        <f>IF(ROUNDUP(T271/20,0)&gt;ROUNDUP(T270/20,0),"Lần " &amp; ROUNDUP(T271/20,0),"")</f>
        <v/>
      </c>
      <c r="AF271" s="11">
        <f>IF(ROUNDUP(U271/20,0)&gt;ROUNDUP(U270/20,0),"Lần " &amp; ROUNDUP(U271/20,0),"")</f>
        <v/>
      </c>
      <c r="AG271" s="11">
        <f>IF(ROUNDUP(V271/20,0)&gt;ROUNDUP(V270/20,0),"Lần " &amp; ROUNDUP(V271/20,0),"")</f>
        <v/>
      </c>
      <c r="AH271" s="11">
        <f>IF(ROUNDUP(W271/20,0)&gt;ROUNDUP(W270/20,0),"Lần " &amp; ROUNDUP(W271/20,0),"")</f>
        <v/>
      </c>
      <c r="AI271" s="11">
        <f>IF(ROUNDUP(X271/20,0)&gt;ROUNDUP(X270/20,0),"Lần " &amp; ROUNDUP(X271/20,0),"")</f>
        <v/>
      </c>
      <c r="AJ271" s="11">
        <f>IF(ROUNDUP(Y271/20,0)&gt;ROUNDUP(Y270/20,0),"Lần " &amp; ROUNDUP(Y271/20,0),"")</f>
        <v/>
      </c>
      <c r="AK271" s="11">
        <f>IF(ROUNDUP(Z271/20,0)&gt;ROUNDUP(Z270/20,0),"Lần " &amp; ROUNDUP(Z271/20,0),"")</f>
        <v/>
      </c>
      <c r="AL271" s="6" t="n"/>
      <c r="AN271" t="inlineStr">
        <is>
          <t>Dam</t>
        </is>
      </c>
      <c r="AO271" t="n">
        <v>59</v>
      </c>
    </row>
    <row r="272" ht="19" customHeight="1">
      <c r="A272" s="6" t="n">
        <v>263</v>
      </c>
      <c r="B272" s="7" t="inlineStr">
        <is>
          <t>Dầm chủ Super-T (15 phiến L=38.2m)</t>
        </is>
      </c>
      <c r="C272" s="7" t="inlineStr">
        <is>
          <t>Dầm S1B3 (bảng thép như S1B1) (tr.88)</t>
        </is>
      </c>
      <c r="D272" s="18" t="inlineStr">
        <is>
          <t>G3</t>
        </is>
      </c>
      <c r="E272" s="19" t="n">
        <v>12</v>
      </c>
      <c r="F272" s="6" t="inlineStr">
        <is>
          <t>CB400-V</t>
        </is>
      </c>
      <c r="G272" s="7" t="inlineStr">
        <is>
          <t>S06</t>
        </is>
      </c>
      <c r="H272" s="20" t="n">
        <v>1.259</v>
      </c>
      <c r="I272" s="21" t="n">
        <v>269</v>
      </c>
      <c r="J272" s="22" t="n">
        <v>0.888</v>
      </c>
      <c r="K272" s="9">
        <f>ROUND(H272*I272*J272, 2)</f>
        <v/>
      </c>
      <c r="L272" s="23">
        <f>ROUND(K272/1000, 3)</f>
        <v/>
      </c>
      <c r="M272" s="8">
        <f>IF(AO272="","",IF(INDEX(Theo_Doi_Tan_Suat_Be_Tong!$C:$C,AO272)="","",INDEX(Theo_Doi_Tan_Suat_Be_Tong!$C:$C,AO272)-VLOOKUP(AN272,$AQ$2:$AR$7,2,FALSE)))</f>
        <v/>
      </c>
      <c r="N272" s="6" t="n"/>
      <c r="O272" s="24">
        <f>IF(ROUNDUP(Q272/20,0)&gt;ROUNDUP(Q271/20,0),"TN Ø12 (Lần " &amp; ROUNDUP(Q272/20,0) &amp; ")","")</f>
        <v/>
      </c>
      <c r="P272" s="20">
        <f>ROUND(P271+IF(AND(E272&lt;=10,F272&lt;&gt;"ASTM A416"),L272,0),3)</f>
        <v/>
      </c>
      <c r="Q272" s="20">
        <f>ROUND(Q271+IF(AND(E272=12,F272&lt;&gt;"ASTM A416"),L272,0),3)</f>
        <v/>
      </c>
      <c r="R272" s="20">
        <f>ROUND(R271+IF(AND(E272=14,F272&lt;&gt;"ASTM A416"),L272,0),3)</f>
        <v/>
      </c>
      <c r="S272" s="20">
        <f>ROUND(S271+IF(AND(E272=16,F272&lt;&gt;"ASTM A416"),L272,0),3)</f>
        <v/>
      </c>
      <c r="T272" s="20">
        <f>ROUND(T271+IF(AND(E272=18,F272&lt;&gt;"ASTM A416"),L272,0),3)</f>
        <v/>
      </c>
      <c r="U272" s="20">
        <f>ROUND(U271+IF(AND(E272=20,F272&lt;&gt;"ASTM A416"),L272,0),3)</f>
        <v/>
      </c>
      <c r="V272" s="20">
        <f>ROUND(V271+IF(AND(E272=22,F272&lt;&gt;"ASTM A416"),L272,0),3)</f>
        <v/>
      </c>
      <c r="W272" s="20">
        <f>ROUND(W271+IF(AND(E272=25,F272&lt;&gt;"ASTM A416"),L272,0),3)</f>
        <v/>
      </c>
      <c r="X272" s="20">
        <f>ROUND(X271+IF(AND(E272=28,F272&lt;&gt;"ASTM A416"),L272,0),3)</f>
        <v/>
      </c>
      <c r="Y272" s="20">
        <f>ROUND(Y271+IF(AND(E272=32,F272&lt;&gt;"ASTM A416"),L272,0),3)</f>
        <v/>
      </c>
      <c r="Z272" s="20">
        <f>ROUND(Z271+IF(F272="ASTM A416",L272,0),3)</f>
        <v/>
      </c>
      <c r="AA272" s="11">
        <f>IF(ROUNDUP(P272/20,0)&gt;ROUNDUP(P271/20,0),"Lần " &amp; ROUNDUP(P272/20,0),"")</f>
        <v/>
      </c>
      <c r="AB272" s="11">
        <f>IF(ROUNDUP(Q272/20,0)&gt;ROUNDUP(Q271/20,0),"Lần " &amp; ROUNDUP(Q272/20,0),"")</f>
        <v/>
      </c>
      <c r="AC272" s="11">
        <f>IF(ROUNDUP(R272/20,0)&gt;ROUNDUP(R271/20,0),"Lần " &amp; ROUNDUP(R272/20,0),"")</f>
        <v/>
      </c>
      <c r="AD272" s="11">
        <f>IF(ROUNDUP(S272/20,0)&gt;ROUNDUP(S271/20,0),"Lần " &amp; ROUNDUP(S272/20,0),"")</f>
        <v/>
      </c>
      <c r="AE272" s="11">
        <f>IF(ROUNDUP(T272/20,0)&gt;ROUNDUP(T271/20,0),"Lần " &amp; ROUNDUP(T272/20,0),"")</f>
        <v/>
      </c>
      <c r="AF272" s="11">
        <f>IF(ROUNDUP(U272/20,0)&gt;ROUNDUP(U271/20,0),"Lần " &amp; ROUNDUP(U272/20,0),"")</f>
        <v/>
      </c>
      <c r="AG272" s="11">
        <f>IF(ROUNDUP(V272/20,0)&gt;ROUNDUP(V271/20,0),"Lần " &amp; ROUNDUP(V272/20,0),"")</f>
        <v/>
      </c>
      <c r="AH272" s="11">
        <f>IF(ROUNDUP(W272/20,0)&gt;ROUNDUP(W271/20,0),"Lần " &amp; ROUNDUP(W272/20,0),"")</f>
        <v/>
      </c>
      <c r="AI272" s="11">
        <f>IF(ROUNDUP(X272/20,0)&gt;ROUNDUP(X271/20,0),"Lần " &amp; ROUNDUP(X272/20,0),"")</f>
        <v/>
      </c>
      <c r="AJ272" s="11">
        <f>IF(ROUNDUP(Y272/20,0)&gt;ROUNDUP(Y271/20,0),"Lần " &amp; ROUNDUP(Y272/20,0),"")</f>
        <v/>
      </c>
      <c r="AK272" s="11">
        <f>IF(ROUNDUP(Z272/20,0)&gt;ROUNDUP(Z271/20,0),"Lần " &amp; ROUNDUP(Z272/20,0),"")</f>
        <v/>
      </c>
      <c r="AL272" s="6" t="n"/>
      <c r="AN272" t="inlineStr">
        <is>
          <t>Dam</t>
        </is>
      </c>
      <c r="AO272" t="n">
        <v>59</v>
      </c>
    </row>
    <row r="273" ht="20" customHeight="1">
      <c r="A273" s="6" t="n">
        <v>264</v>
      </c>
      <c r="B273" s="7" t="inlineStr">
        <is>
          <t>Dầm chủ Super-T (15 phiến L=38.2m)</t>
        </is>
      </c>
      <c r="C273" s="7" t="inlineStr">
        <is>
          <t>Dầm S1B3 (bảng thép như S1B1) (tr.88)</t>
        </is>
      </c>
      <c r="D273" s="18" t="inlineStr">
        <is>
          <t>G4a1</t>
        </is>
      </c>
      <c r="E273" s="19" t="n">
        <v>12</v>
      </c>
      <c r="F273" s="6" t="inlineStr">
        <is>
          <t>CB400-V</t>
        </is>
      </c>
      <c r="G273" s="7" t="inlineStr">
        <is>
          <t>S01</t>
        </is>
      </c>
      <c r="H273" s="20" t="n">
        <v>11.7</v>
      </c>
      <c r="I273" s="21" t="n">
        <v>21</v>
      </c>
      <c r="J273" s="22" t="n">
        <v>0.888</v>
      </c>
      <c r="K273" s="9">
        <f>ROUND(H273*I273*J273, 2)</f>
        <v/>
      </c>
      <c r="L273" s="23">
        <f>ROUND(K273/1000, 3)</f>
        <v/>
      </c>
      <c r="M273" s="8">
        <f>IF(AO273="","",IF(INDEX(Theo_Doi_Tan_Suat_Be_Tong!$C:$C,AO273)="","",INDEX(Theo_Doi_Tan_Suat_Be_Tong!$C:$C,AO273)-VLOOKUP(AN273,$AQ$2:$AR$7,2,FALSE)))</f>
        <v/>
      </c>
      <c r="N273" s="6" t="n"/>
      <c r="O273" s="24">
        <f>IF(ROUNDUP(Q273/20,0)&gt;ROUNDUP(Q272/20,0),"TN Ø12 (Lần " &amp; ROUNDUP(Q273/20,0) &amp; ")","")</f>
        <v/>
      </c>
      <c r="P273" s="20">
        <f>ROUND(P272+IF(AND(E273&lt;=10,F273&lt;&gt;"ASTM A416"),L273,0),3)</f>
        <v/>
      </c>
      <c r="Q273" s="20">
        <f>ROUND(Q272+IF(AND(E273=12,F273&lt;&gt;"ASTM A416"),L273,0),3)</f>
        <v/>
      </c>
      <c r="R273" s="20">
        <f>ROUND(R272+IF(AND(E273=14,F273&lt;&gt;"ASTM A416"),L273,0),3)</f>
        <v/>
      </c>
      <c r="S273" s="20">
        <f>ROUND(S272+IF(AND(E273=16,F273&lt;&gt;"ASTM A416"),L273,0),3)</f>
        <v/>
      </c>
      <c r="T273" s="20">
        <f>ROUND(T272+IF(AND(E273=18,F273&lt;&gt;"ASTM A416"),L273,0),3)</f>
        <v/>
      </c>
      <c r="U273" s="20">
        <f>ROUND(U272+IF(AND(E273=20,F273&lt;&gt;"ASTM A416"),L273,0),3)</f>
        <v/>
      </c>
      <c r="V273" s="20">
        <f>ROUND(V272+IF(AND(E273=22,F273&lt;&gt;"ASTM A416"),L273,0),3)</f>
        <v/>
      </c>
      <c r="W273" s="20">
        <f>ROUND(W272+IF(AND(E273=25,F273&lt;&gt;"ASTM A416"),L273,0),3)</f>
        <v/>
      </c>
      <c r="X273" s="20">
        <f>ROUND(X272+IF(AND(E273=28,F273&lt;&gt;"ASTM A416"),L273,0),3)</f>
        <v/>
      </c>
      <c r="Y273" s="20">
        <f>ROUND(Y272+IF(AND(E273=32,F273&lt;&gt;"ASTM A416"),L273,0),3)</f>
        <v/>
      </c>
      <c r="Z273" s="20">
        <f>ROUND(Z272+IF(F273="ASTM A416",L273,0),3)</f>
        <v/>
      </c>
      <c r="AA273" s="11">
        <f>IF(ROUNDUP(P273/20,0)&gt;ROUNDUP(P272/20,0),"Lần " &amp; ROUNDUP(P273/20,0),"")</f>
        <v/>
      </c>
      <c r="AB273" s="11">
        <f>IF(ROUNDUP(Q273/20,0)&gt;ROUNDUP(Q272/20,0),"Lần " &amp; ROUNDUP(Q273/20,0),"")</f>
        <v/>
      </c>
      <c r="AC273" s="11">
        <f>IF(ROUNDUP(R273/20,0)&gt;ROUNDUP(R272/20,0),"Lần " &amp; ROUNDUP(R273/20,0),"")</f>
        <v/>
      </c>
      <c r="AD273" s="11">
        <f>IF(ROUNDUP(S273/20,0)&gt;ROUNDUP(S272/20,0),"Lần " &amp; ROUNDUP(S273/20,0),"")</f>
        <v/>
      </c>
      <c r="AE273" s="11">
        <f>IF(ROUNDUP(T273/20,0)&gt;ROUNDUP(T272/20,0),"Lần " &amp; ROUNDUP(T273/20,0),"")</f>
        <v/>
      </c>
      <c r="AF273" s="11">
        <f>IF(ROUNDUP(U273/20,0)&gt;ROUNDUP(U272/20,0),"Lần " &amp; ROUNDUP(U273/20,0),"")</f>
        <v/>
      </c>
      <c r="AG273" s="11">
        <f>IF(ROUNDUP(V273/20,0)&gt;ROUNDUP(V272/20,0),"Lần " &amp; ROUNDUP(V273/20,0),"")</f>
        <v/>
      </c>
      <c r="AH273" s="11">
        <f>IF(ROUNDUP(W273/20,0)&gt;ROUNDUP(W272/20,0),"Lần " &amp; ROUNDUP(W273/20,0),"")</f>
        <v/>
      </c>
      <c r="AI273" s="11">
        <f>IF(ROUNDUP(X273/20,0)&gt;ROUNDUP(X272/20,0),"Lần " &amp; ROUNDUP(X273/20,0),"")</f>
        <v/>
      </c>
      <c r="AJ273" s="11">
        <f>IF(ROUNDUP(Y273/20,0)&gt;ROUNDUP(Y272/20,0),"Lần " &amp; ROUNDUP(Y273/20,0),"")</f>
        <v/>
      </c>
      <c r="AK273" s="11">
        <f>IF(ROUNDUP(Z273/20,0)&gt;ROUNDUP(Z272/20,0),"Lần " &amp; ROUNDUP(Z273/20,0),"")</f>
        <v/>
      </c>
      <c r="AL273" s="6" t="n"/>
      <c r="AN273" t="inlineStr">
        <is>
          <t>Dam</t>
        </is>
      </c>
      <c r="AO273" t="n">
        <v>59</v>
      </c>
    </row>
    <row r="274" ht="19" customHeight="1">
      <c r="A274" s="6" t="n">
        <v>265</v>
      </c>
      <c r="B274" s="7" t="inlineStr">
        <is>
          <t>Dầm chủ Super-T (15 phiến L=38.2m)</t>
        </is>
      </c>
      <c r="C274" s="7" t="inlineStr">
        <is>
          <t>Dầm S1B3 (bảng thép như S1B1) (tr.88)</t>
        </is>
      </c>
      <c r="D274" s="18" t="inlineStr">
        <is>
          <t>G4a2</t>
        </is>
      </c>
      <c r="E274" s="19" t="n">
        <v>12</v>
      </c>
      <c r="F274" s="6" t="inlineStr">
        <is>
          <t>CB400-V</t>
        </is>
      </c>
      <c r="G274" s="7" t="inlineStr">
        <is>
          <t>S06</t>
        </is>
      </c>
      <c r="H274" s="20" t="n">
        <v>4.46</v>
      </c>
      <c r="I274" s="21" t="n">
        <v>7</v>
      </c>
      <c r="J274" s="22" t="n">
        <v>0.888</v>
      </c>
      <c r="K274" s="9">
        <f>ROUND(H274*I274*J274, 2)</f>
        <v/>
      </c>
      <c r="L274" s="23">
        <f>ROUND(K274/1000, 3)</f>
        <v/>
      </c>
      <c r="M274" s="8">
        <f>IF(AO274="","",IF(INDEX(Theo_Doi_Tan_Suat_Be_Tong!$C:$C,AO274)="","",INDEX(Theo_Doi_Tan_Suat_Be_Tong!$C:$C,AO274)-VLOOKUP(AN274,$AQ$2:$AR$7,2,FALSE)))</f>
        <v/>
      </c>
      <c r="N274" s="6" t="n"/>
      <c r="O274" s="24">
        <f>IF(ROUNDUP(Q274/20,0)&gt;ROUNDUP(Q273/20,0),"TN Ø12 (Lần " &amp; ROUNDUP(Q274/20,0) &amp; ")","")</f>
        <v/>
      </c>
      <c r="P274" s="20">
        <f>ROUND(P273+IF(AND(E274&lt;=10,F274&lt;&gt;"ASTM A416"),L274,0),3)</f>
        <v/>
      </c>
      <c r="Q274" s="20">
        <f>ROUND(Q273+IF(AND(E274=12,F274&lt;&gt;"ASTM A416"),L274,0),3)</f>
        <v/>
      </c>
      <c r="R274" s="20">
        <f>ROUND(R273+IF(AND(E274=14,F274&lt;&gt;"ASTM A416"),L274,0),3)</f>
        <v/>
      </c>
      <c r="S274" s="20">
        <f>ROUND(S273+IF(AND(E274=16,F274&lt;&gt;"ASTM A416"),L274,0),3)</f>
        <v/>
      </c>
      <c r="T274" s="20">
        <f>ROUND(T273+IF(AND(E274=18,F274&lt;&gt;"ASTM A416"),L274,0),3)</f>
        <v/>
      </c>
      <c r="U274" s="20">
        <f>ROUND(U273+IF(AND(E274=20,F274&lt;&gt;"ASTM A416"),L274,0),3)</f>
        <v/>
      </c>
      <c r="V274" s="20">
        <f>ROUND(V273+IF(AND(E274=22,F274&lt;&gt;"ASTM A416"),L274,0),3)</f>
        <v/>
      </c>
      <c r="W274" s="20">
        <f>ROUND(W273+IF(AND(E274=25,F274&lt;&gt;"ASTM A416"),L274,0),3)</f>
        <v/>
      </c>
      <c r="X274" s="20">
        <f>ROUND(X273+IF(AND(E274=28,F274&lt;&gt;"ASTM A416"),L274,0),3)</f>
        <v/>
      </c>
      <c r="Y274" s="20">
        <f>ROUND(Y273+IF(AND(E274=32,F274&lt;&gt;"ASTM A416"),L274,0),3)</f>
        <v/>
      </c>
      <c r="Z274" s="20">
        <f>ROUND(Z273+IF(F274="ASTM A416",L274,0),3)</f>
        <v/>
      </c>
      <c r="AA274" s="11">
        <f>IF(ROUNDUP(P274/20,0)&gt;ROUNDUP(P273/20,0),"Lần " &amp; ROUNDUP(P274/20,0),"")</f>
        <v/>
      </c>
      <c r="AB274" s="11">
        <f>IF(ROUNDUP(Q274/20,0)&gt;ROUNDUP(Q273/20,0),"Lần " &amp; ROUNDUP(Q274/20,0),"")</f>
        <v/>
      </c>
      <c r="AC274" s="11">
        <f>IF(ROUNDUP(R274/20,0)&gt;ROUNDUP(R273/20,0),"Lần " &amp; ROUNDUP(R274/20,0),"")</f>
        <v/>
      </c>
      <c r="AD274" s="11">
        <f>IF(ROUNDUP(S274/20,0)&gt;ROUNDUP(S273/20,0),"Lần " &amp; ROUNDUP(S274/20,0),"")</f>
        <v/>
      </c>
      <c r="AE274" s="11">
        <f>IF(ROUNDUP(T274/20,0)&gt;ROUNDUP(T273/20,0),"Lần " &amp; ROUNDUP(T274/20,0),"")</f>
        <v/>
      </c>
      <c r="AF274" s="11">
        <f>IF(ROUNDUP(U274/20,0)&gt;ROUNDUP(U273/20,0),"Lần " &amp; ROUNDUP(U274/20,0),"")</f>
        <v/>
      </c>
      <c r="AG274" s="11">
        <f>IF(ROUNDUP(V274/20,0)&gt;ROUNDUP(V273/20,0),"Lần " &amp; ROUNDUP(V274/20,0),"")</f>
        <v/>
      </c>
      <c r="AH274" s="11">
        <f>IF(ROUNDUP(W274/20,0)&gt;ROUNDUP(W273/20,0),"Lần " &amp; ROUNDUP(W274/20,0),"")</f>
        <v/>
      </c>
      <c r="AI274" s="11">
        <f>IF(ROUNDUP(X274/20,0)&gt;ROUNDUP(X273/20,0),"Lần " &amp; ROUNDUP(X274/20,0),"")</f>
        <v/>
      </c>
      <c r="AJ274" s="11">
        <f>IF(ROUNDUP(Y274/20,0)&gt;ROUNDUP(Y273/20,0),"Lần " &amp; ROUNDUP(Y274/20,0),"")</f>
        <v/>
      </c>
      <c r="AK274" s="11">
        <f>IF(ROUNDUP(Z274/20,0)&gt;ROUNDUP(Z273/20,0),"Lần " &amp; ROUNDUP(Z274/20,0),"")</f>
        <v/>
      </c>
      <c r="AL274" s="6" t="n"/>
      <c r="AN274" t="inlineStr">
        <is>
          <t>Dam</t>
        </is>
      </c>
      <c r="AO274" t="n">
        <v>59</v>
      </c>
    </row>
    <row r="275" ht="19" customHeight="1">
      <c r="A275" s="6" t="n">
        <v>266</v>
      </c>
      <c r="B275" s="7" t="inlineStr">
        <is>
          <t>Dầm chủ Super-T (15 phiến L=38.2m)</t>
        </is>
      </c>
      <c r="C275" s="7" t="inlineStr">
        <is>
          <t>Dầm S1B3 (bảng thép như S1B1) (tr.88)</t>
        </is>
      </c>
      <c r="D275" s="18" t="inlineStr">
        <is>
          <t>G4b1</t>
        </is>
      </c>
      <c r="E275" s="19" t="n">
        <v>12</v>
      </c>
      <c r="F275" s="6" t="inlineStr">
        <is>
          <t>CB400-V</t>
        </is>
      </c>
      <c r="G275" s="7" t="inlineStr">
        <is>
          <t>S01</t>
        </is>
      </c>
      <c r="H275" s="20" t="n">
        <v>11.7</v>
      </c>
      <c r="I275" s="21" t="n">
        <v>12</v>
      </c>
      <c r="J275" s="22" t="n">
        <v>0.888</v>
      </c>
      <c r="K275" s="9">
        <f>ROUND(H275*I275*J275, 2)</f>
        <v/>
      </c>
      <c r="L275" s="23">
        <f>ROUND(K275/1000, 3)</f>
        <v/>
      </c>
      <c r="M275" s="8">
        <f>IF(AO275="","",IF(INDEX(Theo_Doi_Tan_Suat_Be_Tong!$C:$C,AO275)="","",INDEX(Theo_Doi_Tan_Suat_Be_Tong!$C:$C,AO275)-VLOOKUP(AN275,$AQ$2:$AR$7,2,FALSE)))</f>
        <v/>
      </c>
      <c r="N275" s="6" t="n"/>
      <c r="O275" s="24">
        <f>IF(ROUNDUP(Q275/20,0)&gt;ROUNDUP(Q274/20,0),"TN Ø12 (Lần " &amp; ROUNDUP(Q275/20,0) &amp; ")","")</f>
        <v/>
      </c>
      <c r="P275" s="20">
        <f>ROUND(P274+IF(AND(E275&lt;=10,F275&lt;&gt;"ASTM A416"),L275,0),3)</f>
        <v/>
      </c>
      <c r="Q275" s="20">
        <f>ROUND(Q274+IF(AND(E275=12,F275&lt;&gt;"ASTM A416"),L275,0),3)</f>
        <v/>
      </c>
      <c r="R275" s="20">
        <f>ROUND(R274+IF(AND(E275=14,F275&lt;&gt;"ASTM A416"),L275,0),3)</f>
        <v/>
      </c>
      <c r="S275" s="20">
        <f>ROUND(S274+IF(AND(E275=16,F275&lt;&gt;"ASTM A416"),L275,0),3)</f>
        <v/>
      </c>
      <c r="T275" s="20">
        <f>ROUND(T274+IF(AND(E275=18,F275&lt;&gt;"ASTM A416"),L275,0),3)</f>
        <v/>
      </c>
      <c r="U275" s="20">
        <f>ROUND(U274+IF(AND(E275=20,F275&lt;&gt;"ASTM A416"),L275,0),3)</f>
        <v/>
      </c>
      <c r="V275" s="20">
        <f>ROUND(V274+IF(AND(E275=22,F275&lt;&gt;"ASTM A416"),L275,0),3)</f>
        <v/>
      </c>
      <c r="W275" s="20">
        <f>ROUND(W274+IF(AND(E275=25,F275&lt;&gt;"ASTM A416"),L275,0),3)</f>
        <v/>
      </c>
      <c r="X275" s="20">
        <f>ROUND(X274+IF(AND(E275=28,F275&lt;&gt;"ASTM A416"),L275,0),3)</f>
        <v/>
      </c>
      <c r="Y275" s="20">
        <f>ROUND(Y274+IF(AND(E275=32,F275&lt;&gt;"ASTM A416"),L275,0),3)</f>
        <v/>
      </c>
      <c r="Z275" s="20">
        <f>ROUND(Z274+IF(F275="ASTM A416",L275,0),3)</f>
        <v/>
      </c>
      <c r="AA275" s="11">
        <f>IF(ROUNDUP(P275/20,0)&gt;ROUNDUP(P274/20,0),"Lần " &amp; ROUNDUP(P275/20,0),"")</f>
        <v/>
      </c>
      <c r="AB275" s="11">
        <f>IF(ROUNDUP(Q275/20,0)&gt;ROUNDUP(Q274/20,0),"Lần " &amp; ROUNDUP(Q275/20,0),"")</f>
        <v/>
      </c>
      <c r="AC275" s="11">
        <f>IF(ROUNDUP(R275/20,0)&gt;ROUNDUP(R274/20,0),"Lần " &amp; ROUNDUP(R275/20,0),"")</f>
        <v/>
      </c>
      <c r="AD275" s="11">
        <f>IF(ROUNDUP(S275/20,0)&gt;ROUNDUP(S274/20,0),"Lần " &amp; ROUNDUP(S275/20,0),"")</f>
        <v/>
      </c>
      <c r="AE275" s="11">
        <f>IF(ROUNDUP(T275/20,0)&gt;ROUNDUP(T274/20,0),"Lần " &amp; ROUNDUP(T275/20,0),"")</f>
        <v/>
      </c>
      <c r="AF275" s="11">
        <f>IF(ROUNDUP(U275/20,0)&gt;ROUNDUP(U274/20,0),"Lần " &amp; ROUNDUP(U275/20,0),"")</f>
        <v/>
      </c>
      <c r="AG275" s="11">
        <f>IF(ROUNDUP(V275/20,0)&gt;ROUNDUP(V274/20,0),"Lần " &amp; ROUNDUP(V275/20,0),"")</f>
        <v/>
      </c>
      <c r="AH275" s="11">
        <f>IF(ROUNDUP(W275/20,0)&gt;ROUNDUP(W274/20,0),"Lần " &amp; ROUNDUP(W275/20,0),"")</f>
        <v/>
      </c>
      <c r="AI275" s="11">
        <f>IF(ROUNDUP(X275/20,0)&gt;ROUNDUP(X274/20,0),"Lần " &amp; ROUNDUP(X275/20,0),"")</f>
        <v/>
      </c>
      <c r="AJ275" s="11">
        <f>IF(ROUNDUP(Y275/20,0)&gt;ROUNDUP(Y274/20,0),"Lần " &amp; ROUNDUP(Y275/20,0),"")</f>
        <v/>
      </c>
      <c r="AK275" s="11">
        <f>IF(ROUNDUP(Z275/20,0)&gt;ROUNDUP(Z274/20,0),"Lần " &amp; ROUNDUP(Z275/20,0),"")</f>
        <v/>
      </c>
      <c r="AL275" s="6" t="n"/>
      <c r="AN275" t="inlineStr">
        <is>
          <t>Dam</t>
        </is>
      </c>
      <c r="AO275" t="n">
        <v>59</v>
      </c>
    </row>
    <row r="276" ht="19" customHeight="1">
      <c r="A276" s="6" t="n">
        <v>267</v>
      </c>
      <c r="B276" s="7" t="inlineStr">
        <is>
          <t>Dầm chủ Super-T (15 phiến L=38.2m)</t>
        </is>
      </c>
      <c r="C276" s="7" t="inlineStr">
        <is>
          <t>Dầm S1B3 (bảng thép như S1B1) (tr.88)</t>
        </is>
      </c>
      <c r="D276" s="18" t="inlineStr">
        <is>
          <t>G4b2</t>
        </is>
      </c>
      <c r="E276" s="19" t="n">
        <v>12</v>
      </c>
      <c r="F276" s="6" t="inlineStr">
        <is>
          <t>CB400-V</t>
        </is>
      </c>
      <c r="G276" s="7" t="inlineStr">
        <is>
          <t>S06</t>
        </is>
      </c>
      <c r="H276" s="20" t="n">
        <v>3.06</v>
      </c>
      <c r="I276" s="21" t="n">
        <v>4</v>
      </c>
      <c r="J276" s="22" t="n">
        <v>0.888</v>
      </c>
      <c r="K276" s="9">
        <f>ROUND(H276*I276*J276, 2)</f>
        <v/>
      </c>
      <c r="L276" s="23">
        <f>ROUND(K276/1000, 3)</f>
        <v/>
      </c>
      <c r="M276" s="8">
        <f>IF(AO276="","",IF(INDEX(Theo_Doi_Tan_Suat_Be_Tong!$C:$C,AO276)="","",INDEX(Theo_Doi_Tan_Suat_Be_Tong!$C:$C,AO276)-VLOOKUP(AN276,$AQ$2:$AR$7,2,FALSE)))</f>
        <v/>
      </c>
      <c r="N276" s="6" t="n"/>
      <c r="O276" s="24">
        <f>IF(ROUNDUP(Q276/20,0)&gt;ROUNDUP(Q275/20,0),"TN Ø12 (Lần " &amp; ROUNDUP(Q276/20,0) &amp; ")","")</f>
        <v/>
      </c>
      <c r="P276" s="20">
        <f>ROUND(P275+IF(AND(E276&lt;=10,F276&lt;&gt;"ASTM A416"),L276,0),3)</f>
        <v/>
      </c>
      <c r="Q276" s="20">
        <f>ROUND(Q275+IF(AND(E276=12,F276&lt;&gt;"ASTM A416"),L276,0),3)</f>
        <v/>
      </c>
      <c r="R276" s="20">
        <f>ROUND(R275+IF(AND(E276=14,F276&lt;&gt;"ASTM A416"),L276,0),3)</f>
        <v/>
      </c>
      <c r="S276" s="20">
        <f>ROUND(S275+IF(AND(E276=16,F276&lt;&gt;"ASTM A416"),L276,0),3)</f>
        <v/>
      </c>
      <c r="T276" s="20">
        <f>ROUND(T275+IF(AND(E276=18,F276&lt;&gt;"ASTM A416"),L276,0),3)</f>
        <v/>
      </c>
      <c r="U276" s="20">
        <f>ROUND(U275+IF(AND(E276=20,F276&lt;&gt;"ASTM A416"),L276,0),3)</f>
        <v/>
      </c>
      <c r="V276" s="20">
        <f>ROUND(V275+IF(AND(E276=22,F276&lt;&gt;"ASTM A416"),L276,0),3)</f>
        <v/>
      </c>
      <c r="W276" s="20">
        <f>ROUND(W275+IF(AND(E276=25,F276&lt;&gt;"ASTM A416"),L276,0),3)</f>
        <v/>
      </c>
      <c r="X276" s="20">
        <f>ROUND(X275+IF(AND(E276=28,F276&lt;&gt;"ASTM A416"),L276,0),3)</f>
        <v/>
      </c>
      <c r="Y276" s="20">
        <f>ROUND(Y275+IF(AND(E276=32,F276&lt;&gt;"ASTM A416"),L276,0),3)</f>
        <v/>
      </c>
      <c r="Z276" s="20">
        <f>ROUND(Z275+IF(F276="ASTM A416",L276,0),3)</f>
        <v/>
      </c>
      <c r="AA276" s="11">
        <f>IF(ROUNDUP(P276/20,0)&gt;ROUNDUP(P275/20,0),"Lần " &amp; ROUNDUP(P276/20,0),"")</f>
        <v/>
      </c>
      <c r="AB276" s="11">
        <f>IF(ROUNDUP(Q276/20,0)&gt;ROUNDUP(Q275/20,0),"Lần " &amp; ROUNDUP(Q276/20,0),"")</f>
        <v/>
      </c>
      <c r="AC276" s="11">
        <f>IF(ROUNDUP(R276/20,0)&gt;ROUNDUP(R275/20,0),"Lần " &amp; ROUNDUP(R276/20,0),"")</f>
        <v/>
      </c>
      <c r="AD276" s="11">
        <f>IF(ROUNDUP(S276/20,0)&gt;ROUNDUP(S275/20,0),"Lần " &amp; ROUNDUP(S276/20,0),"")</f>
        <v/>
      </c>
      <c r="AE276" s="11">
        <f>IF(ROUNDUP(T276/20,0)&gt;ROUNDUP(T275/20,0),"Lần " &amp; ROUNDUP(T276/20,0),"")</f>
        <v/>
      </c>
      <c r="AF276" s="11">
        <f>IF(ROUNDUP(U276/20,0)&gt;ROUNDUP(U275/20,0),"Lần " &amp; ROUNDUP(U276/20,0),"")</f>
        <v/>
      </c>
      <c r="AG276" s="11">
        <f>IF(ROUNDUP(V276/20,0)&gt;ROUNDUP(V275/20,0),"Lần " &amp; ROUNDUP(V276/20,0),"")</f>
        <v/>
      </c>
      <c r="AH276" s="11">
        <f>IF(ROUNDUP(W276/20,0)&gt;ROUNDUP(W275/20,0),"Lần " &amp; ROUNDUP(W276/20,0),"")</f>
        <v/>
      </c>
      <c r="AI276" s="11">
        <f>IF(ROUNDUP(X276/20,0)&gt;ROUNDUP(X275/20,0),"Lần " &amp; ROUNDUP(X276/20,0),"")</f>
        <v/>
      </c>
      <c r="AJ276" s="11">
        <f>IF(ROUNDUP(Y276/20,0)&gt;ROUNDUP(Y275/20,0),"Lần " &amp; ROUNDUP(Y276/20,0),"")</f>
        <v/>
      </c>
      <c r="AK276" s="11">
        <f>IF(ROUNDUP(Z276/20,0)&gt;ROUNDUP(Z275/20,0),"Lần " &amp; ROUNDUP(Z276/20,0),"")</f>
        <v/>
      </c>
      <c r="AL276" s="6" t="n"/>
      <c r="AN276" t="inlineStr">
        <is>
          <t>Dam</t>
        </is>
      </c>
      <c r="AO276" t="n">
        <v>59</v>
      </c>
    </row>
    <row r="277" ht="19" customHeight="1">
      <c r="A277" s="6" t="n">
        <v>268</v>
      </c>
      <c r="B277" s="7" t="inlineStr">
        <is>
          <t>Dầm chủ Super-T (15 phiến L=38.2m)</t>
        </is>
      </c>
      <c r="C277" s="7" t="inlineStr">
        <is>
          <t>Dầm S1B3 (bảng thép như S1B1) (tr.88)</t>
        </is>
      </c>
      <c r="D277" s="18" t="inlineStr">
        <is>
          <t>G5a</t>
        </is>
      </c>
      <c r="E277" s="19" t="n">
        <v>16</v>
      </c>
      <c r="F277" s="6" t="inlineStr">
        <is>
          <t>CB400-V</t>
        </is>
      </c>
      <c r="G277" s="7" t="inlineStr">
        <is>
          <t>S01</t>
        </is>
      </c>
      <c r="H277" s="20" t="n">
        <v>11.7</v>
      </c>
      <c r="I277" s="21" t="n">
        <v>28</v>
      </c>
      <c r="J277" s="22" t="n">
        <v>1.578</v>
      </c>
      <c r="K277" s="9">
        <f>ROUND(H277*I277*J277, 2)</f>
        <v/>
      </c>
      <c r="L277" s="23">
        <f>ROUND(K277/1000, 3)</f>
        <v/>
      </c>
      <c r="M277" s="8">
        <f>IF(AO277="","",IF(INDEX(Theo_Doi_Tan_Suat_Be_Tong!$C:$C,AO277)="","",INDEX(Theo_Doi_Tan_Suat_Be_Tong!$C:$C,AO277)-VLOOKUP(AN277,$AQ$2:$AR$7,2,FALSE)))</f>
        <v/>
      </c>
      <c r="N277" s="6" t="n"/>
      <c r="O277" s="24">
        <f>IF(ROUNDUP(S277/20,0)&gt;ROUNDUP(S276/20,0),"TN Ø16 (Lần " &amp; ROUNDUP(S277/20,0) &amp; ")","")</f>
        <v/>
      </c>
      <c r="P277" s="20">
        <f>ROUND(P276+IF(AND(E277&lt;=10,F277&lt;&gt;"ASTM A416"),L277,0),3)</f>
        <v/>
      </c>
      <c r="Q277" s="20">
        <f>ROUND(Q276+IF(AND(E277=12,F277&lt;&gt;"ASTM A416"),L277,0),3)</f>
        <v/>
      </c>
      <c r="R277" s="20">
        <f>ROUND(R276+IF(AND(E277=14,F277&lt;&gt;"ASTM A416"),L277,0),3)</f>
        <v/>
      </c>
      <c r="S277" s="20">
        <f>ROUND(S276+IF(AND(E277=16,F277&lt;&gt;"ASTM A416"),L277,0),3)</f>
        <v/>
      </c>
      <c r="T277" s="20">
        <f>ROUND(T276+IF(AND(E277=18,F277&lt;&gt;"ASTM A416"),L277,0),3)</f>
        <v/>
      </c>
      <c r="U277" s="20">
        <f>ROUND(U276+IF(AND(E277=20,F277&lt;&gt;"ASTM A416"),L277,0),3)</f>
        <v/>
      </c>
      <c r="V277" s="20">
        <f>ROUND(V276+IF(AND(E277=22,F277&lt;&gt;"ASTM A416"),L277,0),3)</f>
        <v/>
      </c>
      <c r="W277" s="20">
        <f>ROUND(W276+IF(AND(E277=25,F277&lt;&gt;"ASTM A416"),L277,0),3)</f>
        <v/>
      </c>
      <c r="X277" s="20">
        <f>ROUND(X276+IF(AND(E277=28,F277&lt;&gt;"ASTM A416"),L277,0),3)</f>
        <v/>
      </c>
      <c r="Y277" s="20">
        <f>ROUND(Y276+IF(AND(E277=32,F277&lt;&gt;"ASTM A416"),L277,0),3)</f>
        <v/>
      </c>
      <c r="Z277" s="20">
        <f>ROUND(Z276+IF(F277="ASTM A416",L277,0),3)</f>
        <v/>
      </c>
      <c r="AA277" s="11">
        <f>IF(ROUNDUP(P277/20,0)&gt;ROUNDUP(P276/20,0),"Lần " &amp; ROUNDUP(P277/20,0),"")</f>
        <v/>
      </c>
      <c r="AB277" s="11">
        <f>IF(ROUNDUP(Q277/20,0)&gt;ROUNDUP(Q276/20,0),"Lần " &amp; ROUNDUP(Q277/20,0),"")</f>
        <v/>
      </c>
      <c r="AC277" s="11">
        <f>IF(ROUNDUP(R277/20,0)&gt;ROUNDUP(R276/20,0),"Lần " &amp; ROUNDUP(R277/20,0),"")</f>
        <v/>
      </c>
      <c r="AD277" s="11">
        <f>IF(ROUNDUP(S277/20,0)&gt;ROUNDUP(S276/20,0),"Lần " &amp; ROUNDUP(S277/20,0),"")</f>
        <v/>
      </c>
      <c r="AE277" s="11">
        <f>IF(ROUNDUP(T277/20,0)&gt;ROUNDUP(T276/20,0),"Lần " &amp; ROUNDUP(T277/20,0),"")</f>
        <v/>
      </c>
      <c r="AF277" s="11">
        <f>IF(ROUNDUP(U277/20,0)&gt;ROUNDUP(U276/20,0),"Lần " &amp; ROUNDUP(U277/20,0),"")</f>
        <v/>
      </c>
      <c r="AG277" s="11">
        <f>IF(ROUNDUP(V277/20,0)&gt;ROUNDUP(V276/20,0),"Lần " &amp; ROUNDUP(V277/20,0),"")</f>
        <v/>
      </c>
      <c r="AH277" s="11">
        <f>IF(ROUNDUP(W277/20,0)&gt;ROUNDUP(W276/20,0),"Lần " &amp; ROUNDUP(W277/20,0),"")</f>
        <v/>
      </c>
      <c r="AI277" s="11">
        <f>IF(ROUNDUP(X277/20,0)&gt;ROUNDUP(X276/20,0),"Lần " &amp; ROUNDUP(X277/20,0),"")</f>
        <v/>
      </c>
      <c r="AJ277" s="11">
        <f>IF(ROUNDUP(Y277/20,0)&gt;ROUNDUP(Y276/20,0),"Lần " &amp; ROUNDUP(Y277/20,0),"")</f>
        <v/>
      </c>
      <c r="AK277" s="11">
        <f>IF(ROUNDUP(Z277/20,0)&gt;ROUNDUP(Z276/20,0),"Lần " &amp; ROUNDUP(Z277/20,0),"")</f>
        <v/>
      </c>
      <c r="AL277" s="6" t="n"/>
      <c r="AN277" t="inlineStr">
        <is>
          <t>Dam</t>
        </is>
      </c>
      <c r="AO277" t="n">
        <v>59</v>
      </c>
    </row>
    <row r="278" ht="19" customHeight="1">
      <c r="A278" s="6" t="n">
        <v>269</v>
      </c>
      <c r="B278" s="7" t="inlineStr">
        <is>
          <t>Dầm chủ Super-T (15 phiến L=38.2m)</t>
        </is>
      </c>
      <c r="C278" s="7" t="inlineStr">
        <is>
          <t>Dầm S1B3 (bảng thép như S1B1) (tr.88)</t>
        </is>
      </c>
      <c r="D278" s="18" t="inlineStr">
        <is>
          <t>G5b</t>
        </is>
      </c>
      <c r="E278" s="19" t="n">
        <v>18</v>
      </c>
      <c r="F278" s="6" t="inlineStr">
        <is>
          <t>CB400-V</t>
        </is>
      </c>
      <c r="G278" s="7" t="inlineStr">
        <is>
          <t>S06</t>
        </is>
      </c>
      <c r="H278" s="20" t="n">
        <v>2.86</v>
      </c>
      <c r="I278" s="21" t="n">
        <v>14</v>
      </c>
      <c r="J278" s="22" t="n">
        <v>1.998</v>
      </c>
      <c r="K278" s="9">
        <f>ROUND(H278*I278*J278, 2)</f>
        <v/>
      </c>
      <c r="L278" s="23">
        <f>ROUND(K278/1000, 3)</f>
        <v/>
      </c>
      <c r="M278" s="8">
        <f>IF(AO278="","",IF(INDEX(Theo_Doi_Tan_Suat_Be_Tong!$C:$C,AO278)="","",INDEX(Theo_Doi_Tan_Suat_Be_Tong!$C:$C,AO278)-VLOOKUP(AN278,$AQ$2:$AR$7,2,FALSE)))</f>
        <v/>
      </c>
      <c r="N278" s="6" t="n"/>
      <c r="O278" s="24">
        <f>IF(ROUNDUP(T278/20,0)&gt;ROUNDUP(T277/20,0),"TN Ø18 (Lần " &amp; ROUNDUP(T278/20,0) &amp; ")","")</f>
        <v/>
      </c>
      <c r="P278" s="20">
        <f>ROUND(P277+IF(AND(E278&lt;=10,F278&lt;&gt;"ASTM A416"),L278,0),3)</f>
        <v/>
      </c>
      <c r="Q278" s="20">
        <f>ROUND(Q277+IF(AND(E278=12,F278&lt;&gt;"ASTM A416"),L278,0),3)</f>
        <v/>
      </c>
      <c r="R278" s="20">
        <f>ROUND(R277+IF(AND(E278=14,F278&lt;&gt;"ASTM A416"),L278,0),3)</f>
        <v/>
      </c>
      <c r="S278" s="20">
        <f>ROUND(S277+IF(AND(E278=16,F278&lt;&gt;"ASTM A416"),L278,0),3)</f>
        <v/>
      </c>
      <c r="T278" s="20">
        <f>ROUND(T277+IF(AND(E278=18,F278&lt;&gt;"ASTM A416"),L278,0),3)</f>
        <v/>
      </c>
      <c r="U278" s="20">
        <f>ROUND(U277+IF(AND(E278=20,F278&lt;&gt;"ASTM A416"),L278,0),3)</f>
        <v/>
      </c>
      <c r="V278" s="20">
        <f>ROUND(V277+IF(AND(E278=22,F278&lt;&gt;"ASTM A416"),L278,0),3)</f>
        <v/>
      </c>
      <c r="W278" s="20">
        <f>ROUND(W277+IF(AND(E278=25,F278&lt;&gt;"ASTM A416"),L278,0),3)</f>
        <v/>
      </c>
      <c r="X278" s="20">
        <f>ROUND(X277+IF(AND(E278=28,F278&lt;&gt;"ASTM A416"),L278,0),3)</f>
        <v/>
      </c>
      <c r="Y278" s="20">
        <f>ROUND(Y277+IF(AND(E278=32,F278&lt;&gt;"ASTM A416"),L278,0),3)</f>
        <v/>
      </c>
      <c r="Z278" s="20">
        <f>ROUND(Z277+IF(F278="ASTM A416",L278,0),3)</f>
        <v/>
      </c>
      <c r="AA278" s="11">
        <f>IF(ROUNDUP(P278/20,0)&gt;ROUNDUP(P277/20,0),"Lần " &amp; ROUNDUP(P278/20,0),"")</f>
        <v/>
      </c>
      <c r="AB278" s="11">
        <f>IF(ROUNDUP(Q278/20,0)&gt;ROUNDUP(Q277/20,0),"Lần " &amp; ROUNDUP(Q278/20,0),"")</f>
        <v/>
      </c>
      <c r="AC278" s="11">
        <f>IF(ROUNDUP(R278/20,0)&gt;ROUNDUP(R277/20,0),"Lần " &amp; ROUNDUP(R278/20,0),"")</f>
        <v/>
      </c>
      <c r="AD278" s="11">
        <f>IF(ROUNDUP(S278/20,0)&gt;ROUNDUP(S277/20,0),"Lần " &amp; ROUNDUP(S278/20,0),"")</f>
        <v/>
      </c>
      <c r="AE278" s="11">
        <f>IF(ROUNDUP(T278/20,0)&gt;ROUNDUP(T277/20,0),"Lần " &amp; ROUNDUP(T278/20,0),"")</f>
        <v/>
      </c>
      <c r="AF278" s="11">
        <f>IF(ROUNDUP(U278/20,0)&gt;ROUNDUP(U277/20,0),"Lần " &amp; ROUNDUP(U278/20,0),"")</f>
        <v/>
      </c>
      <c r="AG278" s="11">
        <f>IF(ROUNDUP(V278/20,0)&gt;ROUNDUP(V277/20,0),"Lần " &amp; ROUNDUP(V278/20,0),"")</f>
        <v/>
      </c>
      <c r="AH278" s="11">
        <f>IF(ROUNDUP(W278/20,0)&gt;ROUNDUP(W277/20,0),"Lần " &amp; ROUNDUP(W278/20,0),"")</f>
        <v/>
      </c>
      <c r="AI278" s="11">
        <f>IF(ROUNDUP(X278/20,0)&gt;ROUNDUP(X277/20,0),"Lần " &amp; ROUNDUP(X278/20,0),"")</f>
        <v/>
      </c>
      <c r="AJ278" s="11">
        <f>IF(ROUNDUP(Y278/20,0)&gt;ROUNDUP(Y277/20,0),"Lần " &amp; ROUNDUP(Y278/20,0),"")</f>
        <v/>
      </c>
      <c r="AK278" s="11">
        <f>IF(ROUNDUP(Z278/20,0)&gt;ROUNDUP(Z277/20,0),"Lần " &amp; ROUNDUP(Z278/20,0),"")</f>
        <v/>
      </c>
      <c r="AL278" s="6" t="n"/>
      <c r="AN278" t="inlineStr">
        <is>
          <t>Dam</t>
        </is>
      </c>
      <c r="AO278" t="n">
        <v>59</v>
      </c>
    </row>
    <row r="279" ht="19" customHeight="1">
      <c r="A279" s="6" t="n">
        <v>270</v>
      </c>
      <c r="B279" s="7" t="inlineStr">
        <is>
          <t>Dầm chủ Super-T (15 phiến L=38.2m)</t>
        </is>
      </c>
      <c r="C279" s="7" t="inlineStr">
        <is>
          <t>Dầm S1B3 (bảng thép như S1B1) (tr.88)</t>
        </is>
      </c>
      <c r="D279" s="18" t="inlineStr">
        <is>
          <t>G5c</t>
        </is>
      </c>
      <c r="E279" s="19" t="n">
        <v>16</v>
      </c>
      <c r="F279" s="6" t="inlineStr">
        <is>
          <t>CB400-V</t>
        </is>
      </c>
      <c r="G279" s="7" t="inlineStr">
        <is>
          <t>S01</t>
        </is>
      </c>
      <c r="H279" s="20" t="n">
        <v>10.68</v>
      </c>
      <c r="I279" s="21" t="n">
        <v>14</v>
      </c>
      <c r="J279" s="22" t="n">
        <v>1.578</v>
      </c>
      <c r="K279" s="9">
        <f>ROUND(H279*I279*J279, 2)</f>
        <v/>
      </c>
      <c r="L279" s="23">
        <f>ROUND(K279/1000, 3)</f>
        <v/>
      </c>
      <c r="M279" s="8">
        <f>IF(AO279="","",IF(INDEX(Theo_Doi_Tan_Suat_Be_Tong!$C:$C,AO279)="","",INDEX(Theo_Doi_Tan_Suat_Be_Tong!$C:$C,AO279)-VLOOKUP(AN279,$AQ$2:$AR$7,2,FALSE)))</f>
        <v/>
      </c>
      <c r="N279" s="6" t="n"/>
      <c r="O279" s="24">
        <f>IF(ROUNDUP(S279/20,0)&gt;ROUNDUP(S278/20,0),"TN Ø16 (Lần " &amp; ROUNDUP(S279/20,0) &amp; ")","")</f>
        <v/>
      </c>
      <c r="P279" s="20">
        <f>ROUND(P278+IF(AND(E279&lt;=10,F279&lt;&gt;"ASTM A416"),L279,0),3)</f>
        <v/>
      </c>
      <c r="Q279" s="20">
        <f>ROUND(Q278+IF(AND(E279=12,F279&lt;&gt;"ASTM A416"),L279,0),3)</f>
        <v/>
      </c>
      <c r="R279" s="20">
        <f>ROUND(R278+IF(AND(E279=14,F279&lt;&gt;"ASTM A416"),L279,0),3)</f>
        <v/>
      </c>
      <c r="S279" s="20">
        <f>ROUND(S278+IF(AND(E279=16,F279&lt;&gt;"ASTM A416"),L279,0),3)</f>
        <v/>
      </c>
      <c r="T279" s="20">
        <f>ROUND(T278+IF(AND(E279=18,F279&lt;&gt;"ASTM A416"),L279,0),3)</f>
        <v/>
      </c>
      <c r="U279" s="20">
        <f>ROUND(U278+IF(AND(E279=20,F279&lt;&gt;"ASTM A416"),L279,0),3)</f>
        <v/>
      </c>
      <c r="V279" s="20">
        <f>ROUND(V278+IF(AND(E279=22,F279&lt;&gt;"ASTM A416"),L279,0),3)</f>
        <v/>
      </c>
      <c r="W279" s="20">
        <f>ROUND(W278+IF(AND(E279=25,F279&lt;&gt;"ASTM A416"),L279,0),3)</f>
        <v/>
      </c>
      <c r="X279" s="20">
        <f>ROUND(X278+IF(AND(E279=28,F279&lt;&gt;"ASTM A416"),L279,0),3)</f>
        <v/>
      </c>
      <c r="Y279" s="20">
        <f>ROUND(Y278+IF(AND(E279=32,F279&lt;&gt;"ASTM A416"),L279,0),3)</f>
        <v/>
      </c>
      <c r="Z279" s="20">
        <f>ROUND(Z278+IF(F279="ASTM A416",L279,0),3)</f>
        <v/>
      </c>
      <c r="AA279" s="11">
        <f>IF(ROUNDUP(P279/20,0)&gt;ROUNDUP(P278/20,0),"Lần " &amp; ROUNDUP(P279/20,0),"")</f>
        <v/>
      </c>
      <c r="AB279" s="11">
        <f>IF(ROUNDUP(Q279/20,0)&gt;ROUNDUP(Q278/20,0),"Lần " &amp; ROUNDUP(Q279/20,0),"")</f>
        <v/>
      </c>
      <c r="AC279" s="11">
        <f>IF(ROUNDUP(R279/20,0)&gt;ROUNDUP(R278/20,0),"Lần " &amp; ROUNDUP(R279/20,0),"")</f>
        <v/>
      </c>
      <c r="AD279" s="11">
        <f>IF(ROUNDUP(S279/20,0)&gt;ROUNDUP(S278/20,0),"Lần " &amp; ROUNDUP(S279/20,0),"")</f>
        <v/>
      </c>
      <c r="AE279" s="11">
        <f>IF(ROUNDUP(T279/20,0)&gt;ROUNDUP(T278/20,0),"Lần " &amp; ROUNDUP(T279/20,0),"")</f>
        <v/>
      </c>
      <c r="AF279" s="11">
        <f>IF(ROUNDUP(U279/20,0)&gt;ROUNDUP(U278/20,0),"Lần " &amp; ROUNDUP(U279/20,0),"")</f>
        <v/>
      </c>
      <c r="AG279" s="11">
        <f>IF(ROUNDUP(V279/20,0)&gt;ROUNDUP(V278/20,0),"Lần " &amp; ROUNDUP(V279/20,0),"")</f>
        <v/>
      </c>
      <c r="AH279" s="11">
        <f>IF(ROUNDUP(W279/20,0)&gt;ROUNDUP(W278/20,0),"Lần " &amp; ROUNDUP(W279/20,0),"")</f>
        <v/>
      </c>
      <c r="AI279" s="11">
        <f>IF(ROUNDUP(X279/20,0)&gt;ROUNDUP(X278/20,0),"Lần " &amp; ROUNDUP(X279/20,0),"")</f>
        <v/>
      </c>
      <c r="AJ279" s="11">
        <f>IF(ROUNDUP(Y279/20,0)&gt;ROUNDUP(Y278/20,0),"Lần " &amp; ROUNDUP(Y279/20,0),"")</f>
        <v/>
      </c>
      <c r="AK279" s="11">
        <f>IF(ROUNDUP(Z279/20,0)&gt;ROUNDUP(Z278/20,0),"Lần " &amp; ROUNDUP(Z279/20,0),"")</f>
        <v/>
      </c>
      <c r="AL279" s="6" t="n"/>
      <c r="AN279" t="inlineStr">
        <is>
          <t>Dam</t>
        </is>
      </c>
      <c r="AO279" t="n">
        <v>59</v>
      </c>
    </row>
    <row r="280" ht="19" customHeight="1">
      <c r="A280" s="6" t="n">
        <v>271</v>
      </c>
      <c r="B280" s="7" t="inlineStr">
        <is>
          <t>Dầm chủ Super-T (15 phiến L=38.2m)</t>
        </is>
      </c>
      <c r="C280" s="7" t="inlineStr">
        <is>
          <t>Dầm S1B3 (bảng thép như S1B1) (tr.88)</t>
        </is>
      </c>
      <c r="D280" s="18" t="inlineStr">
        <is>
          <t>G5d</t>
        </is>
      </c>
      <c r="E280" s="19" t="n">
        <v>18</v>
      </c>
      <c r="F280" s="6" t="inlineStr">
        <is>
          <t>CB400-V</t>
        </is>
      </c>
      <c r="G280" s="7" t="inlineStr">
        <is>
          <t>S06</t>
        </is>
      </c>
      <c r="H280" s="20" t="n">
        <v>3.9</v>
      </c>
      <c r="I280" s="21" t="n">
        <v>14</v>
      </c>
      <c r="J280" s="22" t="n">
        <v>1.998</v>
      </c>
      <c r="K280" s="9">
        <f>ROUND(H280*I280*J280, 2)</f>
        <v/>
      </c>
      <c r="L280" s="23">
        <f>ROUND(K280/1000, 3)</f>
        <v/>
      </c>
      <c r="M280" s="8">
        <f>IF(AO280="","",IF(INDEX(Theo_Doi_Tan_Suat_Be_Tong!$C:$C,AO280)="","",INDEX(Theo_Doi_Tan_Suat_Be_Tong!$C:$C,AO280)-VLOOKUP(AN280,$AQ$2:$AR$7,2,FALSE)))</f>
        <v/>
      </c>
      <c r="N280" s="6" t="n"/>
      <c r="O280" s="24">
        <f>IF(ROUNDUP(T280/20,0)&gt;ROUNDUP(T279/20,0),"TN Ø18 (Lần " &amp; ROUNDUP(T280/20,0) &amp; ")","")</f>
        <v/>
      </c>
      <c r="P280" s="20">
        <f>ROUND(P279+IF(AND(E280&lt;=10,F280&lt;&gt;"ASTM A416"),L280,0),3)</f>
        <v/>
      </c>
      <c r="Q280" s="20">
        <f>ROUND(Q279+IF(AND(E280=12,F280&lt;&gt;"ASTM A416"),L280,0),3)</f>
        <v/>
      </c>
      <c r="R280" s="20">
        <f>ROUND(R279+IF(AND(E280=14,F280&lt;&gt;"ASTM A416"),L280,0),3)</f>
        <v/>
      </c>
      <c r="S280" s="20">
        <f>ROUND(S279+IF(AND(E280=16,F280&lt;&gt;"ASTM A416"),L280,0),3)</f>
        <v/>
      </c>
      <c r="T280" s="20">
        <f>ROUND(T279+IF(AND(E280=18,F280&lt;&gt;"ASTM A416"),L280,0),3)</f>
        <v/>
      </c>
      <c r="U280" s="20">
        <f>ROUND(U279+IF(AND(E280=20,F280&lt;&gt;"ASTM A416"),L280,0),3)</f>
        <v/>
      </c>
      <c r="V280" s="20">
        <f>ROUND(V279+IF(AND(E280=22,F280&lt;&gt;"ASTM A416"),L280,0),3)</f>
        <v/>
      </c>
      <c r="W280" s="20">
        <f>ROUND(W279+IF(AND(E280=25,F280&lt;&gt;"ASTM A416"),L280,0),3)</f>
        <v/>
      </c>
      <c r="X280" s="20">
        <f>ROUND(X279+IF(AND(E280=28,F280&lt;&gt;"ASTM A416"),L280,0),3)</f>
        <v/>
      </c>
      <c r="Y280" s="20">
        <f>ROUND(Y279+IF(AND(E280=32,F280&lt;&gt;"ASTM A416"),L280,0),3)</f>
        <v/>
      </c>
      <c r="Z280" s="20">
        <f>ROUND(Z279+IF(F280="ASTM A416",L280,0),3)</f>
        <v/>
      </c>
      <c r="AA280" s="11">
        <f>IF(ROUNDUP(P280/20,0)&gt;ROUNDUP(P279/20,0),"Lần " &amp; ROUNDUP(P280/20,0),"")</f>
        <v/>
      </c>
      <c r="AB280" s="11">
        <f>IF(ROUNDUP(Q280/20,0)&gt;ROUNDUP(Q279/20,0),"Lần " &amp; ROUNDUP(Q280/20,0),"")</f>
        <v/>
      </c>
      <c r="AC280" s="11">
        <f>IF(ROUNDUP(R280/20,0)&gt;ROUNDUP(R279/20,0),"Lần " &amp; ROUNDUP(R280/20,0),"")</f>
        <v/>
      </c>
      <c r="AD280" s="11">
        <f>IF(ROUNDUP(S280/20,0)&gt;ROUNDUP(S279/20,0),"Lần " &amp; ROUNDUP(S280/20,0),"")</f>
        <v/>
      </c>
      <c r="AE280" s="11">
        <f>IF(ROUNDUP(T280/20,0)&gt;ROUNDUP(T279/20,0),"Lần " &amp; ROUNDUP(T280/20,0),"")</f>
        <v/>
      </c>
      <c r="AF280" s="11">
        <f>IF(ROUNDUP(U280/20,0)&gt;ROUNDUP(U279/20,0),"Lần " &amp; ROUNDUP(U280/20,0),"")</f>
        <v/>
      </c>
      <c r="AG280" s="11">
        <f>IF(ROUNDUP(V280/20,0)&gt;ROUNDUP(V279/20,0),"Lần " &amp; ROUNDUP(V280/20,0),"")</f>
        <v/>
      </c>
      <c r="AH280" s="11">
        <f>IF(ROUNDUP(W280/20,0)&gt;ROUNDUP(W279/20,0),"Lần " &amp; ROUNDUP(W280/20,0),"")</f>
        <v/>
      </c>
      <c r="AI280" s="11">
        <f>IF(ROUNDUP(X280/20,0)&gt;ROUNDUP(X279/20,0),"Lần " &amp; ROUNDUP(X280/20,0),"")</f>
        <v/>
      </c>
      <c r="AJ280" s="11">
        <f>IF(ROUNDUP(Y280/20,0)&gt;ROUNDUP(Y279/20,0),"Lần " &amp; ROUNDUP(Y280/20,0),"")</f>
        <v/>
      </c>
      <c r="AK280" s="11">
        <f>IF(ROUNDUP(Z280/20,0)&gt;ROUNDUP(Z279/20,0),"Lần " &amp; ROUNDUP(Z280/20,0),"")</f>
        <v/>
      </c>
      <c r="AL280" s="6" t="n"/>
      <c r="AN280" t="inlineStr">
        <is>
          <t>Dam</t>
        </is>
      </c>
      <c r="AO280" t="n">
        <v>59</v>
      </c>
    </row>
    <row r="281" ht="19" customHeight="1">
      <c r="A281" s="6" t="n">
        <v>272</v>
      </c>
      <c r="B281" s="7" t="inlineStr">
        <is>
          <t>Dầm chủ Super-T (15 phiến L=38.2m)</t>
        </is>
      </c>
      <c r="C281" s="7" t="inlineStr">
        <is>
          <t>Dầm S1B3 (bảng thép như S1B1) (tr.88)</t>
        </is>
      </c>
      <c r="D281" s="18" t="inlineStr">
        <is>
          <t>G6a</t>
        </is>
      </c>
      <c r="E281" s="19" t="n">
        <v>32</v>
      </c>
      <c r="F281" s="6" t="inlineStr">
        <is>
          <t>CB400-V</t>
        </is>
      </c>
      <c r="G281" s="7" t="inlineStr">
        <is>
          <t>S01</t>
        </is>
      </c>
      <c r="H281" s="20" t="n">
        <v>11.7</v>
      </c>
      <c r="I281" s="21" t="n">
        <v>9</v>
      </c>
      <c r="J281" s="22" t="n">
        <v>6.313</v>
      </c>
      <c r="K281" s="9">
        <f>ROUND(H281*I281*J281, 2)</f>
        <v/>
      </c>
      <c r="L281" s="23">
        <f>ROUND(K281/1000, 3)</f>
        <v/>
      </c>
      <c r="M281" s="8">
        <f>IF(AO281="","",IF(INDEX(Theo_Doi_Tan_Suat_Be_Tong!$C:$C,AO281)="","",INDEX(Theo_Doi_Tan_Suat_Be_Tong!$C:$C,AO281)-VLOOKUP(AN281,$AQ$2:$AR$7,2,FALSE)))</f>
        <v/>
      </c>
      <c r="N281" s="6" t="n"/>
      <c r="O281" s="24">
        <f>IF(ROUNDUP(Y281/20,0)&gt;ROUNDUP(Y280/20,0),"TN Ø32 (Lần " &amp; ROUNDUP(Y281/20,0) &amp; ")","")</f>
        <v/>
      </c>
      <c r="P281" s="20">
        <f>ROUND(P280+IF(AND(E281&lt;=10,F281&lt;&gt;"ASTM A416"),L281,0),3)</f>
        <v/>
      </c>
      <c r="Q281" s="20">
        <f>ROUND(Q280+IF(AND(E281=12,F281&lt;&gt;"ASTM A416"),L281,0),3)</f>
        <v/>
      </c>
      <c r="R281" s="20">
        <f>ROUND(R280+IF(AND(E281=14,F281&lt;&gt;"ASTM A416"),L281,0),3)</f>
        <v/>
      </c>
      <c r="S281" s="20">
        <f>ROUND(S280+IF(AND(E281=16,F281&lt;&gt;"ASTM A416"),L281,0),3)</f>
        <v/>
      </c>
      <c r="T281" s="20">
        <f>ROUND(T280+IF(AND(E281=18,F281&lt;&gt;"ASTM A416"),L281,0),3)</f>
        <v/>
      </c>
      <c r="U281" s="20">
        <f>ROUND(U280+IF(AND(E281=20,F281&lt;&gt;"ASTM A416"),L281,0),3)</f>
        <v/>
      </c>
      <c r="V281" s="20">
        <f>ROUND(V280+IF(AND(E281=22,F281&lt;&gt;"ASTM A416"),L281,0),3)</f>
        <v/>
      </c>
      <c r="W281" s="20">
        <f>ROUND(W280+IF(AND(E281=25,F281&lt;&gt;"ASTM A416"),L281,0),3)</f>
        <v/>
      </c>
      <c r="X281" s="20">
        <f>ROUND(X280+IF(AND(E281=28,F281&lt;&gt;"ASTM A416"),L281,0),3)</f>
        <v/>
      </c>
      <c r="Y281" s="20">
        <f>ROUND(Y280+IF(AND(E281=32,F281&lt;&gt;"ASTM A416"),L281,0),3)</f>
        <v/>
      </c>
      <c r="Z281" s="20">
        <f>ROUND(Z280+IF(F281="ASTM A416",L281,0),3)</f>
        <v/>
      </c>
      <c r="AA281" s="11">
        <f>IF(ROUNDUP(P281/20,0)&gt;ROUNDUP(P280/20,0),"Lần " &amp; ROUNDUP(P281/20,0),"")</f>
        <v/>
      </c>
      <c r="AB281" s="11">
        <f>IF(ROUNDUP(Q281/20,0)&gt;ROUNDUP(Q280/20,0),"Lần " &amp; ROUNDUP(Q281/20,0),"")</f>
        <v/>
      </c>
      <c r="AC281" s="11">
        <f>IF(ROUNDUP(R281/20,0)&gt;ROUNDUP(R280/20,0),"Lần " &amp; ROUNDUP(R281/20,0),"")</f>
        <v/>
      </c>
      <c r="AD281" s="11">
        <f>IF(ROUNDUP(S281/20,0)&gt;ROUNDUP(S280/20,0),"Lần " &amp; ROUNDUP(S281/20,0),"")</f>
        <v/>
      </c>
      <c r="AE281" s="11">
        <f>IF(ROUNDUP(T281/20,0)&gt;ROUNDUP(T280/20,0),"Lần " &amp; ROUNDUP(T281/20,0),"")</f>
        <v/>
      </c>
      <c r="AF281" s="11">
        <f>IF(ROUNDUP(U281/20,0)&gt;ROUNDUP(U280/20,0),"Lần " &amp; ROUNDUP(U281/20,0),"")</f>
        <v/>
      </c>
      <c r="AG281" s="11">
        <f>IF(ROUNDUP(V281/20,0)&gt;ROUNDUP(V280/20,0),"Lần " &amp; ROUNDUP(V281/20,0),"")</f>
        <v/>
      </c>
      <c r="AH281" s="11">
        <f>IF(ROUNDUP(W281/20,0)&gt;ROUNDUP(W280/20,0),"Lần " &amp; ROUNDUP(W281/20,0),"")</f>
        <v/>
      </c>
      <c r="AI281" s="11">
        <f>IF(ROUNDUP(X281/20,0)&gt;ROUNDUP(X280/20,0),"Lần " &amp; ROUNDUP(X281/20,0),"")</f>
        <v/>
      </c>
      <c r="AJ281" s="11">
        <f>IF(ROUNDUP(Y281/20,0)&gt;ROUNDUP(Y280/20,0),"Lần " &amp; ROUNDUP(Y281/20,0),"")</f>
        <v/>
      </c>
      <c r="AK281" s="11">
        <f>IF(ROUNDUP(Z281/20,0)&gt;ROUNDUP(Z280/20,0),"Lần " &amp; ROUNDUP(Z281/20,0),"")</f>
        <v/>
      </c>
      <c r="AL281" s="6" t="n"/>
      <c r="AN281" t="inlineStr">
        <is>
          <t>Dam</t>
        </is>
      </c>
      <c r="AO281" t="n">
        <v>59</v>
      </c>
    </row>
    <row r="282" ht="19" customHeight="1">
      <c r="A282" s="6" t="n">
        <v>273</v>
      </c>
      <c r="B282" s="7" t="inlineStr">
        <is>
          <t>Dầm chủ Super-T (15 phiến L=38.2m)</t>
        </is>
      </c>
      <c r="C282" s="7" t="inlineStr">
        <is>
          <t>Dầm S1B3 (bảng thép như S1B1) (tr.88)</t>
        </is>
      </c>
      <c r="D282" s="18" t="inlineStr">
        <is>
          <t>G6b</t>
        </is>
      </c>
      <c r="E282" s="19" t="n">
        <v>32</v>
      </c>
      <c r="F282" s="6" t="inlineStr">
        <is>
          <t>CB400-V</t>
        </is>
      </c>
      <c r="G282" s="7" t="inlineStr">
        <is>
          <t>S06</t>
        </is>
      </c>
      <c r="H282" s="20" t="n">
        <v>6.86</v>
      </c>
      <c r="I282" s="21" t="n">
        <v>3</v>
      </c>
      <c r="J282" s="22" t="n">
        <v>6.313</v>
      </c>
      <c r="K282" s="9">
        <f>ROUND(H282*I282*J282, 2)</f>
        <v/>
      </c>
      <c r="L282" s="23">
        <f>ROUND(K282/1000, 3)</f>
        <v/>
      </c>
      <c r="M282" s="8">
        <f>IF(AO282="","",IF(INDEX(Theo_Doi_Tan_Suat_Be_Tong!$C:$C,AO282)="","",INDEX(Theo_Doi_Tan_Suat_Be_Tong!$C:$C,AO282)-VLOOKUP(AN282,$AQ$2:$AR$7,2,FALSE)))</f>
        <v/>
      </c>
      <c r="N282" s="6" t="n"/>
      <c r="O282" s="24">
        <f>IF(ROUNDUP(Y282/20,0)&gt;ROUNDUP(Y281/20,0),"TN Ø32 (Lần " &amp; ROUNDUP(Y282/20,0) &amp; ")","")</f>
        <v/>
      </c>
      <c r="P282" s="20">
        <f>ROUND(P281+IF(AND(E282&lt;=10,F282&lt;&gt;"ASTM A416"),L282,0),3)</f>
        <v/>
      </c>
      <c r="Q282" s="20">
        <f>ROUND(Q281+IF(AND(E282=12,F282&lt;&gt;"ASTM A416"),L282,0),3)</f>
        <v/>
      </c>
      <c r="R282" s="20">
        <f>ROUND(R281+IF(AND(E282=14,F282&lt;&gt;"ASTM A416"),L282,0),3)</f>
        <v/>
      </c>
      <c r="S282" s="20">
        <f>ROUND(S281+IF(AND(E282=16,F282&lt;&gt;"ASTM A416"),L282,0),3)</f>
        <v/>
      </c>
      <c r="T282" s="20">
        <f>ROUND(T281+IF(AND(E282=18,F282&lt;&gt;"ASTM A416"),L282,0),3)</f>
        <v/>
      </c>
      <c r="U282" s="20">
        <f>ROUND(U281+IF(AND(E282=20,F282&lt;&gt;"ASTM A416"),L282,0),3)</f>
        <v/>
      </c>
      <c r="V282" s="20">
        <f>ROUND(V281+IF(AND(E282=22,F282&lt;&gt;"ASTM A416"),L282,0),3)</f>
        <v/>
      </c>
      <c r="W282" s="20">
        <f>ROUND(W281+IF(AND(E282=25,F282&lt;&gt;"ASTM A416"),L282,0),3)</f>
        <v/>
      </c>
      <c r="X282" s="20">
        <f>ROUND(X281+IF(AND(E282=28,F282&lt;&gt;"ASTM A416"),L282,0),3)</f>
        <v/>
      </c>
      <c r="Y282" s="20">
        <f>ROUND(Y281+IF(AND(E282=32,F282&lt;&gt;"ASTM A416"),L282,0),3)</f>
        <v/>
      </c>
      <c r="Z282" s="20">
        <f>ROUND(Z281+IF(F282="ASTM A416",L282,0),3)</f>
        <v/>
      </c>
      <c r="AA282" s="11">
        <f>IF(ROUNDUP(P282/20,0)&gt;ROUNDUP(P281/20,0),"Lần " &amp; ROUNDUP(P282/20,0),"")</f>
        <v/>
      </c>
      <c r="AB282" s="11">
        <f>IF(ROUNDUP(Q282/20,0)&gt;ROUNDUP(Q281/20,0),"Lần " &amp; ROUNDUP(Q282/20,0),"")</f>
        <v/>
      </c>
      <c r="AC282" s="11">
        <f>IF(ROUNDUP(R282/20,0)&gt;ROUNDUP(R281/20,0),"Lần " &amp; ROUNDUP(R282/20,0),"")</f>
        <v/>
      </c>
      <c r="AD282" s="11">
        <f>IF(ROUNDUP(S282/20,0)&gt;ROUNDUP(S281/20,0),"Lần " &amp; ROUNDUP(S282/20,0),"")</f>
        <v/>
      </c>
      <c r="AE282" s="11">
        <f>IF(ROUNDUP(T282/20,0)&gt;ROUNDUP(T281/20,0),"Lần " &amp; ROUNDUP(T282/20,0),"")</f>
        <v/>
      </c>
      <c r="AF282" s="11">
        <f>IF(ROUNDUP(U282/20,0)&gt;ROUNDUP(U281/20,0),"Lần " &amp; ROUNDUP(U282/20,0),"")</f>
        <v/>
      </c>
      <c r="AG282" s="11">
        <f>IF(ROUNDUP(V282/20,0)&gt;ROUNDUP(V281/20,0),"Lần " &amp; ROUNDUP(V282/20,0),"")</f>
        <v/>
      </c>
      <c r="AH282" s="11">
        <f>IF(ROUNDUP(W282/20,0)&gt;ROUNDUP(W281/20,0),"Lần " &amp; ROUNDUP(W282/20,0),"")</f>
        <v/>
      </c>
      <c r="AI282" s="11">
        <f>IF(ROUNDUP(X282/20,0)&gt;ROUNDUP(X281/20,0),"Lần " &amp; ROUNDUP(X282/20,0),"")</f>
        <v/>
      </c>
      <c r="AJ282" s="11">
        <f>IF(ROUNDUP(Y282/20,0)&gt;ROUNDUP(Y281/20,0),"Lần " &amp; ROUNDUP(Y282/20,0),"")</f>
        <v/>
      </c>
      <c r="AK282" s="11">
        <f>IF(ROUNDUP(Z282/20,0)&gt;ROUNDUP(Z281/20,0),"Lần " &amp; ROUNDUP(Z282/20,0),"")</f>
        <v/>
      </c>
      <c r="AL282" s="6" t="n"/>
      <c r="AN282" t="inlineStr">
        <is>
          <t>Dam</t>
        </is>
      </c>
      <c r="AO282" t="n">
        <v>59</v>
      </c>
    </row>
    <row r="283" ht="19" customHeight="1">
      <c r="A283" s="6" t="n">
        <v>274</v>
      </c>
      <c r="B283" s="7" t="inlineStr">
        <is>
          <t>Dầm chủ Super-T (15 phiến L=38.2m)</t>
        </is>
      </c>
      <c r="C283" s="7" t="inlineStr">
        <is>
          <t>Dầm S1B3 (bảng thép như S1B1) (tr.88)</t>
        </is>
      </c>
      <c r="D283" s="18" t="inlineStr">
        <is>
          <t>N1a</t>
        </is>
      </c>
      <c r="E283" s="19" t="n">
        <v>12</v>
      </c>
      <c r="F283" s="6" t="inlineStr">
        <is>
          <t>CB400-V</t>
        </is>
      </c>
      <c r="G283" s="7" t="inlineStr">
        <is>
          <t>S06</t>
        </is>
      </c>
      <c r="H283" s="20" t="n">
        <v>1.185</v>
      </c>
      <c r="I283" s="21" t="n">
        <v>37</v>
      </c>
      <c r="J283" s="22" t="n">
        <v>0.888</v>
      </c>
      <c r="K283" s="9">
        <f>ROUND(H283*I283*J283, 2)</f>
        <v/>
      </c>
      <c r="L283" s="23">
        <f>ROUND(K283/1000, 3)</f>
        <v/>
      </c>
      <c r="M283" s="8">
        <f>IF(AO283="","",IF(INDEX(Theo_Doi_Tan_Suat_Be_Tong!$C:$C,AO283)="","",INDEX(Theo_Doi_Tan_Suat_Be_Tong!$C:$C,AO283)-VLOOKUP(AN283,$AQ$2:$AR$7,2,FALSE)))</f>
        <v/>
      </c>
      <c r="N283" s="6" t="n"/>
      <c r="O283" s="24">
        <f>IF(ROUNDUP(Q283/20,0)&gt;ROUNDUP(Q282/20,0),"TN Ø12 (Lần " &amp; ROUNDUP(Q283/20,0) &amp; ")","")</f>
        <v/>
      </c>
      <c r="P283" s="20">
        <f>ROUND(P282+IF(AND(E283&lt;=10,F283&lt;&gt;"ASTM A416"),L283,0),3)</f>
        <v/>
      </c>
      <c r="Q283" s="20">
        <f>ROUND(Q282+IF(AND(E283=12,F283&lt;&gt;"ASTM A416"),L283,0),3)</f>
        <v/>
      </c>
      <c r="R283" s="20">
        <f>ROUND(R282+IF(AND(E283=14,F283&lt;&gt;"ASTM A416"),L283,0),3)</f>
        <v/>
      </c>
      <c r="S283" s="20">
        <f>ROUND(S282+IF(AND(E283=16,F283&lt;&gt;"ASTM A416"),L283,0),3)</f>
        <v/>
      </c>
      <c r="T283" s="20">
        <f>ROUND(T282+IF(AND(E283=18,F283&lt;&gt;"ASTM A416"),L283,0),3)</f>
        <v/>
      </c>
      <c r="U283" s="20">
        <f>ROUND(U282+IF(AND(E283=20,F283&lt;&gt;"ASTM A416"),L283,0),3)</f>
        <v/>
      </c>
      <c r="V283" s="20">
        <f>ROUND(V282+IF(AND(E283=22,F283&lt;&gt;"ASTM A416"),L283,0),3)</f>
        <v/>
      </c>
      <c r="W283" s="20">
        <f>ROUND(W282+IF(AND(E283=25,F283&lt;&gt;"ASTM A416"),L283,0),3)</f>
        <v/>
      </c>
      <c r="X283" s="20">
        <f>ROUND(X282+IF(AND(E283=28,F283&lt;&gt;"ASTM A416"),L283,0),3)</f>
        <v/>
      </c>
      <c r="Y283" s="20">
        <f>ROUND(Y282+IF(AND(E283=32,F283&lt;&gt;"ASTM A416"),L283,0),3)</f>
        <v/>
      </c>
      <c r="Z283" s="20">
        <f>ROUND(Z282+IF(F283="ASTM A416",L283,0),3)</f>
        <v/>
      </c>
      <c r="AA283" s="11">
        <f>IF(ROUNDUP(P283/20,0)&gt;ROUNDUP(P282/20,0),"Lần " &amp; ROUNDUP(P283/20,0),"")</f>
        <v/>
      </c>
      <c r="AB283" s="11">
        <f>IF(ROUNDUP(Q283/20,0)&gt;ROUNDUP(Q282/20,0),"Lần " &amp; ROUNDUP(Q283/20,0),"")</f>
        <v/>
      </c>
      <c r="AC283" s="11">
        <f>IF(ROUNDUP(R283/20,0)&gt;ROUNDUP(R282/20,0),"Lần " &amp; ROUNDUP(R283/20,0),"")</f>
        <v/>
      </c>
      <c r="AD283" s="11">
        <f>IF(ROUNDUP(S283/20,0)&gt;ROUNDUP(S282/20,0),"Lần " &amp; ROUNDUP(S283/20,0),"")</f>
        <v/>
      </c>
      <c r="AE283" s="11">
        <f>IF(ROUNDUP(T283/20,0)&gt;ROUNDUP(T282/20,0),"Lần " &amp; ROUNDUP(T283/20,0),"")</f>
        <v/>
      </c>
      <c r="AF283" s="11">
        <f>IF(ROUNDUP(U283/20,0)&gt;ROUNDUP(U282/20,0),"Lần " &amp; ROUNDUP(U283/20,0),"")</f>
        <v/>
      </c>
      <c r="AG283" s="11">
        <f>IF(ROUNDUP(V283/20,0)&gt;ROUNDUP(V282/20,0),"Lần " &amp; ROUNDUP(V283/20,0),"")</f>
        <v/>
      </c>
      <c r="AH283" s="11">
        <f>IF(ROUNDUP(W283/20,0)&gt;ROUNDUP(W282/20,0),"Lần " &amp; ROUNDUP(W283/20,0),"")</f>
        <v/>
      </c>
      <c r="AI283" s="11">
        <f>IF(ROUNDUP(X283/20,0)&gt;ROUNDUP(X282/20,0),"Lần " &amp; ROUNDUP(X283/20,0),"")</f>
        <v/>
      </c>
      <c r="AJ283" s="11">
        <f>IF(ROUNDUP(Y283/20,0)&gt;ROUNDUP(Y282/20,0),"Lần " &amp; ROUNDUP(Y283/20,0),"")</f>
        <v/>
      </c>
      <c r="AK283" s="11">
        <f>IF(ROUNDUP(Z283/20,0)&gt;ROUNDUP(Z282/20,0),"Lần " &amp; ROUNDUP(Z283/20,0),"")</f>
        <v/>
      </c>
      <c r="AL283" s="6" t="n"/>
      <c r="AN283" t="inlineStr">
        <is>
          <t>Dam</t>
        </is>
      </c>
      <c r="AO283" t="n">
        <v>59</v>
      </c>
    </row>
    <row r="284" ht="19" customHeight="1">
      <c r="A284" s="6" t="n">
        <v>275</v>
      </c>
      <c r="B284" s="7" t="inlineStr">
        <is>
          <t>Dầm chủ Super-T (15 phiến L=38.2m)</t>
        </is>
      </c>
      <c r="C284" s="7" t="inlineStr">
        <is>
          <t>Dầm S1B3 (bảng thép như S1B1) (tr.88)</t>
        </is>
      </c>
      <c r="D284" s="18" t="inlineStr">
        <is>
          <t>N1b</t>
        </is>
      </c>
      <c r="E284" s="19" t="n">
        <v>12</v>
      </c>
      <c r="F284" s="6" t="inlineStr">
        <is>
          <t>CB400-V</t>
        </is>
      </c>
      <c r="G284" s="7" t="inlineStr">
        <is>
          <t>S06</t>
        </is>
      </c>
      <c r="H284" s="20" t="n">
        <v>0.93</v>
      </c>
      <c r="I284" s="21" t="n">
        <v>259</v>
      </c>
      <c r="J284" s="22" t="n">
        <v>0.888</v>
      </c>
      <c r="K284" s="9">
        <f>ROUND(H284*I284*J284, 2)</f>
        <v/>
      </c>
      <c r="L284" s="23">
        <f>ROUND(K284/1000, 3)</f>
        <v/>
      </c>
      <c r="M284" s="8">
        <f>IF(AO284="","",IF(INDEX(Theo_Doi_Tan_Suat_Be_Tong!$C:$C,AO284)="","",INDEX(Theo_Doi_Tan_Suat_Be_Tong!$C:$C,AO284)-VLOOKUP(AN284,$AQ$2:$AR$7,2,FALSE)))</f>
        <v/>
      </c>
      <c r="N284" s="6" t="n"/>
      <c r="O284" s="24">
        <f>IF(ROUNDUP(Q284/20,0)&gt;ROUNDUP(Q283/20,0),"TN Ø12 (Lần " &amp; ROUNDUP(Q284/20,0) &amp; ")","")</f>
        <v/>
      </c>
      <c r="P284" s="20">
        <f>ROUND(P283+IF(AND(E284&lt;=10,F284&lt;&gt;"ASTM A416"),L284,0),3)</f>
        <v/>
      </c>
      <c r="Q284" s="20">
        <f>ROUND(Q283+IF(AND(E284=12,F284&lt;&gt;"ASTM A416"),L284,0),3)</f>
        <v/>
      </c>
      <c r="R284" s="20">
        <f>ROUND(R283+IF(AND(E284=14,F284&lt;&gt;"ASTM A416"),L284,0),3)</f>
        <v/>
      </c>
      <c r="S284" s="20">
        <f>ROUND(S283+IF(AND(E284=16,F284&lt;&gt;"ASTM A416"),L284,0),3)</f>
        <v/>
      </c>
      <c r="T284" s="20">
        <f>ROUND(T283+IF(AND(E284=18,F284&lt;&gt;"ASTM A416"),L284,0),3)</f>
        <v/>
      </c>
      <c r="U284" s="20">
        <f>ROUND(U283+IF(AND(E284=20,F284&lt;&gt;"ASTM A416"),L284,0),3)</f>
        <v/>
      </c>
      <c r="V284" s="20">
        <f>ROUND(V283+IF(AND(E284=22,F284&lt;&gt;"ASTM A416"),L284,0),3)</f>
        <v/>
      </c>
      <c r="W284" s="20">
        <f>ROUND(W283+IF(AND(E284=25,F284&lt;&gt;"ASTM A416"),L284,0),3)</f>
        <v/>
      </c>
      <c r="X284" s="20">
        <f>ROUND(X283+IF(AND(E284=28,F284&lt;&gt;"ASTM A416"),L284,0),3)</f>
        <v/>
      </c>
      <c r="Y284" s="20">
        <f>ROUND(Y283+IF(AND(E284=32,F284&lt;&gt;"ASTM A416"),L284,0),3)</f>
        <v/>
      </c>
      <c r="Z284" s="20">
        <f>ROUND(Z283+IF(F284="ASTM A416",L284,0),3)</f>
        <v/>
      </c>
      <c r="AA284" s="11">
        <f>IF(ROUNDUP(P284/20,0)&gt;ROUNDUP(P283/20,0),"Lần " &amp; ROUNDUP(P284/20,0),"")</f>
        <v/>
      </c>
      <c r="AB284" s="11">
        <f>IF(ROUNDUP(Q284/20,0)&gt;ROUNDUP(Q283/20,0),"Lần " &amp; ROUNDUP(Q284/20,0),"")</f>
        <v/>
      </c>
      <c r="AC284" s="11">
        <f>IF(ROUNDUP(R284/20,0)&gt;ROUNDUP(R283/20,0),"Lần " &amp; ROUNDUP(R284/20,0),"")</f>
        <v/>
      </c>
      <c r="AD284" s="11">
        <f>IF(ROUNDUP(S284/20,0)&gt;ROUNDUP(S283/20,0),"Lần " &amp; ROUNDUP(S284/20,0),"")</f>
        <v/>
      </c>
      <c r="AE284" s="11">
        <f>IF(ROUNDUP(T284/20,0)&gt;ROUNDUP(T283/20,0),"Lần " &amp; ROUNDUP(T284/20,0),"")</f>
        <v/>
      </c>
      <c r="AF284" s="11">
        <f>IF(ROUNDUP(U284/20,0)&gt;ROUNDUP(U283/20,0),"Lần " &amp; ROUNDUP(U284/20,0),"")</f>
        <v/>
      </c>
      <c r="AG284" s="11">
        <f>IF(ROUNDUP(V284/20,0)&gt;ROUNDUP(V283/20,0),"Lần " &amp; ROUNDUP(V284/20,0),"")</f>
        <v/>
      </c>
      <c r="AH284" s="11">
        <f>IF(ROUNDUP(W284/20,0)&gt;ROUNDUP(W283/20,0),"Lần " &amp; ROUNDUP(W284/20,0),"")</f>
        <v/>
      </c>
      <c r="AI284" s="11">
        <f>IF(ROUNDUP(X284/20,0)&gt;ROUNDUP(X283/20,0),"Lần " &amp; ROUNDUP(X284/20,0),"")</f>
        <v/>
      </c>
      <c r="AJ284" s="11">
        <f>IF(ROUNDUP(Y284/20,0)&gt;ROUNDUP(Y283/20,0),"Lần " &amp; ROUNDUP(Y284/20,0),"")</f>
        <v/>
      </c>
      <c r="AK284" s="11">
        <f>IF(ROUNDUP(Z284/20,0)&gt;ROUNDUP(Z283/20,0),"Lần " &amp; ROUNDUP(Z284/20,0),"")</f>
        <v/>
      </c>
      <c r="AL284" s="6" t="n"/>
      <c r="AN284" t="inlineStr">
        <is>
          <t>Dam</t>
        </is>
      </c>
      <c r="AO284" t="n">
        <v>59</v>
      </c>
    </row>
    <row r="285" ht="19" customHeight="1">
      <c r="A285" s="6" t="n">
        <v>276</v>
      </c>
      <c r="B285" s="7" t="inlineStr">
        <is>
          <t>Dầm chủ Super-T (15 phiến L=38.2m)</t>
        </is>
      </c>
      <c r="C285" s="7" t="inlineStr">
        <is>
          <t>Dầm S1B3 (bảng thép như S1B1) (tr.88)</t>
        </is>
      </c>
      <c r="D285" s="18" t="inlineStr">
        <is>
          <t>N2</t>
        </is>
      </c>
      <c r="E285" s="19" t="n">
        <v>12</v>
      </c>
      <c r="F285" s="6" t="inlineStr">
        <is>
          <t>CB400-V</t>
        </is>
      </c>
      <c r="G285" s="7" t="inlineStr">
        <is>
          <t>S06</t>
        </is>
      </c>
      <c r="H285" s="20" t="n">
        <v>3.664</v>
      </c>
      <c r="I285" s="21" t="n">
        <v>3</v>
      </c>
      <c r="J285" s="22" t="n">
        <v>0.888</v>
      </c>
      <c r="K285" s="9">
        <f>ROUND(H285*I285*J285, 2)</f>
        <v/>
      </c>
      <c r="L285" s="23">
        <f>ROUND(K285/1000, 3)</f>
        <v/>
      </c>
      <c r="M285" s="8">
        <f>IF(AO285="","",IF(INDEX(Theo_Doi_Tan_Suat_Be_Tong!$C:$C,AO285)="","",INDEX(Theo_Doi_Tan_Suat_Be_Tong!$C:$C,AO285)-VLOOKUP(AN285,$AQ$2:$AR$7,2,FALSE)))</f>
        <v/>
      </c>
      <c r="N285" s="6" t="n"/>
      <c r="O285" s="24">
        <f>IF(ROUNDUP(Q285/20,0)&gt;ROUNDUP(Q284/20,0),"TN Ø12 (Lần " &amp; ROUNDUP(Q285/20,0) &amp; ")","")</f>
        <v/>
      </c>
      <c r="P285" s="20">
        <f>ROUND(P284+IF(AND(E285&lt;=10,F285&lt;&gt;"ASTM A416"),L285,0),3)</f>
        <v/>
      </c>
      <c r="Q285" s="20">
        <f>ROUND(Q284+IF(AND(E285=12,F285&lt;&gt;"ASTM A416"),L285,0),3)</f>
        <v/>
      </c>
      <c r="R285" s="20">
        <f>ROUND(R284+IF(AND(E285=14,F285&lt;&gt;"ASTM A416"),L285,0),3)</f>
        <v/>
      </c>
      <c r="S285" s="20">
        <f>ROUND(S284+IF(AND(E285=16,F285&lt;&gt;"ASTM A416"),L285,0),3)</f>
        <v/>
      </c>
      <c r="T285" s="20">
        <f>ROUND(T284+IF(AND(E285=18,F285&lt;&gt;"ASTM A416"),L285,0),3)</f>
        <v/>
      </c>
      <c r="U285" s="20">
        <f>ROUND(U284+IF(AND(E285=20,F285&lt;&gt;"ASTM A416"),L285,0),3)</f>
        <v/>
      </c>
      <c r="V285" s="20">
        <f>ROUND(V284+IF(AND(E285=22,F285&lt;&gt;"ASTM A416"),L285,0),3)</f>
        <v/>
      </c>
      <c r="W285" s="20">
        <f>ROUND(W284+IF(AND(E285=25,F285&lt;&gt;"ASTM A416"),L285,0),3)</f>
        <v/>
      </c>
      <c r="X285" s="20">
        <f>ROUND(X284+IF(AND(E285=28,F285&lt;&gt;"ASTM A416"),L285,0),3)</f>
        <v/>
      </c>
      <c r="Y285" s="20">
        <f>ROUND(Y284+IF(AND(E285=32,F285&lt;&gt;"ASTM A416"),L285,0),3)</f>
        <v/>
      </c>
      <c r="Z285" s="20">
        <f>ROUND(Z284+IF(F285="ASTM A416",L285,0),3)</f>
        <v/>
      </c>
      <c r="AA285" s="11">
        <f>IF(ROUNDUP(P285/20,0)&gt;ROUNDUP(P284/20,0),"Lần " &amp; ROUNDUP(P285/20,0),"")</f>
        <v/>
      </c>
      <c r="AB285" s="11">
        <f>IF(ROUNDUP(Q285/20,0)&gt;ROUNDUP(Q284/20,0),"Lần " &amp; ROUNDUP(Q285/20,0),"")</f>
        <v/>
      </c>
      <c r="AC285" s="11">
        <f>IF(ROUNDUP(R285/20,0)&gt;ROUNDUP(R284/20,0),"Lần " &amp; ROUNDUP(R285/20,0),"")</f>
        <v/>
      </c>
      <c r="AD285" s="11">
        <f>IF(ROUNDUP(S285/20,0)&gt;ROUNDUP(S284/20,0),"Lần " &amp; ROUNDUP(S285/20,0),"")</f>
        <v/>
      </c>
      <c r="AE285" s="11">
        <f>IF(ROUNDUP(T285/20,0)&gt;ROUNDUP(T284/20,0),"Lần " &amp; ROUNDUP(T285/20,0),"")</f>
        <v/>
      </c>
      <c r="AF285" s="11">
        <f>IF(ROUNDUP(U285/20,0)&gt;ROUNDUP(U284/20,0),"Lần " &amp; ROUNDUP(U285/20,0),"")</f>
        <v/>
      </c>
      <c r="AG285" s="11">
        <f>IF(ROUNDUP(V285/20,0)&gt;ROUNDUP(V284/20,0),"Lần " &amp; ROUNDUP(V285/20,0),"")</f>
        <v/>
      </c>
      <c r="AH285" s="11">
        <f>IF(ROUNDUP(W285/20,0)&gt;ROUNDUP(W284/20,0),"Lần " &amp; ROUNDUP(W285/20,0),"")</f>
        <v/>
      </c>
      <c r="AI285" s="11">
        <f>IF(ROUNDUP(X285/20,0)&gt;ROUNDUP(X284/20,0),"Lần " &amp; ROUNDUP(X285/20,0),"")</f>
        <v/>
      </c>
      <c r="AJ285" s="11">
        <f>IF(ROUNDUP(Y285/20,0)&gt;ROUNDUP(Y284/20,0),"Lần " &amp; ROUNDUP(Y285/20,0),"")</f>
        <v/>
      </c>
      <c r="AK285" s="11">
        <f>IF(ROUNDUP(Z285/20,0)&gt;ROUNDUP(Z284/20,0),"Lần " &amp; ROUNDUP(Z285/20,0),"")</f>
        <v/>
      </c>
      <c r="AL285" s="6" t="n"/>
      <c r="AN285" t="inlineStr">
        <is>
          <t>Dam</t>
        </is>
      </c>
      <c r="AO285" t="n">
        <v>59</v>
      </c>
    </row>
    <row r="286" ht="19" customHeight="1">
      <c r="A286" s="6" t="n">
        <v>277</v>
      </c>
      <c r="B286" s="7" t="inlineStr">
        <is>
          <t>Dầm chủ Super-T (15 phiến L=38.2m)</t>
        </is>
      </c>
      <c r="C286" s="7" t="inlineStr">
        <is>
          <t>Dầm S1B3 (bảng thép như S1B1) (tr.88)</t>
        </is>
      </c>
      <c r="D286" s="18" t="inlineStr">
        <is>
          <t>E1</t>
        </is>
      </c>
      <c r="E286" s="19" t="n">
        <v>16</v>
      </c>
      <c r="F286" s="6" t="inlineStr">
        <is>
          <t>CB400-V</t>
        </is>
      </c>
      <c r="G286" s="7" t="inlineStr">
        <is>
          <t>S06</t>
        </is>
      </c>
      <c r="H286" s="20" t="n">
        <v>2.376</v>
      </c>
      <c r="I286" s="21" t="n">
        <v>252</v>
      </c>
      <c r="J286" s="22" t="n">
        <v>1.578</v>
      </c>
      <c r="K286" s="9">
        <f>ROUND(H286*I286*J286, 2)</f>
        <v/>
      </c>
      <c r="L286" s="23">
        <f>ROUND(K286/1000, 3)</f>
        <v/>
      </c>
      <c r="M286" s="8">
        <f>IF(AO286="","",IF(INDEX(Theo_Doi_Tan_Suat_Be_Tong!$C:$C,AO286)="","",INDEX(Theo_Doi_Tan_Suat_Be_Tong!$C:$C,AO286)-VLOOKUP(AN286,$AQ$2:$AR$7,2,FALSE)))</f>
        <v/>
      </c>
      <c r="N286" s="6" t="n"/>
      <c r="O286" s="24">
        <f>IF(ROUNDUP(S286/20,0)&gt;ROUNDUP(S285/20,0),"TN Ø16 (Lần " &amp; ROUNDUP(S286/20,0) &amp; ")","")</f>
        <v/>
      </c>
      <c r="P286" s="20">
        <f>ROUND(P285+IF(AND(E286&lt;=10,F286&lt;&gt;"ASTM A416"),L286,0),3)</f>
        <v/>
      </c>
      <c r="Q286" s="20">
        <f>ROUND(Q285+IF(AND(E286=12,F286&lt;&gt;"ASTM A416"),L286,0),3)</f>
        <v/>
      </c>
      <c r="R286" s="20">
        <f>ROUND(R285+IF(AND(E286=14,F286&lt;&gt;"ASTM A416"),L286,0),3)</f>
        <v/>
      </c>
      <c r="S286" s="20">
        <f>ROUND(S285+IF(AND(E286=16,F286&lt;&gt;"ASTM A416"),L286,0),3)</f>
        <v/>
      </c>
      <c r="T286" s="20">
        <f>ROUND(T285+IF(AND(E286=18,F286&lt;&gt;"ASTM A416"),L286,0),3)</f>
        <v/>
      </c>
      <c r="U286" s="20">
        <f>ROUND(U285+IF(AND(E286=20,F286&lt;&gt;"ASTM A416"),L286,0),3)</f>
        <v/>
      </c>
      <c r="V286" s="20">
        <f>ROUND(V285+IF(AND(E286=22,F286&lt;&gt;"ASTM A416"),L286,0),3)</f>
        <v/>
      </c>
      <c r="W286" s="20">
        <f>ROUND(W285+IF(AND(E286=25,F286&lt;&gt;"ASTM A416"),L286,0),3)</f>
        <v/>
      </c>
      <c r="X286" s="20">
        <f>ROUND(X285+IF(AND(E286=28,F286&lt;&gt;"ASTM A416"),L286,0),3)</f>
        <v/>
      </c>
      <c r="Y286" s="20">
        <f>ROUND(Y285+IF(AND(E286=32,F286&lt;&gt;"ASTM A416"),L286,0),3)</f>
        <v/>
      </c>
      <c r="Z286" s="20">
        <f>ROUND(Z285+IF(F286="ASTM A416",L286,0),3)</f>
        <v/>
      </c>
      <c r="AA286" s="11">
        <f>IF(ROUNDUP(P286/20,0)&gt;ROUNDUP(P285/20,0),"Lần " &amp; ROUNDUP(P286/20,0),"")</f>
        <v/>
      </c>
      <c r="AB286" s="11">
        <f>IF(ROUNDUP(Q286/20,0)&gt;ROUNDUP(Q285/20,0),"Lần " &amp; ROUNDUP(Q286/20,0),"")</f>
        <v/>
      </c>
      <c r="AC286" s="11">
        <f>IF(ROUNDUP(R286/20,0)&gt;ROUNDUP(R285/20,0),"Lần " &amp; ROUNDUP(R286/20,0),"")</f>
        <v/>
      </c>
      <c r="AD286" s="11">
        <f>IF(ROUNDUP(S286/20,0)&gt;ROUNDUP(S285/20,0),"Lần " &amp; ROUNDUP(S286/20,0),"")</f>
        <v/>
      </c>
      <c r="AE286" s="11">
        <f>IF(ROUNDUP(T286/20,0)&gt;ROUNDUP(T285/20,0),"Lần " &amp; ROUNDUP(T286/20,0),"")</f>
        <v/>
      </c>
      <c r="AF286" s="11">
        <f>IF(ROUNDUP(U286/20,0)&gt;ROUNDUP(U285/20,0),"Lần " &amp; ROUNDUP(U286/20,0),"")</f>
        <v/>
      </c>
      <c r="AG286" s="11">
        <f>IF(ROUNDUP(V286/20,0)&gt;ROUNDUP(V285/20,0),"Lần " &amp; ROUNDUP(V286/20,0),"")</f>
        <v/>
      </c>
      <c r="AH286" s="11">
        <f>IF(ROUNDUP(W286/20,0)&gt;ROUNDUP(W285/20,0),"Lần " &amp; ROUNDUP(W286/20,0),"")</f>
        <v/>
      </c>
      <c r="AI286" s="11">
        <f>IF(ROUNDUP(X286/20,0)&gt;ROUNDUP(X285/20,0),"Lần " &amp; ROUNDUP(X286/20,0),"")</f>
        <v/>
      </c>
      <c r="AJ286" s="11">
        <f>IF(ROUNDUP(Y286/20,0)&gt;ROUNDUP(Y285/20,0),"Lần " &amp; ROUNDUP(Y286/20,0),"")</f>
        <v/>
      </c>
      <c r="AK286" s="11">
        <f>IF(ROUNDUP(Z286/20,0)&gt;ROUNDUP(Z285/20,0),"Lần " &amp; ROUNDUP(Z286/20,0),"")</f>
        <v/>
      </c>
      <c r="AL286" s="6" t="n"/>
      <c r="AN286" t="inlineStr">
        <is>
          <t>Dam</t>
        </is>
      </c>
      <c r="AO286" t="n">
        <v>59</v>
      </c>
    </row>
    <row r="287" ht="19" customHeight="1">
      <c r="A287" s="6" t="n">
        <v>278</v>
      </c>
      <c r="B287" s="7" t="inlineStr">
        <is>
          <t>Dầm chủ Super-T (15 phiến L=38.2m)</t>
        </is>
      </c>
      <c r="C287" s="7" t="inlineStr">
        <is>
          <t>Dầm S1B3 (bảng thép như S1B1) (tr.88)</t>
        </is>
      </c>
      <c r="D287" s="18" t="inlineStr">
        <is>
          <t>E2</t>
        </is>
      </c>
      <c r="E287" s="19" t="n">
        <v>16</v>
      </c>
      <c r="F287" s="6" t="inlineStr">
        <is>
          <t>CB400-V</t>
        </is>
      </c>
      <c r="G287" s="7" t="inlineStr">
        <is>
          <t>S06</t>
        </is>
      </c>
      <c r="H287" s="20" t="n">
        <v>3.932</v>
      </c>
      <c r="I287" s="21" t="n">
        <v>20</v>
      </c>
      <c r="J287" s="22" t="n">
        <v>1.578</v>
      </c>
      <c r="K287" s="9">
        <f>ROUND(H287*I287*J287, 2)</f>
        <v/>
      </c>
      <c r="L287" s="23">
        <f>ROUND(K287/1000, 3)</f>
        <v/>
      </c>
      <c r="M287" s="8">
        <f>IF(AO287="","",IF(INDEX(Theo_Doi_Tan_Suat_Be_Tong!$C:$C,AO287)="","",INDEX(Theo_Doi_Tan_Suat_Be_Tong!$C:$C,AO287)-VLOOKUP(AN287,$AQ$2:$AR$7,2,FALSE)))</f>
        <v/>
      </c>
      <c r="N287" s="6" t="n"/>
      <c r="O287" s="24">
        <f>IF(ROUNDUP(S287/20,0)&gt;ROUNDUP(S286/20,0),"TN Ø16 (Lần " &amp; ROUNDUP(S287/20,0) &amp; ")","")</f>
        <v/>
      </c>
      <c r="P287" s="20">
        <f>ROUND(P286+IF(AND(E287&lt;=10,F287&lt;&gt;"ASTM A416"),L287,0),3)</f>
        <v/>
      </c>
      <c r="Q287" s="20">
        <f>ROUND(Q286+IF(AND(E287=12,F287&lt;&gt;"ASTM A416"),L287,0),3)</f>
        <v/>
      </c>
      <c r="R287" s="20">
        <f>ROUND(R286+IF(AND(E287=14,F287&lt;&gt;"ASTM A416"),L287,0),3)</f>
        <v/>
      </c>
      <c r="S287" s="20">
        <f>ROUND(S286+IF(AND(E287=16,F287&lt;&gt;"ASTM A416"),L287,0),3)</f>
        <v/>
      </c>
      <c r="T287" s="20">
        <f>ROUND(T286+IF(AND(E287=18,F287&lt;&gt;"ASTM A416"),L287,0),3)</f>
        <v/>
      </c>
      <c r="U287" s="20">
        <f>ROUND(U286+IF(AND(E287=20,F287&lt;&gt;"ASTM A416"),L287,0),3)</f>
        <v/>
      </c>
      <c r="V287" s="20">
        <f>ROUND(V286+IF(AND(E287=22,F287&lt;&gt;"ASTM A416"),L287,0),3)</f>
        <v/>
      </c>
      <c r="W287" s="20">
        <f>ROUND(W286+IF(AND(E287=25,F287&lt;&gt;"ASTM A416"),L287,0),3)</f>
        <v/>
      </c>
      <c r="X287" s="20">
        <f>ROUND(X286+IF(AND(E287=28,F287&lt;&gt;"ASTM A416"),L287,0),3)</f>
        <v/>
      </c>
      <c r="Y287" s="20">
        <f>ROUND(Y286+IF(AND(E287=32,F287&lt;&gt;"ASTM A416"),L287,0),3)</f>
        <v/>
      </c>
      <c r="Z287" s="20">
        <f>ROUND(Z286+IF(F287="ASTM A416",L287,0),3)</f>
        <v/>
      </c>
      <c r="AA287" s="11">
        <f>IF(ROUNDUP(P287/20,0)&gt;ROUNDUP(P286/20,0),"Lần " &amp; ROUNDUP(P287/20,0),"")</f>
        <v/>
      </c>
      <c r="AB287" s="11">
        <f>IF(ROUNDUP(Q287/20,0)&gt;ROUNDUP(Q286/20,0),"Lần " &amp; ROUNDUP(Q287/20,0),"")</f>
        <v/>
      </c>
      <c r="AC287" s="11">
        <f>IF(ROUNDUP(R287/20,0)&gt;ROUNDUP(R286/20,0),"Lần " &amp; ROUNDUP(R287/20,0),"")</f>
        <v/>
      </c>
      <c r="AD287" s="11">
        <f>IF(ROUNDUP(S287/20,0)&gt;ROUNDUP(S286/20,0),"Lần " &amp; ROUNDUP(S287/20,0),"")</f>
        <v/>
      </c>
      <c r="AE287" s="11">
        <f>IF(ROUNDUP(T287/20,0)&gt;ROUNDUP(T286/20,0),"Lần " &amp; ROUNDUP(T287/20,0),"")</f>
        <v/>
      </c>
      <c r="AF287" s="11">
        <f>IF(ROUNDUP(U287/20,0)&gt;ROUNDUP(U286/20,0),"Lần " &amp; ROUNDUP(U287/20,0),"")</f>
        <v/>
      </c>
      <c r="AG287" s="11">
        <f>IF(ROUNDUP(V287/20,0)&gt;ROUNDUP(V286/20,0),"Lần " &amp; ROUNDUP(V287/20,0),"")</f>
        <v/>
      </c>
      <c r="AH287" s="11">
        <f>IF(ROUNDUP(W287/20,0)&gt;ROUNDUP(W286/20,0),"Lần " &amp; ROUNDUP(W287/20,0),"")</f>
        <v/>
      </c>
      <c r="AI287" s="11">
        <f>IF(ROUNDUP(X287/20,0)&gt;ROUNDUP(X286/20,0),"Lần " &amp; ROUNDUP(X287/20,0),"")</f>
        <v/>
      </c>
      <c r="AJ287" s="11">
        <f>IF(ROUNDUP(Y287/20,0)&gt;ROUNDUP(Y286/20,0),"Lần " &amp; ROUNDUP(Y287/20,0),"")</f>
        <v/>
      </c>
      <c r="AK287" s="11">
        <f>IF(ROUNDUP(Z287/20,0)&gt;ROUNDUP(Z286/20,0),"Lần " &amp; ROUNDUP(Z287/20,0),"")</f>
        <v/>
      </c>
      <c r="AL287" s="6" t="n"/>
      <c r="AN287" t="inlineStr">
        <is>
          <t>Dam</t>
        </is>
      </c>
      <c r="AO287" t="n">
        <v>59</v>
      </c>
    </row>
    <row r="288" ht="19" customHeight="1">
      <c r="A288" s="6" t="n">
        <v>279</v>
      </c>
      <c r="B288" s="7" t="inlineStr">
        <is>
          <t>Dầm chủ Super-T (15 phiến L=38.2m)</t>
        </is>
      </c>
      <c r="C288" s="7" t="inlineStr">
        <is>
          <t>Dầm S1B3 (bảng thép như S1B1) (tr.88)</t>
        </is>
      </c>
      <c r="D288" s="18" t="inlineStr">
        <is>
          <t>Thanh neo</t>
        </is>
      </c>
      <c r="E288" s="19" t="n">
        <v>20</v>
      </c>
      <c r="F288" s="6" t="inlineStr">
        <is>
          <t>CB400-V</t>
        </is>
      </c>
      <c r="G288" s="7" t="inlineStr">
        <is>
          <t>S06</t>
        </is>
      </c>
      <c r="H288" s="20" t="n">
        <v>0.11</v>
      </c>
      <c r="I288" s="21" t="n">
        <v>8</v>
      </c>
      <c r="J288" s="22" t="n">
        <v>2.466</v>
      </c>
      <c r="K288" s="9">
        <f>ROUND(H288*I288*J288, 2)</f>
        <v/>
      </c>
      <c r="L288" s="23">
        <f>ROUND(K288/1000, 3)</f>
        <v/>
      </c>
      <c r="M288" s="8">
        <f>IF(AO288="","",IF(INDEX(Theo_Doi_Tan_Suat_Be_Tong!$C:$C,AO288)="","",INDEX(Theo_Doi_Tan_Suat_Be_Tong!$C:$C,AO288)-VLOOKUP(AN288,$AQ$2:$AR$7,2,FALSE)))</f>
        <v/>
      </c>
      <c r="N288" s="6" t="n"/>
      <c r="O288" s="24">
        <f>IF(ROUNDUP(U288/20,0)&gt;ROUNDUP(U287/20,0),"TN Ø20 (Lần " &amp; ROUNDUP(U288/20,0) &amp; ")","")</f>
        <v/>
      </c>
      <c r="P288" s="20">
        <f>ROUND(P287+IF(AND(E288&lt;=10,F288&lt;&gt;"ASTM A416"),L288,0),3)</f>
        <v/>
      </c>
      <c r="Q288" s="20">
        <f>ROUND(Q287+IF(AND(E288=12,F288&lt;&gt;"ASTM A416"),L288,0),3)</f>
        <v/>
      </c>
      <c r="R288" s="20">
        <f>ROUND(R287+IF(AND(E288=14,F288&lt;&gt;"ASTM A416"),L288,0),3)</f>
        <v/>
      </c>
      <c r="S288" s="20">
        <f>ROUND(S287+IF(AND(E288=16,F288&lt;&gt;"ASTM A416"),L288,0),3)</f>
        <v/>
      </c>
      <c r="T288" s="20">
        <f>ROUND(T287+IF(AND(E288=18,F288&lt;&gt;"ASTM A416"),L288,0),3)</f>
        <v/>
      </c>
      <c r="U288" s="20">
        <f>ROUND(U287+IF(AND(E288=20,F288&lt;&gt;"ASTM A416"),L288,0),3)</f>
        <v/>
      </c>
      <c r="V288" s="20">
        <f>ROUND(V287+IF(AND(E288=22,F288&lt;&gt;"ASTM A416"),L288,0),3)</f>
        <v/>
      </c>
      <c r="W288" s="20">
        <f>ROUND(W287+IF(AND(E288=25,F288&lt;&gt;"ASTM A416"),L288,0),3)</f>
        <v/>
      </c>
      <c r="X288" s="20">
        <f>ROUND(X287+IF(AND(E288=28,F288&lt;&gt;"ASTM A416"),L288,0),3)</f>
        <v/>
      </c>
      <c r="Y288" s="20">
        <f>ROUND(Y287+IF(AND(E288=32,F288&lt;&gt;"ASTM A416"),L288,0),3)</f>
        <v/>
      </c>
      <c r="Z288" s="20">
        <f>ROUND(Z287+IF(F288="ASTM A416",L288,0),3)</f>
        <v/>
      </c>
      <c r="AA288" s="11">
        <f>IF(ROUNDUP(P288/20,0)&gt;ROUNDUP(P287/20,0),"Lần " &amp; ROUNDUP(P288/20,0),"")</f>
        <v/>
      </c>
      <c r="AB288" s="11">
        <f>IF(ROUNDUP(Q288/20,0)&gt;ROUNDUP(Q287/20,0),"Lần " &amp; ROUNDUP(Q288/20,0),"")</f>
        <v/>
      </c>
      <c r="AC288" s="11">
        <f>IF(ROUNDUP(R288/20,0)&gt;ROUNDUP(R287/20,0),"Lần " &amp; ROUNDUP(R288/20,0),"")</f>
        <v/>
      </c>
      <c r="AD288" s="11">
        <f>IF(ROUNDUP(S288/20,0)&gt;ROUNDUP(S287/20,0),"Lần " &amp; ROUNDUP(S288/20,0),"")</f>
        <v/>
      </c>
      <c r="AE288" s="11">
        <f>IF(ROUNDUP(T288/20,0)&gt;ROUNDUP(T287/20,0),"Lần " &amp; ROUNDUP(T288/20,0),"")</f>
        <v/>
      </c>
      <c r="AF288" s="11">
        <f>IF(ROUNDUP(U288/20,0)&gt;ROUNDUP(U287/20,0),"Lần " &amp; ROUNDUP(U288/20,0),"")</f>
        <v/>
      </c>
      <c r="AG288" s="11">
        <f>IF(ROUNDUP(V288/20,0)&gt;ROUNDUP(V287/20,0),"Lần " &amp; ROUNDUP(V288/20,0),"")</f>
        <v/>
      </c>
      <c r="AH288" s="11">
        <f>IF(ROUNDUP(W288/20,0)&gt;ROUNDUP(W287/20,0),"Lần " &amp; ROUNDUP(W288/20,0),"")</f>
        <v/>
      </c>
      <c r="AI288" s="11">
        <f>IF(ROUNDUP(X288/20,0)&gt;ROUNDUP(X287/20,0),"Lần " &amp; ROUNDUP(X288/20,0),"")</f>
        <v/>
      </c>
      <c r="AJ288" s="11">
        <f>IF(ROUNDUP(Y288/20,0)&gt;ROUNDUP(Y287/20,0),"Lần " &amp; ROUNDUP(Y288/20,0),"")</f>
        <v/>
      </c>
      <c r="AK288" s="11">
        <f>IF(ROUNDUP(Z288/20,0)&gt;ROUNDUP(Z287/20,0),"Lần " &amp; ROUNDUP(Z288/20,0),"")</f>
        <v/>
      </c>
      <c r="AL288" s="6" t="n"/>
      <c r="AN288" t="inlineStr">
        <is>
          <t>Dam</t>
        </is>
      </c>
      <c r="AO288" t="n">
        <v>59</v>
      </c>
    </row>
    <row r="289" ht="20" customHeight="1">
      <c r="A289" s="6" t="n">
        <v>280</v>
      </c>
      <c r="B289" s="7" t="inlineStr">
        <is>
          <t>Dầm chủ Super-T (15 phiến L=38.2m)</t>
        </is>
      </c>
      <c r="C289" s="7" t="inlineStr">
        <is>
          <t>Dầm S1B3 (bảng thép như S1B1) (tr.88)</t>
        </is>
      </c>
      <c r="D289" s="18" t="inlineStr">
        <is>
          <t>K1a</t>
        </is>
      </c>
      <c r="E289" s="19" t="n">
        <v>16</v>
      </c>
      <c r="F289" s="6" t="inlineStr">
        <is>
          <t>CB400-V</t>
        </is>
      </c>
      <c r="G289" s="7" t="inlineStr">
        <is>
          <t>S06</t>
        </is>
      </c>
      <c r="H289" s="20" t="n">
        <v>0.976</v>
      </c>
      <c r="I289" s="21" t="n">
        <v>8</v>
      </c>
      <c r="J289" s="22" t="n">
        <v>1.578</v>
      </c>
      <c r="K289" s="9">
        <f>ROUND(H289*I289*J289, 2)</f>
        <v/>
      </c>
      <c r="L289" s="23">
        <f>ROUND(K289/1000, 3)</f>
        <v/>
      </c>
      <c r="M289" s="8">
        <f>IF(AO289="","",IF(INDEX(Theo_Doi_Tan_Suat_Be_Tong!$C:$C,AO289)="","",INDEX(Theo_Doi_Tan_Suat_Be_Tong!$C:$C,AO289)-VLOOKUP(AN289,$AQ$2:$AR$7,2,FALSE)))</f>
        <v/>
      </c>
      <c r="N289" s="6" t="n"/>
      <c r="O289" s="24">
        <f>IF(ROUNDUP(S289/20,0)&gt;ROUNDUP(S288/20,0),"TN Ø16 (Lần " &amp; ROUNDUP(S289/20,0) &amp; ")","")</f>
        <v/>
      </c>
      <c r="P289" s="20">
        <f>ROUND(P288+IF(AND(E289&lt;=10,F289&lt;&gt;"ASTM A416"),L289,0),3)</f>
        <v/>
      </c>
      <c r="Q289" s="20">
        <f>ROUND(Q288+IF(AND(E289=12,F289&lt;&gt;"ASTM A416"),L289,0),3)</f>
        <v/>
      </c>
      <c r="R289" s="20">
        <f>ROUND(R288+IF(AND(E289=14,F289&lt;&gt;"ASTM A416"),L289,0),3)</f>
        <v/>
      </c>
      <c r="S289" s="20">
        <f>ROUND(S288+IF(AND(E289=16,F289&lt;&gt;"ASTM A416"),L289,0),3)</f>
        <v/>
      </c>
      <c r="T289" s="20">
        <f>ROUND(T288+IF(AND(E289=18,F289&lt;&gt;"ASTM A416"),L289,0),3)</f>
        <v/>
      </c>
      <c r="U289" s="20">
        <f>ROUND(U288+IF(AND(E289=20,F289&lt;&gt;"ASTM A416"),L289,0),3)</f>
        <v/>
      </c>
      <c r="V289" s="20">
        <f>ROUND(V288+IF(AND(E289=22,F289&lt;&gt;"ASTM A416"),L289,0),3)</f>
        <v/>
      </c>
      <c r="W289" s="20">
        <f>ROUND(W288+IF(AND(E289=25,F289&lt;&gt;"ASTM A416"),L289,0),3)</f>
        <v/>
      </c>
      <c r="X289" s="20">
        <f>ROUND(X288+IF(AND(E289=28,F289&lt;&gt;"ASTM A416"),L289,0),3)</f>
        <v/>
      </c>
      <c r="Y289" s="20">
        <f>ROUND(Y288+IF(AND(E289=32,F289&lt;&gt;"ASTM A416"),L289,0),3)</f>
        <v/>
      </c>
      <c r="Z289" s="20">
        <f>ROUND(Z288+IF(F289="ASTM A416",L289,0),3)</f>
        <v/>
      </c>
      <c r="AA289" s="11">
        <f>IF(ROUNDUP(P289/20,0)&gt;ROUNDUP(P288/20,0),"Lần " &amp; ROUNDUP(P289/20,0),"")</f>
        <v/>
      </c>
      <c r="AB289" s="11">
        <f>IF(ROUNDUP(Q289/20,0)&gt;ROUNDUP(Q288/20,0),"Lần " &amp; ROUNDUP(Q289/20,0),"")</f>
        <v/>
      </c>
      <c r="AC289" s="11">
        <f>IF(ROUNDUP(R289/20,0)&gt;ROUNDUP(R288/20,0),"Lần " &amp; ROUNDUP(R289/20,0),"")</f>
        <v/>
      </c>
      <c r="AD289" s="11">
        <f>IF(ROUNDUP(S289/20,0)&gt;ROUNDUP(S288/20,0),"Lần " &amp; ROUNDUP(S289/20,0),"")</f>
        <v/>
      </c>
      <c r="AE289" s="11">
        <f>IF(ROUNDUP(T289/20,0)&gt;ROUNDUP(T288/20,0),"Lần " &amp; ROUNDUP(T289/20,0),"")</f>
        <v/>
      </c>
      <c r="AF289" s="11">
        <f>IF(ROUNDUP(U289/20,0)&gt;ROUNDUP(U288/20,0),"Lần " &amp; ROUNDUP(U289/20,0),"")</f>
        <v/>
      </c>
      <c r="AG289" s="11">
        <f>IF(ROUNDUP(V289/20,0)&gt;ROUNDUP(V288/20,0),"Lần " &amp; ROUNDUP(V289/20,0),"")</f>
        <v/>
      </c>
      <c r="AH289" s="11">
        <f>IF(ROUNDUP(W289/20,0)&gt;ROUNDUP(W288/20,0),"Lần " &amp; ROUNDUP(W289/20,0),"")</f>
        <v/>
      </c>
      <c r="AI289" s="11">
        <f>IF(ROUNDUP(X289/20,0)&gt;ROUNDUP(X288/20,0),"Lần " &amp; ROUNDUP(X289/20,0),"")</f>
        <v/>
      </c>
      <c r="AJ289" s="11">
        <f>IF(ROUNDUP(Y289/20,0)&gt;ROUNDUP(Y288/20,0),"Lần " &amp; ROUNDUP(Y289/20,0),"")</f>
        <v/>
      </c>
      <c r="AK289" s="11">
        <f>IF(ROUNDUP(Z289/20,0)&gt;ROUNDUP(Z288/20,0),"Lần " &amp; ROUNDUP(Z289/20,0),"")</f>
        <v/>
      </c>
      <c r="AL289" s="6" t="n"/>
      <c r="AN289" t="inlineStr">
        <is>
          <t>Dam</t>
        </is>
      </c>
      <c r="AO289" t="n">
        <v>59</v>
      </c>
    </row>
    <row r="290" ht="19" customHeight="1">
      <c r="A290" s="6" t="n">
        <v>281</v>
      </c>
      <c r="B290" s="7" t="inlineStr">
        <is>
          <t>Dầm chủ Super-T (15 phiến L=38.2m)</t>
        </is>
      </c>
      <c r="C290" s="7" t="inlineStr">
        <is>
          <t>Dầm S1B3 (bảng thép như S1B1) (tr.88)</t>
        </is>
      </c>
      <c r="D290" s="18" t="inlineStr">
        <is>
          <t>K1b</t>
        </is>
      </c>
      <c r="E290" s="19" t="n">
        <v>16</v>
      </c>
      <c r="F290" s="6" t="inlineStr">
        <is>
          <t>CB400-V</t>
        </is>
      </c>
      <c r="G290" s="7" t="inlineStr">
        <is>
          <t>S06</t>
        </is>
      </c>
      <c r="H290" s="20" t="n">
        <v>0.776</v>
      </c>
      <c r="I290" s="21" t="n">
        <v>8</v>
      </c>
      <c r="J290" s="22" t="n">
        <v>1.578</v>
      </c>
      <c r="K290" s="9">
        <f>ROUND(H290*I290*J290, 2)</f>
        <v/>
      </c>
      <c r="L290" s="23">
        <f>ROUND(K290/1000, 3)</f>
        <v/>
      </c>
      <c r="M290" s="8">
        <f>IF(AO290="","",IF(INDEX(Theo_Doi_Tan_Suat_Be_Tong!$C:$C,AO290)="","",INDEX(Theo_Doi_Tan_Suat_Be_Tong!$C:$C,AO290)-VLOOKUP(AN290,$AQ$2:$AR$7,2,FALSE)))</f>
        <v/>
      </c>
      <c r="N290" s="6" t="n"/>
      <c r="O290" s="24">
        <f>IF(ROUNDUP(S290/20,0)&gt;ROUNDUP(S289/20,0),"TN Ø16 (Lần " &amp; ROUNDUP(S290/20,0) &amp; ")","")</f>
        <v/>
      </c>
      <c r="P290" s="20">
        <f>ROUND(P289+IF(AND(E290&lt;=10,F290&lt;&gt;"ASTM A416"),L290,0),3)</f>
        <v/>
      </c>
      <c r="Q290" s="20">
        <f>ROUND(Q289+IF(AND(E290=12,F290&lt;&gt;"ASTM A416"),L290,0),3)</f>
        <v/>
      </c>
      <c r="R290" s="20">
        <f>ROUND(R289+IF(AND(E290=14,F290&lt;&gt;"ASTM A416"),L290,0),3)</f>
        <v/>
      </c>
      <c r="S290" s="20">
        <f>ROUND(S289+IF(AND(E290=16,F290&lt;&gt;"ASTM A416"),L290,0),3)</f>
        <v/>
      </c>
      <c r="T290" s="20">
        <f>ROUND(T289+IF(AND(E290=18,F290&lt;&gt;"ASTM A416"),L290,0),3)</f>
        <v/>
      </c>
      <c r="U290" s="20">
        <f>ROUND(U289+IF(AND(E290=20,F290&lt;&gt;"ASTM A416"),L290,0),3)</f>
        <v/>
      </c>
      <c r="V290" s="20">
        <f>ROUND(V289+IF(AND(E290=22,F290&lt;&gt;"ASTM A416"),L290,0),3)</f>
        <v/>
      </c>
      <c r="W290" s="20">
        <f>ROUND(W289+IF(AND(E290=25,F290&lt;&gt;"ASTM A416"),L290,0),3)</f>
        <v/>
      </c>
      <c r="X290" s="20">
        <f>ROUND(X289+IF(AND(E290=28,F290&lt;&gt;"ASTM A416"),L290,0),3)</f>
        <v/>
      </c>
      <c r="Y290" s="20">
        <f>ROUND(Y289+IF(AND(E290=32,F290&lt;&gt;"ASTM A416"),L290,0),3)</f>
        <v/>
      </c>
      <c r="Z290" s="20">
        <f>ROUND(Z289+IF(F290="ASTM A416",L290,0),3)</f>
        <v/>
      </c>
      <c r="AA290" s="11">
        <f>IF(ROUNDUP(P290/20,0)&gt;ROUNDUP(P289/20,0),"Lần " &amp; ROUNDUP(P290/20,0),"")</f>
        <v/>
      </c>
      <c r="AB290" s="11">
        <f>IF(ROUNDUP(Q290/20,0)&gt;ROUNDUP(Q289/20,0),"Lần " &amp; ROUNDUP(Q290/20,0),"")</f>
        <v/>
      </c>
      <c r="AC290" s="11">
        <f>IF(ROUNDUP(R290/20,0)&gt;ROUNDUP(R289/20,0),"Lần " &amp; ROUNDUP(R290/20,0),"")</f>
        <v/>
      </c>
      <c r="AD290" s="11">
        <f>IF(ROUNDUP(S290/20,0)&gt;ROUNDUP(S289/20,0),"Lần " &amp; ROUNDUP(S290/20,0),"")</f>
        <v/>
      </c>
      <c r="AE290" s="11">
        <f>IF(ROUNDUP(T290/20,0)&gt;ROUNDUP(T289/20,0),"Lần " &amp; ROUNDUP(T290/20,0),"")</f>
        <v/>
      </c>
      <c r="AF290" s="11">
        <f>IF(ROUNDUP(U290/20,0)&gt;ROUNDUP(U289/20,0),"Lần " &amp; ROUNDUP(U290/20,0),"")</f>
        <v/>
      </c>
      <c r="AG290" s="11">
        <f>IF(ROUNDUP(V290/20,0)&gt;ROUNDUP(V289/20,0),"Lần " &amp; ROUNDUP(V290/20,0),"")</f>
        <v/>
      </c>
      <c r="AH290" s="11">
        <f>IF(ROUNDUP(W290/20,0)&gt;ROUNDUP(W289/20,0),"Lần " &amp; ROUNDUP(W290/20,0),"")</f>
        <v/>
      </c>
      <c r="AI290" s="11">
        <f>IF(ROUNDUP(X290/20,0)&gt;ROUNDUP(X289/20,0),"Lần " &amp; ROUNDUP(X290/20,0),"")</f>
        <v/>
      </c>
      <c r="AJ290" s="11">
        <f>IF(ROUNDUP(Y290/20,0)&gt;ROUNDUP(Y289/20,0),"Lần " &amp; ROUNDUP(Y290/20,0),"")</f>
        <v/>
      </c>
      <c r="AK290" s="11">
        <f>IF(ROUNDUP(Z290/20,0)&gt;ROUNDUP(Z289/20,0),"Lần " &amp; ROUNDUP(Z290/20,0),"")</f>
        <v/>
      </c>
      <c r="AL290" s="6" t="n"/>
      <c r="AN290" t="inlineStr">
        <is>
          <t>Dam</t>
        </is>
      </c>
      <c r="AO290" t="n">
        <v>59</v>
      </c>
    </row>
    <row r="291" ht="19" customHeight="1">
      <c r="A291" s="6" t="n">
        <v>282</v>
      </c>
      <c r="B291" s="7" t="inlineStr">
        <is>
          <t>Dầm chủ Super-T (15 phiến L=38.2m)</t>
        </is>
      </c>
      <c r="C291" s="7" t="inlineStr">
        <is>
          <t>Dầm S1G (tr.94)</t>
        </is>
      </c>
      <c r="D291" s="18" t="inlineStr">
        <is>
          <t>G1a</t>
        </is>
      </c>
      <c r="E291" s="19" t="n">
        <v>16</v>
      </c>
      <c r="F291" s="6" t="inlineStr">
        <is>
          <t>CB400-V</t>
        </is>
      </c>
      <c r="G291" s="7" t="inlineStr">
        <is>
          <t>S06</t>
        </is>
      </c>
      <c r="H291" s="20" t="n">
        <v>5.056</v>
      </c>
      <c r="I291" s="21" t="n">
        <v>1296</v>
      </c>
      <c r="J291" s="22" t="n">
        <v>1.578</v>
      </c>
      <c r="K291" s="9">
        <f>ROUND(H291*I291*J291, 2)</f>
        <v/>
      </c>
      <c r="L291" s="23">
        <f>ROUND(K291/1000, 3)</f>
        <v/>
      </c>
      <c r="M291" s="8">
        <f>IF(AO291="","",IF(INDEX(Theo_Doi_Tan_Suat_Be_Tong!$C:$C,AO291)="","",INDEX(Theo_Doi_Tan_Suat_Be_Tong!$C:$C,AO291)-VLOOKUP(AN291,$AQ$2:$AR$7,2,FALSE)))</f>
        <v/>
      </c>
      <c r="N291" s="6" t="n"/>
      <c r="O291" s="24">
        <f>IF(ROUNDUP(S291/20,0)&gt;ROUNDUP(S290/20,0),"TN Ø16 (Lần " &amp; ROUNDUP(S291/20,0) &amp; ")","")</f>
        <v/>
      </c>
      <c r="P291" s="20">
        <f>ROUND(P290+IF(AND(E291&lt;=10,F291&lt;&gt;"ASTM A416"),L291,0),3)</f>
        <v/>
      </c>
      <c r="Q291" s="20">
        <f>ROUND(Q290+IF(AND(E291=12,F291&lt;&gt;"ASTM A416"),L291,0),3)</f>
        <v/>
      </c>
      <c r="R291" s="20">
        <f>ROUND(R290+IF(AND(E291=14,F291&lt;&gt;"ASTM A416"),L291,0),3)</f>
        <v/>
      </c>
      <c r="S291" s="20">
        <f>ROUND(S290+IF(AND(E291=16,F291&lt;&gt;"ASTM A416"),L291,0),3)</f>
        <v/>
      </c>
      <c r="T291" s="20">
        <f>ROUND(T290+IF(AND(E291=18,F291&lt;&gt;"ASTM A416"),L291,0),3)</f>
        <v/>
      </c>
      <c r="U291" s="20">
        <f>ROUND(U290+IF(AND(E291=20,F291&lt;&gt;"ASTM A416"),L291,0),3)</f>
        <v/>
      </c>
      <c r="V291" s="20">
        <f>ROUND(V290+IF(AND(E291=22,F291&lt;&gt;"ASTM A416"),L291,0),3)</f>
        <v/>
      </c>
      <c r="W291" s="20">
        <f>ROUND(W290+IF(AND(E291=25,F291&lt;&gt;"ASTM A416"),L291,0),3)</f>
        <v/>
      </c>
      <c r="X291" s="20">
        <f>ROUND(X290+IF(AND(E291=28,F291&lt;&gt;"ASTM A416"),L291,0),3)</f>
        <v/>
      </c>
      <c r="Y291" s="20">
        <f>ROUND(Y290+IF(AND(E291=32,F291&lt;&gt;"ASTM A416"),L291,0),3)</f>
        <v/>
      </c>
      <c r="Z291" s="20">
        <f>ROUND(Z290+IF(F291="ASTM A416",L291,0),3)</f>
        <v/>
      </c>
      <c r="AA291" s="11">
        <f>IF(ROUNDUP(P291/20,0)&gt;ROUNDUP(P290/20,0),"Lần " &amp; ROUNDUP(P291/20,0),"")</f>
        <v/>
      </c>
      <c r="AB291" s="11">
        <f>IF(ROUNDUP(Q291/20,0)&gt;ROUNDUP(Q290/20,0),"Lần " &amp; ROUNDUP(Q291/20,0),"")</f>
        <v/>
      </c>
      <c r="AC291" s="11">
        <f>IF(ROUNDUP(R291/20,0)&gt;ROUNDUP(R290/20,0),"Lần " &amp; ROUNDUP(R291/20,0),"")</f>
        <v/>
      </c>
      <c r="AD291" s="11">
        <f>IF(ROUNDUP(S291/20,0)&gt;ROUNDUP(S290/20,0),"Lần " &amp; ROUNDUP(S291/20,0),"")</f>
        <v/>
      </c>
      <c r="AE291" s="11">
        <f>IF(ROUNDUP(T291/20,0)&gt;ROUNDUP(T290/20,0),"Lần " &amp; ROUNDUP(T291/20,0),"")</f>
        <v/>
      </c>
      <c r="AF291" s="11">
        <f>IF(ROUNDUP(U291/20,0)&gt;ROUNDUP(U290/20,0),"Lần " &amp; ROUNDUP(U291/20,0),"")</f>
        <v/>
      </c>
      <c r="AG291" s="11">
        <f>IF(ROUNDUP(V291/20,0)&gt;ROUNDUP(V290/20,0),"Lần " &amp; ROUNDUP(V291/20,0),"")</f>
        <v/>
      </c>
      <c r="AH291" s="11">
        <f>IF(ROUNDUP(W291/20,0)&gt;ROUNDUP(W290/20,0),"Lần " &amp; ROUNDUP(W291/20,0),"")</f>
        <v/>
      </c>
      <c r="AI291" s="11">
        <f>IF(ROUNDUP(X291/20,0)&gt;ROUNDUP(X290/20,0),"Lần " &amp; ROUNDUP(X291/20,0),"")</f>
        <v/>
      </c>
      <c r="AJ291" s="11">
        <f>IF(ROUNDUP(Y291/20,0)&gt;ROUNDUP(Y290/20,0),"Lần " &amp; ROUNDUP(Y291/20,0),"")</f>
        <v/>
      </c>
      <c r="AK291" s="11">
        <f>IF(ROUNDUP(Z291/20,0)&gt;ROUNDUP(Z290/20,0),"Lần " &amp; ROUNDUP(Z291/20,0),"")</f>
        <v/>
      </c>
      <c r="AL291" s="6" t="n"/>
      <c r="AN291" t="inlineStr">
        <is>
          <t>Dam</t>
        </is>
      </c>
      <c r="AO291" t="n">
        <v>59</v>
      </c>
    </row>
    <row r="292" ht="19" customHeight="1">
      <c r="A292" s="6" t="n">
        <v>283</v>
      </c>
      <c r="B292" s="7" t="inlineStr">
        <is>
          <t>Dầm chủ Super-T (15 phiến L=38.2m)</t>
        </is>
      </c>
      <c r="C292" s="7" t="inlineStr">
        <is>
          <t>Dầm S1G (tr.94)</t>
        </is>
      </c>
      <c r="D292" s="18" t="inlineStr">
        <is>
          <t>G1b</t>
        </is>
      </c>
      <c r="E292" s="19" t="n">
        <v>12</v>
      </c>
      <c r="F292" s="6" t="inlineStr">
        <is>
          <t>CB400-V</t>
        </is>
      </c>
      <c r="G292" s="7" t="inlineStr">
        <is>
          <t>S06</t>
        </is>
      </c>
      <c r="H292" s="20" t="n">
        <v>5.075</v>
      </c>
      <c r="I292" s="21" t="n">
        <v>1125</v>
      </c>
      <c r="J292" s="22" t="n">
        <v>0.888</v>
      </c>
      <c r="K292" s="9">
        <f>ROUND(H292*I292*J292, 2)</f>
        <v/>
      </c>
      <c r="L292" s="23">
        <f>ROUND(K292/1000, 3)</f>
        <v/>
      </c>
      <c r="M292" s="8">
        <f>IF(AO292="","",IF(INDEX(Theo_Doi_Tan_Suat_Be_Tong!$C:$C,AO292)="","",INDEX(Theo_Doi_Tan_Suat_Be_Tong!$C:$C,AO292)-VLOOKUP(AN292,$AQ$2:$AR$7,2,FALSE)))</f>
        <v/>
      </c>
      <c r="N292" s="6" t="n"/>
      <c r="O292" s="24">
        <f>IF(ROUNDUP(Q292/20,0)&gt;ROUNDUP(Q291/20,0),"TN Ø12 (Lần " &amp; ROUNDUP(Q292/20,0) &amp; ")","")</f>
        <v/>
      </c>
      <c r="P292" s="20">
        <f>ROUND(P291+IF(AND(E292&lt;=10,F292&lt;&gt;"ASTM A416"),L292,0),3)</f>
        <v/>
      </c>
      <c r="Q292" s="20">
        <f>ROUND(Q291+IF(AND(E292=12,F292&lt;&gt;"ASTM A416"),L292,0),3)</f>
        <v/>
      </c>
      <c r="R292" s="20">
        <f>ROUND(R291+IF(AND(E292=14,F292&lt;&gt;"ASTM A416"),L292,0),3)</f>
        <v/>
      </c>
      <c r="S292" s="20">
        <f>ROUND(S291+IF(AND(E292=16,F292&lt;&gt;"ASTM A416"),L292,0),3)</f>
        <v/>
      </c>
      <c r="T292" s="20">
        <f>ROUND(T291+IF(AND(E292=18,F292&lt;&gt;"ASTM A416"),L292,0),3)</f>
        <v/>
      </c>
      <c r="U292" s="20">
        <f>ROUND(U291+IF(AND(E292=20,F292&lt;&gt;"ASTM A416"),L292,0),3)</f>
        <v/>
      </c>
      <c r="V292" s="20">
        <f>ROUND(V291+IF(AND(E292=22,F292&lt;&gt;"ASTM A416"),L292,0),3)</f>
        <v/>
      </c>
      <c r="W292" s="20">
        <f>ROUND(W291+IF(AND(E292=25,F292&lt;&gt;"ASTM A416"),L292,0),3)</f>
        <v/>
      </c>
      <c r="X292" s="20">
        <f>ROUND(X291+IF(AND(E292=28,F292&lt;&gt;"ASTM A416"),L292,0),3)</f>
        <v/>
      </c>
      <c r="Y292" s="20">
        <f>ROUND(Y291+IF(AND(E292=32,F292&lt;&gt;"ASTM A416"),L292,0),3)</f>
        <v/>
      </c>
      <c r="Z292" s="20">
        <f>ROUND(Z291+IF(F292="ASTM A416",L292,0),3)</f>
        <v/>
      </c>
      <c r="AA292" s="11">
        <f>IF(ROUNDUP(P292/20,0)&gt;ROUNDUP(P291/20,0),"Lần " &amp; ROUNDUP(P292/20,0),"")</f>
        <v/>
      </c>
      <c r="AB292" s="11">
        <f>IF(ROUNDUP(Q292/20,0)&gt;ROUNDUP(Q291/20,0),"Lần " &amp; ROUNDUP(Q292/20,0),"")</f>
        <v/>
      </c>
      <c r="AC292" s="11">
        <f>IF(ROUNDUP(R292/20,0)&gt;ROUNDUP(R291/20,0),"Lần " &amp; ROUNDUP(R292/20,0),"")</f>
        <v/>
      </c>
      <c r="AD292" s="11">
        <f>IF(ROUNDUP(S292/20,0)&gt;ROUNDUP(S291/20,0),"Lần " &amp; ROUNDUP(S292/20,0),"")</f>
        <v/>
      </c>
      <c r="AE292" s="11">
        <f>IF(ROUNDUP(T292/20,0)&gt;ROUNDUP(T291/20,0),"Lần " &amp; ROUNDUP(T292/20,0),"")</f>
        <v/>
      </c>
      <c r="AF292" s="11">
        <f>IF(ROUNDUP(U292/20,0)&gt;ROUNDUP(U291/20,0),"Lần " &amp; ROUNDUP(U292/20,0),"")</f>
        <v/>
      </c>
      <c r="AG292" s="11">
        <f>IF(ROUNDUP(V292/20,0)&gt;ROUNDUP(V291/20,0),"Lần " &amp; ROUNDUP(V292/20,0),"")</f>
        <v/>
      </c>
      <c r="AH292" s="11">
        <f>IF(ROUNDUP(W292/20,0)&gt;ROUNDUP(W291/20,0),"Lần " &amp; ROUNDUP(W292/20,0),"")</f>
        <v/>
      </c>
      <c r="AI292" s="11">
        <f>IF(ROUNDUP(X292/20,0)&gt;ROUNDUP(X291/20,0),"Lần " &amp; ROUNDUP(X292/20,0),"")</f>
        <v/>
      </c>
      <c r="AJ292" s="11">
        <f>IF(ROUNDUP(Y292/20,0)&gt;ROUNDUP(Y291/20,0),"Lần " &amp; ROUNDUP(Y292/20,0),"")</f>
        <v/>
      </c>
      <c r="AK292" s="11">
        <f>IF(ROUNDUP(Z292/20,0)&gt;ROUNDUP(Z291/20,0),"Lần " &amp; ROUNDUP(Z292/20,0),"")</f>
        <v/>
      </c>
      <c r="AL292" s="6" t="n"/>
      <c r="AN292" t="inlineStr">
        <is>
          <t>Dam</t>
        </is>
      </c>
      <c r="AO292" t="n">
        <v>59</v>
      </c>
    </row>
    <row r="293" ht="19" customHeight="1">
      <c r="A293" s="6" t="n">
        <v>284</v>
      </c>
      <c r="B293" s="7" t="inlineStr">
        <is>
          <t>Dầm chủ Super-T (15 phiến L=38.2m)</t>
        </is>
      </c>
      <c r="C293" s="7" t="inlineStr">
        <is>
          <t>Dầm S1G (tr.94)</t>
        </is>
      </c>
      <c r="D293" s="18" t="inlineStr">
        <is>
          <t>G2</t>
        </is>
      </c>
      <c r="E293" s="19" t="n">
        <v>12</v>
      </c>
      <c r="F293" s="6" t="inlineStr">
        <is>
          <t>CB400-V</t>
        </is>
      </c>
      <c r="G293" s="7" t="inlineStr">
        <is>
          <t>S06</t>
        </is>
      </c>
      <c r="H293" s="20" t="n">
        <v>1.025</v>
      </c>
      <c r="I293" s="21" t="n">
        <v>4554</v>
      </c>
      <c r="J293" s="22" t="n">
        <v>0.888</v>
      </c>
      <c r="K293" s="9">
        <f>ROUND(H293*I293*J293, 2)</f>
        <v/>
      </c>
      <c r="L293" s="23">
        <f>ROUND(K293/1000, 3)</f>
        <v/>
      </c>
      <c r="M293" s="8">
        <f>IF(AO293="","",IF(INDEX(Theo_Doi_Tan_Suat_Be_Tong!$C:$C,AO293)="","",INDEX(Theo_Doi_Tan_Suat_Be_Tong!$C:$C,AO293)-VLOOKUP(AN293,$AQ$2:$AR$7,2,FALSE)))</f>
        <v/>
      </c>
      <c r="N293" s="6" t="n"/>
      <c r="O293" s="24">
        <f>IF(ROUNDUP(Q293/20,0)&gt;ROUNDUP(Q292/20,0),"TN Ø12 (Lần " &amp; ROUNDUP(Q293/20,0) &amp; ")","")</f>
        <v/>
      </c>
      <c r="P293" s="20">
        <f>ROUND(P292+IF(AND(E293&lt;=10,F293&lt;&gt;"ASTM A416"),L293,0),3)</f>
        <v/>
      </c>
      <c r="Q293" s="20">
        <f>ROUND(Q292+IF(AND(E293=12,F293&lt;&gt;"ASTM A416"),L293,0),3)</f>
        <v/>
      </c>
      <c r="R293" s="20">
        <f>ROUND(R292+IF(AND(E293=14,F293&lt;&gt;"ASTM A416"),L293,0),3)</f>
        <v/>
      </c>
      <c r="S293" s="20">
        <f>ROUND(S292+IF(AND(E293=16,F293&lt;&gt;"ASTM A416"),L293,0),3)</f>
        <v/>
      </c>
      <c r="T293" s="20">
        <f>ROUND(T292+IF(AND(E293=18,F293&lt;&gt;"ASTM A416"),L293,0),3)</f>
        <v/>
      </c>
      <c r="U293" s="20">
        <f>ROUND(U292+IF(AND(E293=20,F293&lt;&gt;"ASTM A416"),L293,0),3)</f>
        <v/>
      </c>
      <c r="V293" s="20">
        <f>ROUND(V292+IF(AND(E293=22,F293&lt;&gt;"ASTM A416"),L293,0),3)</f>
        <v/>
      </c>
      <c r="W293" s="20">
        <f>ROUND(W292+IF(AND(E293=25,F293&lt;&gt;"ASTM A416"),L293,0),3)</f>
        <v/>
      </c>
      <c r="X293" s="20">
        <f>ROUND(X292+IF(AND(E293=28,F293&lt;&gt;"ASTM A416"),L293,0),3)</f>
        <v/>
      </c>
      <c r="Y293" s="20">
        <f>ROUND(Y292+IF(AND(E293=32,F293&lt;&gt;"ASTM A416"),L293,0),3)</f>
        <v/>
      </c>
      <c r="Z293" s="20">
        <f>ROUND(Z292+IF(F293="ASTM A416",L293,0),3)</f>
        <v/>
      </c>
      <c r="AA293" s="11">
        <f>IF(ROUNDUP(P293/20,0)&gt;ROUNDUP(P292/20,0),"Lần " &amp; ROUNDUP(P293/20,0),"")</f>
        <v/>
      </c>
      <c r="AB293" s="11">
        <f>IF(ROUNDUP(Q293/20,0)&gt;ROUNDUP(Q292/20,0),"Lần " &amp; ROUNDUP(Q293/20,0),"")</f>
        <v/>
      </c>
      <c r="AC293" s="11">
        <f>IF(ROUNDUP(R293/20,0)&gt;ROUNDUP(R292/20,0),"Lần " &amp; ROUNDUP(R293/20,0),"")</f>
        <v/>
      </c>
      <c r="AD293" s="11">
        <f>IF(ROUNDUP(S293/20,0)&gt;ROUNDUP(S292/20,0),"Lần " &amp; ROUNDUP(S293/20,0),"")</f>
        <v/>
      </c>
      <c r="AE293" s="11">
        <f>IF(ROUNDUP(T293/20,0)&gt;ROUNDUP(T292/20,0),"Lần " &amp; ROUNDUP(T293/20,0),"")</f>
        <v/>
      </c>
      <c r="AF293" s="11">
        <f>IF(ROUNDUP(U293/20,0)&gt;ROUNDUP(U292/20,0),"Lần " &amp; ROUNDUP(U293/20,0),"")</f>
        <v/>
      </c>
      <c r="AG293" s="11">
        <f>IF(ROUNDUP(V293/20,0)&gt;ROUNDUP(V292/20,0),"Lần " &amp; ROUNDUP(V293/20,0),"")</f>
        <v/>
      </c>
      <c r="AH293" s="11">
        <f>IF(ROUNDUP(W293/20,0)&gt;ROUNDUP(W292/20,0),"Lần " &amp; ROUNDUP(W293/20,0),"")</f>
        <v/>
      </c>
      <c r="AI293" s="11">
        <f>IF(ROUNDUP(X293/20,0)&gt;ROUNDUP(X292/20,0),"Lần " &amp; ROUNDUP(X293/20,0),"")</f>
        <v/>
      </c>
      <c r="AJ293" s="11">
        <f>IF(ROUNDUP(Y293/20,0)&gt;ROUNDUP(Y292/20,0),"Lần " &amp; ROUNDUP(Y293/20,0),"")</f>
        <v/>
      </c>
      <c r="AK293" s="11">
        <f>IF(ROUNDUP(Z293/20,0)&gt;ROUNDUP(Z292/20,0),"Lần " &amp; ROUNDUP(Z293/20,0),"")</f>
        <v/>
      </c>
      <c r="AL293" s="6" t="n"/>
      <c r="AN293" t="inlineStr">
        <is>
          <t>Dam</t>
        </is>
      </c>
      <c r="AO293" t="n">
        <v>59</v>
      </c>
    </row>
    <row r="294" ht="19" customHeight="1">
      <c r="A294" s="6" t="n">
        <v>285</v>
      </c>
      <c r="B294" s="7" t="inlineStr">
        <is>
          <t>Dầm chủ Super-T (15 phiến L=38.2m)</t>
        </is>
      </c>
      <c r="C294" s="7" t="inlineStr">
        <is>
          <t>Dầm S1G (tr.94)</t>
        </is>
      </c>
      <c r="D294" s="18" t="inlineStr">
        <is>
          <t>G3</t>
        </is>
      </c>
      <c r="E294" s="19" t="n">
        <v>12</v>
      </c>
      <c r="F294" s="6" t="inlineStr">
        <is>
          <t>CB400-V</t>
        </is>
      </c>
      <c r="G294" s="7" t="inlineStr">
        <is>
          <t>S06</t>
        </is>
      </c>
      <c r="H294" s="20" t="n">
        <v>1.259</v>
      </c>
      <c r="I294" s="21" t="n">
        <v>2421</v>
      </c>
      <c r="J294" s="22" t="n">
        <v>0.888</v>
      </c>
      <c r="K294" s="9">
        <f>ROUND(H294*I294*J294, 2)</f>
        <v/>
      </c>
      <c r="L294" s="23">
        <f>ROUND(K294/1000, 3)</f>
        <v/>
      </c>
      <c r="M294" s="8">
        <f>IF(AO294="","",IF(INDEX(Theo_Doi_Tan_Suat_Be_Tong!$C:$C,AO294)="","",INDEX(Theo_Doi_Tan_Suat_Be_Tong!$C:$C,AO294)-VLOOKUP(AN294,$AQ$2:$AR$7,2,FALSE)))</f>
        <v/>
      </c>
      <c r="N294" s="6" t="n"/>
      <c r="O294" s="24">
        <f>IF(ROUNDUP(Q294/20,0)&gt;ROUNDUP(Q293/20,0),"TN Ø12 (Lần " &amp; ROUNDUP(Q294/20,0) &amp; ")","")</f>
        <v/>
      </c>
      <c r="P294" s="20">
        <f>ROUND(P293+IF(AND(E294&lt;=10,F294&lt;&gt;"ASTM A416"),L294,0),3)</f>
        <v/>
      </c>
      <c r="Q294" s="20">
        <f>ROUND(Q293+IF(AND(E294=12,F294&lt;&gt;"ASTM A416"),L294,0),3)</f>
        <v/>
      </c>
      <c r="R294" s="20">
        <f>ROUND(R293+IF(AND(E294=14,F294&lt;&gt;"ASTM A416"),L294,0),3)</f>
        <v/>
      </c>
      <c r="S294" s="20">
        <f>ROUND(S293+IF(AND(E294=16,F294&lt;&gt;"ASTM A416"),L294,0),3)</f>
        <v/>
      </c>
      <c r="T294" s="20">
        <f>ROUND(T293+IF(AND(E294=18,F294&lt;&gt;"ASTM A416"),L294,0),3)</f>
        <v/>
      </c>
      <c r="U294" s="20">
        <f>ROUND(U293+IF(AND(E294=20,F294&lt;&gt;"ASTM A416"),L294,0),3)</f>
        <v/>
      </c>
      <c r="V294" s="20">
        <f>ROUND(V293+IF(AND(E294=22,F294&lt;&gt;"ASTM A416"),L294,0),3)</f>
        <v/>
      </c>
      <c r="W294" s="20">
        <f>ROUND(W293+IF(AND(E294=25,F294&lt;&gt;"ASTM A416"),L294,0),3)</f>
        <v/>
      </c>
      <c r="X294" s="20">
        <f>ROUND(X293+IF(AND(E294=28,F294&lt;&gt;"ASTM A416"),L294,0),3)</f>
        <v/>
      </c>
      <c r="Y294" s="20">
        <f>ROUND(Y293+IF(AND(E294=32,F294&lt;&gt;"ASTM A416"),L294,0),3)</f>
        <v/>
      </c>
      <c r="Z294" s="20">
        <f>ROUND(Z293+IF(F294="ASTM A416",L294,0),3)</f>
        <v/>
      </c>
      <c r="AA294" s="11">
        <f>IF(ROUNDUP(P294/20,0)&gt;ROUNDUP(P293/20,0),"Lần " &amp; ROUNDUP(P294/20,0),"")</f>
        <v/>
      </c>
      <c r="AB294" s="11">
        <f>IF(ROUNDUP(Q294/20,0)&gt;ROUNDUP(Q293/20,0),"Lần " &amp; ROUNDUP(Q294/20,0),"")</f>
        <v/>
      </c>
      <c r="AC294" s="11">
        <f>IF(ROUNDUP(R294/20,0)&gt;ROUNDUP(R293/20,0),"Lần " &amp; ROUNDUP(R294/20,0),"")</f>
        <v/>
      </c>
      <c r="AD294" s="11">
        <f>IF(ROUNDUP(S294/20,0)&gt;ROUNDUP(S293/20,0),"Lần " &amp; ROUNDUP(S294/20,0),"")</f>
        <v/>
      </c>
      <c r="AE294" s="11">
        <f>IF(ROUNDUP(T294/20,0)&gt;ROUNDUP(T293/20,0),"Lần " &amp; ROUNDUP(T294/20,0),"")</f>
        <v/>
      </c>
      <c r="AF294" s="11">
        <f>IF(ROUNDUP(U294/20,0)&gt;ROUNDUP(U293/20,0),"Lần " &amp; ROUNDUP(U294/20,0),"")</f>
        <v/>
      </c>
      <c r="AG294" s="11">
        <f>IF(ROUNDUP(V294/20,0)&gt;ROUNDUP(V293/20,0),"Lần " &amp; ROUNDUP(V294/20,0),"")</f>
        <v/>
      </c>
      <c r="AH294" s="11">
        <f>IF(ROUNDUP(W294/20,0)&gt;ROUNDUP(W293/20,0),"Lần " &amp; ROUNDUP(W294/20,0),"")</f>
        <v/>
      </c>
      <c r="AI294" s="11">
        <f>IF(ROUNDUP(X294/20,0)&gt;ROUNDUP(X293/20,0),"Lần " &amp; ROUNDUP(X294/20,0),"")</f>
        <v/>
      </c>
      <c r="AJ294" s="11">
        <f>IF(ROUNDUP(Y294/20,0)&gt;ROUNDUP(Y293/20,0),"Lần " &amp; ROUNDUP(Y294/20,0),"")</f>
        <v/>
      </c>
      <c r="AK294" s="11">
        <f>IF(ROUNDUP(Z294/20,0)&gt;ROUNDUP(Z293/20,0),"Lần " &amp; ROUNDUP(Z294/20,0),"")</f>
        <v/>
      </c>
      <c r="AL294" s="6" t="n"/>
      <c r="AN294" t="inlineStr">
        <is>
          <t>Dam</t>
        </is>
      </c>
      <c r="AO294" t="n">
        <v>59</v>
      </c>
    </row>
    <row r="295" ht="19" customHeight="1">
      <c r="A295" s="6" t="n">
        <v>286</v>
      </c>
      <c r="B295" s="7" t="inlineStr">
        <is>
          <t>Dầm chủ Super-T (15 phiến L=38.2m)</t>
        </is>
      </c>
      <c r="C295" s="7" t="inlineStr">
        <is>
          <t>Dầm S1G (tr.94)</t>
        </is>
      </c>
      <c r="D295" s="18" t="inlineStr">
        <is>
          <t>G4a1</t>
        </is>
      </c>
      <c r="E295" s="19" t="n">
        <v>12</v>
      </c>
      <c r="F295" s="6" t="inlineStr">
        <is>
          <t>CB400-V</t>
        </is>
      </c>
      <c r="G295" s="7" t="inlineStr">
        <is>
          <t>S01</t>
        </is>
      </c>
      <c r="H295" s="20" t="n">
        <v>11.7</v>
      </c>
      <c r="I295" s="21" t="n">
        <v>54</v>
      </c>
      <c r="J295" s="22" t="n">
        <v>0.888</v>
      </c>
      <c r="K295" s="9">
        <f>ROUND(H295*I295*J295, 2)</f>
        <v/>
      </c>
      <c r="L295" s="23">
        <f>ROUND(K295/1000, 3)</f>
        <v/>
      </c>
      <c r="M295" s="8">
        <f>IF(AO295="","",IF(INDEX(Theo_Doi_Tan_Suat_Be_Tong!$C:$C,AO295)="","",INDEX(Theo_Doi_Tan_Suat_Be_Tong!$C:$C,AO295)-VLOOKUP(AN295,$AQ$2:$AR$7,2,FALSE)))</f>
        <v/>
      </c>
      <c r="N295" s="6" t="n"/>
      <c r="O295" s="24">
        <f>IF(ROUNDUP(Q295/20,0)&gt;ROUNDUP(Q294/20,0),"TN Ø12 (Lần " &amp; ROUNDUP(Q295/20,0) &amp; ")","")</f>
        <v/>
      </c>
      <c r="P295" s="20">
        <f>ROUND(P294+IF(AND(E295&lt;=10,F295&lt;&gt;"ASTM A416"),L295,0),3)</f>
        <v/>
      </c>
      <c r="Q295" s="20">
        <f>ROUND(Q294+IF(AND(E295=12,F295&lt;&gt;"ASTM A416"),L295,0),3)</f>
        <v/>
      </c>
      <c r="R295" s="20">
        <f>ROUND(R294+IF(AND(E295=14,F295&lt;&gt;"ASTM A416"),L295,0),3)</f>
        <v/>
      </c>
      <c r="S295" s="20">
        <f>ROUND(S294+IF(AND(E295=16,F295&lt;&gt;"ASTM A416"),L295,0),3)</f>
        <v/>
      </c>
      <c r="T295" s="20">
        <f>ROUND(T294+IF(AND(E295=18,F295&lt;&gt;"ASTM A416"),L295,0),3)</f>
        <v/>
      </c>
      <c r="U295" s="20">
        <f>ROUND(U294+IF(AND(E295=20,F295&lt;&gt;"ASTM A416"),L295,0),3)</f>
        <v/>
      </c>
      <c r="V295" s="20">
        <f>ROUND(V294+IF(AND(E295=22,F295&lt;&gt;"ASTM A416"),L295,0),3)</f>
        <v/>
      </c>
      <c r="W295" s="20">
        <f>ROUND(W294+IF(AND(E295=25,F295&lt;&gt;"ASTM A416"),L295,0),3)</f>
        <v/>
      </c>
      <c r="X295" s="20">
        <f>ROUND(X294+IF(AND(E295=28,F295&lt;&gt;"ASTM A416"),L295,0),3)</f>
        <v/>
      </c>
      <c r="Y295" s="20">
        <f>ROUND(Y294+IF(AND(E295=32,F295&lt;&gt;"ASTM A416"),L295,0),3)</f>
        <v/>
      </c>
      <c r="Z295" s="20">
        <f>ROUND(Z294+IF(F295="ASTM A416",L295,0),3)</f>
        <v/>
      </c>
      <c r="AA295" s="11">
        <f>IF(ROUNDUP(P295/20,0)&gt;ROUNDUP(P294/20,0),"Lần " &amp; ROUNDUP(P295/20,0),"")</f>
        <v/>
      </c>
      <c r="AB295" s="11">
        <f>IF(ROUNDUP(Q295/20,0)&gt;ROUNDUP(Q294/20,0),"Lần " &amp; ROUNDUP(Q295/20,0),"")</f>
        <v/>
      </c>
      <c r="AC295" s="11">
        <f>IF(ROUNDUP(R295/20,0)&gt;ROUNDUP(R294/20,0),"Lần " &amp; ROUNDUP(R295/20,0),"")</f>
        <v/>
      </c>
      <c r="AD295" s="11">
        <f>IF(ROUNDUP(S295/20,0)&gt;ROUNDUP(S294/20,0),"Lần " &amp; ROUNDUP(S295/20,0),"")</f>
        <v/>
      </c>
      <c r="AE295" s="11">
        <f>IF(ROUNDUP(T295/20,0)&gt;ROUNDUP(T294/20,0),"Lần " &amp; ROUNDUP(T295/20,0),"")</f>
        <v/>
      </c>
      <c r="AF295" s="11">
        <f>IF(ROUNDUP(U295/20,0)&gt;ROUNDUP(U294/20,0),"Lần " &amp; ROUNDUP(U295/20,0),"")</f>
        <v/>
      </c>
      <c r="AG295" s="11">
        <f>IF(ROUNDUP(V295/20,0)&gt;ROUNDUP(V294/20,0),"Lần " &amp; ROUNDUP(V295/20,0),"")</f>
        <v/>
      </c>
      <c r="AH295" s="11">
        <f>IF(ROUNDUP(W295/20,0)&gt;ROUNDUP(W294/20,0),"Lần " &amp; ROUNDUP(W295/20,0),"")</f>
        <v/>
      </c>
      <c r="AI295" s="11">
        <f>IF(ROUNDUP(X295/20,0)&gt;ROUNDUP(X294/20,0),"Lần " &amp; ROUNDUP(X295/20,0),"")</f>
        <v/>
      </c>
      <c r="AJ295" s="11">
        <f>IF(ROUNDUP(Y295/20,0)&gt;ROUNDUP(Y294/20,0),"Lần " &amp; ROUNDUP(Y295/20,0),"")</f>
        <v/>
      </c>
      <c r="AK295" s="11">
        <f>IF(ROUNDUP(Z295/20,0)&gt;ROUNDUP(Z294/20,0),"Lần " &amp; ROUNDUP(Z295/20,0),"")</f>
        <v/>
      </c>
      <c r="AL295" s="6" t="n"/>
      <c r="AN295" t="inlineStr">
        <is>
          <t>Dam</t>
        </is>
      </c>
      <c r="AO295" t="n">
        <v>59</v>
      </c>
    </row>
    <row r="296" ht="19" customHeight="1">
      <c r="A296" s="6" t="n">
        <v>287</v>
      </c>
      <c r="B296" s="7" t="inlineStr">
        <is>
          <t>Dầm chủ Super-T (15 phiến L=38.2m)</t>
        </is>
      </c>
      <c r="C296" s="7" t="inlineStr">
        <is>
          <t>Dầm S1G (tr.94)</t>
        </is>
      </c>
      <c r="D296" s="18" t="inlineStr">
        <is>
          <t>G4a2</t>
        </is>
      </c>
      <c r="E296" s="19" t="n">
        <v>12</v>
      </c>
      <c r="F296" s="6" t="inlineStr">
        <is>
          <t>CB400-V</t>
        </is>
      </c>
      <c r="G296" s="7" t="inlineStr">
        <is>
          <t>S06</t>
        </is>
      </c>
      <c r="H296" s="20" t="n">
        <v>4.46</v>
      </c>
      <c r="I296" s="21" t="n">
        <v>18</v>
      </c>
      <c r="J296" s="22" t="n">
        <v>0.888</v>
      </c>
      <c r="K296" s="9">
        <f>ROUND(H296*I296*J296, 2)</f>
        <v/>
      </c>
      <c r="L296" s="23">
        <f>ROUND(K296/1000, 3)</f>
        <v/>
      </c>
      <c r="M296" s="8">
        <f>IF(AO296="","",IF(INDEX(Theo_Doi_Tan_Suat_Be_Tong!$C:$C,AO296)="","",INDEX(Theo_Doi_Tan_Suat_Be_Tong!$C:$C,AO296)-VLOOKUP(AN296,$AQ$2:$AR$7,2,FALSE)))</f>
        <v/>
      </c>
      <c r="N296" s="6" t="n"/>
      <c r="O296" s="24">
        <f>IF(ROUNDUP(Q296/20,0)&gt;ROUNDUP(Q295/20,0),"TN Ø12 (Lần " &amp; ROUNDUP(Q296/20,0) &amp; ")","")</f>
        <v/>
      </c>
      <c r="P296" s="20">
        <f>ROUND(P295+IF(AND(E296&lt;=10,F296&lt;&gt;"ASTM A416"),L296,0),3)</f>
        <v/>
      </c>
      <c r="Q296" s="20">
        <f>ROUND(Q295+IF(AND(E296=12,F296&lt;&gt;"ASTM A416"),L296,0),3)</f>
        <v/>
      </c>
      <c r="R296" s="20">
        <f>ROUND(R295+IF(AND(E296=14,F296&lt;&gt;"ASTM A416"),L296,0),3)</f>
        <v/>
      </c>
      <c r="S296" s="20">
        <f>ROUND(S295+IF(AND(E296=16,F296&lt;&gt;"ASTM A416"),L296,0),3)</f>
        <v/>
      </c>
      <c r="T296" s="20">
        <f>ROUND(T295+IF(AND(E296=18,F296&lt;&gt;"ASTM A416"),L296,0),3)</f>
        <v/>
      </c>
      <c r="U296" s="20">
        <f>ROUND(U295+IF(AND(E296=20,F296&lt;&gt;"ASTM A416"),L296,0),3)</f>
        <v/>
      </c>
      <c r="V296" s="20">
        <f>ROUND(V295+IF(AND(E296=22,F296&lt;&gt;"ASTM A416"),L296,0),3)</f>
        <v/>
      </c>
      <c r="W296" s="20">
        <f>ROUND(W295+IF(AND(E296=25,F296&lt;&gt;"ASTM A416"),L296,0),3)</f>
        <v/>
      </c>
      <c r="X296" s="20">
        <f>ROUND(X295+IF(AND(E296=28,F296&lt;&gt;"ASTM A416"),L296,0),3)</f>
        <v/>
      </c>
      <c r="Y296" s="20">
        <f>ROUND(Y295+IF(AND(E296=32,F296&lt;&gt;"ASTM A416"),L296,0),3)</f>
        <v/>
      </c>
      <c r="Z296" s="20">
        <f>ROUND(Z295+IF(F296="ASTM A416",L296,0),3)</f>
        <v/>
      </c>
      <c r="AA296" s="11">
        <f>IF(ROUNDUP(P296/20,0)&gt;ROUNDUP(P295/20,0),"Lần " &amp; ROUNDUP(P296/20,0),"")</f>
        <v/>
      </c>
      <c r="AB296" s="11">
        <f>IF(ROUNDUP(Q296/20,0)&gt;ROUNDUP(Q295/20,0),"Lần " &amp; ROUNDUP(Q296/20,0),"")</f>
        <v/>
      </c>
      <c r="AC296" s="11">
        <f>IF(ROUNDUP(R296/20,0)&gt;ROUNDUP(R295/20,0),"Lần " &amp; ROUNDUP(R296/20,0),"")</f>
        <v/>
      </c>
      <c r="AD296" s="11">
        <f>IF(ROUNDUP(S296/20,0)&gt;ROUNDUP(S295/20,0),"Lần " &amp; ROUNDUP(S296/20,0),"")</f>
        <v/>
      </c>
      <c r="AE296" s="11">
        <f>IF(ROUNDUP(T296/20,0)&gt;ROUNDUP(T295/20,0),"Lần " &amp; ROUNDUP(T296/20,0),"")</f>
        <v/>
      </c>
      <c r="AF296" s="11">
        <f>IF(ROUNDUP(U296/20,0)&gt;ROUNDUP(U295/20,0),"Lần " &amp; ROUNDUP(U296/20,0),"")</f>
        <v/>
      </c>
      <c r="AG296" s="11">
        <f>IF(ROUNDUP(V296/20,0)&gt;ROUNDUP(V295/20,0),"Lần " &amp; ROUNDUP(V296/20,0),"")</f>
        <v/>
      </c>
      <c r="AH296" s="11">
        <f>IF(ROUNDUP(W296/20,0)&gt;ROUNDUP(W295/20,0),"Lần " &amp; ROUNDUP(W296/20,0),"")</f>
        <v/>
      </c>
      <c r="AI296" s="11">
        <f>IF(ROUNDUP(X296/20,0)&gt;ROUNDUP(X295/20,0),"Lần " &amp; ROUNDUP(X296/20,0),"")</f>
        <v/>
      </c>
      <c r="AJ296" s="11">
        <f>IF(ROUNDUP(Y296/20,0)&gt;ROUNDUP(Y295/20,0),"Lần " &amp; ROUNDUP(Y296/20,0),"")</f>
        <v/>
      </c>
      <c r="AK296" s="11">
        <f>IF(ROUNDUP(Z296/20,0)&gt;ROUNDUP(Z295/20,0),"Lần " &amp; ROUNDUP(Z296/20,0),"")</f>
        <v/>
      </c>
      <c r="AL296" s="6" t="n"/>
      <c r="AN296" t="inlineStr">
        <is>
          <t>Dam</t>
        </is>
      </c>
      <c r="AO296" t="n">
        <v>59</v>
      </c>
    </row>
    <row r="297" ht="19" customHeight="1">
      <c r="A297" s="6" t="n">
        <v>288</v>
      </c>
      <c r="B297" s="7" t="inlineStr">
        <is>
          <t>Dầm chủ Super-T (15 phiến L=38.2m)</t>
        </is>
      </c>
      <c r="C297" s="7" t="inlineStr">
        <is>
          <t>Dầm S1G (tr.94)</t>
        </is>
      </c>
      <c r="D297" s="18" t="inlineStr">
        <is>
          <t>G4b1</t>
        </is>
      </c>
      <c r="E297" s="19" t="n">
        <v>12</v>
      </c>
      <c r="F297" s="6" t="inlineStr">
        <is>
          <t>CB400-V</t>
        </is>
      </c>
      <c r="G297" s="7" t="inlineStr">
        <is>
          <t>S01</t>
        </is>
      </c>
      <c r="H297" s="20" t="n">
        <v>11.7</v>
      </c>
      <c r="I297" s="21" t="n">
        <v>216</v>
      </c>
      <c r="J297" s="22" t="n">
        <v>0.888</v>
      </c>
      <c r="K297" s="9">
        <f>ROUND(H297*I297*J297, 2)</f>
        <v/>
      </c>
      <c r="L297" s="23">
        <f>ROUND(K297/1000, 3)</f>
        <v/>
      </c>
      <c r="M297" s="8">
        <f>IF(AO297="","",IF(INDEX(Theo_Doi_Tan_Suat_Be_Tong!$C:$C,AO297)="","",INDEX(Theo_Doi_Tan_Suat_Be_Tong!$C:$C,AO297)-VLOOKUP(AN297,$AQ$2:$AR$7,2,FALSE)))</f>
        <v/>
      </c>
      <c r="N297" s="6" t="n"/>
      <c r="O297" s="24">
        <f>IF(ROUNDUP(Q297/20,0)&gt;ROUNDUP(Q296/20,0),"TN Ø12 (Lần " &amp; ROUNDUP(Q297/20,0) &amp; ")","")</f>
        <v/>
      </c>
      <c r="P297" s="20">
        <f>ROUND(P296+IF(AND(E297&lt;=10,F297&lt;&gt;"ASTM A416"),L297,0),3)</f>
        <v/>
      </c>
      <c r="Q297" s="20">
        <f>ROUND(Q296+IF(AND(E297=12,F297&lt;&gt;"ASTM A416"),L297,0),3)</f>
        <v/>
      </c>
      <c r="R297" s="20">
        <f>ROUND(R296+IF(AND(E297=14,F297&lt;&gt;"ASTM A416"),L297,0),3)</f>
        <v/>
      </c>
      <c r="S297" s="20">
        <f>ROUND(S296+IF(AND(E297=16,F297&lt;&gt;"ASTM A416"),L297,0),3)</f>
        <v/>
      </c>
      <c r="T297" s="20">
        <f>ROUND(T296+IF(AND(E297=18,F297&lt;&gt;"ASTM A416"),L297,0),3)</f>
        <v/>
      </c>
      <c r="U297" s="20">
        <f>ROUND(U296+IF(AND(E297=20,F297&lt;&gt;"ASTM A416"),L297,0),3)</f>
        <v/>
      </c>
      <c r="V297" s="20">
        <f>ROUND(V296+IF(AND(E297=22,F297&lt;&gt;"ASTM A416"),L297,0),3)</f>
        <v/>
      </c>
      <c r="W297" s="20">
        <f>ROUND(W296+IF(AND(E297=25,F297&lt;&gt;"ASTM A416"),L297,0),3)</f>
        <v/>
      </c>
      <c r="X297" s="20">
        <f>ROUND(X296+IF(AND(E297=28,F297&lt;&gt;"ASTM A416"),L297,0),3)</f>
        <v/>
      </c>
      <c r="Y297" s="20">
        <f>ROUND(Y296+IF(AND(E297=32,F297&lt;&gt;"ASTM A416"),L297,0),3)</f>
        <v/>
      </c>
      <c r="Z297" s="20">
        <f>ROUND(Z296+IF(F297="ASTM A416",L297,0),3)</f>
        <v/>
      </c>
      <c r="AA297" s="11">
        <f>IF(ROUNDUP(P297/20,0)&gt;ROUNDUP(P296/20,0),"Lần " &amp; ROUNDUP(P297/20,0),"")</f>
        <v/>
      </c>
      <c r="AB297" s="11">
        <f>IF(ROUNDUP(Q297/20,0)&gt;ROUNDUP(Q296/20,0),"Lần " &amp; ROUNDUP(Q297/20,0),"")</f>
        <v/>
      </c>
      <c r="AC297" s="11">
        <f>IF(ROUNDUP(R297/20,0)&gt;ROUNDUP(R296/20,0),"Lần " &amp; ROUNDUP(R297/20,0),"")</f>
        <v/>
      </c>
      <c r="AD297" s="11">
        <f>IF(ROUNDUP(S297/20,0)&gt;ROUNDUP(S296/20,0),"Lần " &amp; ROUNDUP(S297/20,0),"")</f>
        <v/>
      </c>
      <c r="AE297" s="11">
        <f>IF(ROUNDUP(T297/20,0)&gt;ROUNDUP(T296/20,0),"Lần " &amp; ROUNDUP(T297/20,0),"")</f>
        <v/>
      </c>
      <c r="AF297" s="11">
        <f>IF(ROUNDUP(U297/20,0)&gt;ROUNDUP(U296/20,0),"Lần " &amp; ROUNDUP(U297/20,0),"")</f>
        <v/>
      </c>
      <c r="AG297" s="11">
        <f>IF(ROUNDUP(V297/20,0)&gt;ROUNDUP(V296/20,0),"Lần " &amp; ROUNDUP(V297/20,0),"")</f>
        <v/>
      </c>
      <c r="AH297" s="11">
        <f>IF(ROUNDUP(W297/20,0)&gt;ROUNDUP(W296/20,0),"Lần " &amp; ROUNDUP(W297/20,0),"")</f>
        <v/>
      </c>
      <c r="AI297" s="11">
        <f>IF(ROUNDUP(X297/20,0)&gt;ROUNDUP(X296/20,0),"Lần " &amp; ROUNDUP(X297/20,0),"")</f>
        <v/>
      </c>
      <c r="AJ297" s="11">
        <f>IF(ROUNDUP(Y297/20,0)&gt;ROUNDUP(Y296/20,0),"Lần " &amp; ROUNDUP(Y297/20,0),"")</f>
        <v/>
      </c>
      <c r="AK297" s="11">
        <f>IF(ROUNDUP(Z297/20,0)&gt;ROUNDUP(Z296/20,0),"Lần " &amp; ROUNDUP(Z297/20,0),"")</f>
        <v/>
      </c>
      <c r="AL297" s="6" t="n"/>
      <c r="AN297" t="inlineStr">
        <is>
          <t>Dam</t>
        </is>
      </c>
      <c r="AO297" t="n">
        <v>59</v>
      </c>
    </row>
    <row r="298" ht="19" customHeight="1">
      <c r="A298" s="6" t="n">
        <v>289</v>
      </c>
      <c r="B298" s="7" t="inlineStr">
        <is>
          <t>Dầm chủ Super-T (15 phiến L=38.2m)</t>
        </is>
      </c>
      <c r="C298" s="7" t="inlineStr">
        <is>
          <t>Dầm S1G (tr.94)</t>
        </is>
      </c>
      <c r="D298" s="18" t="inlineStr">
        <is>
          <t>G4b2</t>
        </is>
      </c>
      <c r="E298" s="19" t="n">
        <v>12</v>
      </c>
      <c r="F298" s="6" t="inlineStr">
        <is>
          <t>CB400-V</t>
        </is>
      </c>
      <c r="G298" s="7" t="inlineStr">
        <is>
          <t>S06</t>
        </is>
      </c>
      <c r="H298" s="20" t="n">
        <v>3.06</v>
      </c>
      <c r="I298" s="21" t="n">
        <v>72</v>
      </c>
      <c r="J298" s="22" t="n">
        <v>0.888</v>
      </c>
      <c r="K298" s="9">
        <f>ROUND(H298*I298*J298, 2)</f>
        <v/>
      </c>
      <c r="L298" s="23">
        <f>ROUND(K298/1000, 3)</f>
        <v/>
      </c>
      <c r="M298" s="8">
        <f>IF(AO298="","",IF(INDEX(Theo_Doi_Tan_Suat_Be_Tong!$C:$C,AO298)="","",INDEX(Theo_Doi_Tan_Suat_Be_Tong!$C:$C,AO298)-VLOOKUP(AN298,$AQ$2:$AR$7,2,FALSE)))</f>
        <v/>
      </c>
      <c r="N298" s="6" t="n"/>
      <c r="O298" s="24">
        <f>IF(ROUNDUP(Q298/20,0)&gt;ROUNDUP(Q297/20,0),"TN Ø12 (Lần " &amp; ROUNDUP(Q298/20,0) &amp; ")","")</f>
        <v/>
      </c>
      <c r="P298" s="20">
        <f>ROUND(P297+IF(AND(E298&lt;=10,F298&lt;&gt;"ASTM A416"),L298,0),3)</f>
        <v/>
      </c>
      <c r="Q298" s="20">
        <f>ROUND(Q297+IF(AND(E298=12,F298&lt;&gt;"ASTM A416"),L298,0),3)</f>
        <v/>
      </c>
      <c r="R298" s="20">
        <f>ROUND(R297+IF(AND(E298=14,F298&lt;&gt;"ASTM A416"),L298,0),3)</f>
        <v/>
      </c>
      <c r="S298" s="20">
        <f>ROUND(S297+IF(AND(E298=16,F298&lt;&gt;"ASTM A416"),L298,0),3)</f>
        <v/>
      </c>
      <c r="T298" s="20">
        <f>ROUND(T297+IF(AND(E298=18,F298&lt;&gt;"ASTM A416"),L298,0),3)</f>
        <v/>
      </c>
      <c r="U298" s="20">
        <f>ROUND(U297+IF(AND(E298=20,F298&lt;&gt;"ASTM A416"),L298,0),3)</f>
        <v/>
      </c>
      <c r="V298" s="20">
        <f>ROUND(V297+IF(AND(E298=22,F298&lt;&gt;"ASTM A416"),L298,0),3)</f>
        <v/>
      </c>
      <c r="W298" s="20">
        <f>ROUND(W297+IF(AND(E298=25,F298&lt;&gt;"ASTM A416"),L298,0),3)</f>
        <v/>
      </c>
      <c r="X298" s="20">
        <f>ROUND(X297+IF(AND(E298=28,F298&lt;&gt;"ASTM A416"),L298,0),3)</f>
        <v/>
      </c>
      <c r="Y298" s="20">
        <f>ROUND(Y297+IF(AND(E298=32,F298&lt;&gt;"ASTM A416"),L298,0),3)</f>
        <v/>
      </c>
      <c r="Z298" s="20">
        <f>ROUND(Z297+IF(F298="ASTM A416",L298,0),3)</f>
        <v/>
      </c>
      <c r="AA298" s="11">
        <f>IF(ROUNDUP(P298/20,0)&gt;ROUNDUP(P297/20,0),"Lần " &amp; ROUNDUP(P298/20,0),"")</f>
        <v/>
      </c>
      <c r="AB298" s="11">
        <f>IF(ROUNDUP(Q298/20,0)&gt;ROUNDUP(Q297/20,0),"Lần " &amp; ROUNDUP(Q298/20,0),"")</f>
        <v/>
      </c>
      <c r="AC298" s="11">
        <f>IF(ROUNDUP(R298/20,0)&gt;ROUNDUP(R297/20,0),"Lần " &amp; ROUNDUP(R298/20,0),"")</f>
        <v/>
      </c>
      <c r="AD298" s="11">
        <f>IF(ROUNDUP(S298/20,0)&gt;ROUNDUP(S297/20,0),"Lần " &amp; ROUNDUP(S298/20,0),"")</f>
        <v/>
      </c>
      <c r="AE298" s="11">
        <f>IF(ROUNDUP(T298/20,0)&gt;ROUNDUP(T297/20,0),"Lần " &amp; ROUNDUP(T298/20,0),"")</f>
        <v/>
      </c>
      <c r="AF298" s="11">
        <f>IF(ROUNDUP(U298/20,0)&gt;ROUNDUP(U297/20,0),"Lần " &amp; ROUNDUP(U298/20,0),"")</f>
        <v/>
      </c>
      <c r="AG298" s="11">
        <f>IF(ROUNDUP(V298/20,0)&gt;ROUNDUP(V297/20,0),"Lần " &amp; ROUNDUP(V298/20,0),"")</f>
        <v/>
      </c>
      <c r="AH298" s="11">
        <f>IF(ROUNDUP(W298/20,0)&gt;ROUNDUP(W297/20,0),"Lần " &amp; ROUNDUP(W298/20,0),"")</f>
        <v/>
      </c>
      <c r="AI298" s="11">
        <f>IF(ROUNDUP(X298/20,0)&gt;ROUNDUP(X297/20,0),"Lần " &amp; ROUNDUP(X298/20,0),"")</f>
        <v/>
      </c>
      <c r="AJ298" s="11">
        <f>IF(ROUNDUP(Y298/20,0)&gt;ROUNDUP(Y297/20,0),"Lần " &amp; ROUNDUP(Y298/20,0),"")</f>
        <v/>
      </c>
      <c r="AK298" s="11">
        <f>IF(ROUNDUP(Z298/20,0)&gt;ROUNDUP(Z297/20,0),"Lần " &amp; ROUNDUP(Z298/20,0),"")</f>
        <v/>
      </c>
      <c r="AL298" s="6" t="n"/>
      <c r="AN298" t="inlineStr">
        <is>
          <t>Dam</t>
        </is>
      </c>
      <c r="AO298" t="n">
        <v>59</v>
      </c>
    </row>
    <row r="299" ht="19" customHeight="1">
      <c r="A299" s="6" t="n">
        <v>290</v>
      </c>
      <c r="B299" s="7" t="inlineStr">
        <is>
          <t>Dầm chủ Super-T (15 phiến L=38.2m)</t>
        </is>
      </c>
      <c r="C299" s="7" t="inlineStr">
        <is>
          <t>Dầm S1G (tr.94)</t>
        </is>
      </c>
      <c r="D299" s="18" t="inlineStr">
        <is>
          <t>G5a</t>
        </is>
      </c>
      <c r="E299" s="19" t="n">
        <v>16</v>
      </c>
      <c r="F299" s="6" t="inlineStr">
        <is>
          <t>CB400-V</t>
        </is>
      </c>
      <c r="G299" s="7" t="inlineStr">
        <is>
          <t>S01</t>
        </is>
      </c>
      <c r="H299" s="20" t="n">
        <v>11.7</v>
      </c>
      <c r="I299" s="21" t="n">
        <v>252</v>
      </c>
      <c r="J299" s="22" t="n">
        <v>1.578</v>
      </c>
      <c r="K299" s="9">
        <f>ROUND(H299*I299*J299, 2)</f>
        <v/>
      </c>
      <c r="L299" s="23">
        <f>ROUND(K299/1000, 3)</f>
        <v/>
      </c>
      <c r="M299" s="8">
        <f>IF(AO299="","",IF(INDEX(Theo_Doi_Tan_Suat_Be_Tong!$C:$C,AO299)="","",INDEX(Theo_Doi_Tan_Suat_Be_Tong!$C:$C,AO299)-VLOOKUP(AN299,$AQ$2:$AR$7,2,FALSE)))</f>
        <v/>
      </c>
      <c r="N299" s="6" t="n"/>
      <c r="O299" s="24">
        <f>IF(ROUNDUP(S299/20,0)&gt;ROUNDUP(S298/20,0),"TN Ø16 (Lần " &amp; ROUNDUP(S299/20,0) &amp; ")","")</f>
        <v/>
      </c>
      <c r="P299" s="20">
        <f>ROUND(P298+IF(AND(E299&lt;=10,F299&lt;&gt;"ASTM A416"),L299,0),3)</f>
        <v/>
      </c>
      <c r="Q299" s="20">
        <f>ROUND(Q298+IF(AND(E299=12,F299&lt;&gt;"ASTM A416"),L299,0),3)</f>
        <v/>
      </c>
      <c r="R299" s="20">
        <f>ROUND(R298+IF(AND(E299=14,F299&lt;&gt;"ASTM A416"),L299,0),3)</f>
        <v/>
      </c>
      <c r="S299" s="20">
        <f>ROUND(S298+IF(AND(E299=16,F299&lt;&gt;"ASTM A416"),L299,0),3)</f>
        <v/>
      </c>
      <c r="T299" s="20">
        <f>ROUND(T298+IF(AND(E299=18,F299&lt;&gt;"ASTM A416"),L299,0),3)</f>
        <v/>
      </c>
      <c r="U299" s="20">
        <f>ROUND(U298+IF(AND(E299=20,F299&lt;&gt;"ASTM A416"),L299,0),3)</f>
        <v/>
      </c>
      <c r="V299" s="20">
        <f>ROUND(V298+IF(AND(E299=22,F299&lt;&gt;"ASTM A416"),L299,0),3)</f>
        <v/>
      </c>
      <c r="W299" s="20">
        <f>ROUND(W298+IF(AND(E299=25,F299&lt;&gt;"ASTM A416"),L299,0),3)</f>
        <v/>
      </c>
      <c r="X299" s="20">
        <f>ROUND(X298+IF(AND(E299=28,F299&lt;&gt;"ASTM A416"),L299,0),3)</f>
        <v/>
      </c>
      <c r="Y299" s="20">
        <f>ROUND(Y298+IF(AND(E299=32,F299&lt;&gt;"ASTM A416"),L299,0),3)</f>
        <v/>
      </c>
      <c r="Z299" s="20">
        <f>ROUND(Z298+IF(F299="ASTM A416",L299,0),3)</f>
        <v/>
      </c>
      <c r="AA299" s="11">
        <f>IF(ROUNDUP(P299/20,0)&gt;ROUNDUP(P298/20,0),"Lần " &amp; ROUNDUP(P299/20,0),"")</f>
        <v/>
      </c>
      <c r="AB299" s="11">
        <f>IF(ROUNDUP(Q299/20,0)&gt;ROUNDUP(Q298/20,0),"Lần " &amp; ROUNDUP(Q299/20,0),"")</f>
        <v/>
      </c>
      <c r="AC299" s="11">
        <f>IF(ROUNDUP(R299/20,0)&gt;ROUNDUP(R298/20,0),"Lần " &amp; ROUNDUP(R299/20,0),"")</f>
        <v/>
      </c>
      <c r="AD299" s="11">
        <f>IF(ROUNDUP(S299/20,0)&gt;ROUNDUP(S298/20,0),"Lần " &amp; ROUNDUP(S299/20,0),"")</f>
        <v/>
      </c>
      <c r="AE299" s="11">
        <f>IF(ROUNDUP(T299/20,0)&gt;ROUNDUP(T298/20,0),"Lần " &amp; ROUNDUP(T299/20,0),"")</f>
        <v/>
      </c>
      <c r="AF299" s="11">
        <f>IF(ROUNDUP(U299/20,0)&gt;ROUNDUP(U298/20,0),"Lần " &amp; ROUNDUP(U299/20,0),"")</f>
        <v/>
      </c>
      <c r="AG299" s="11">
        <f>IF(ROUNDUP(V299/20,0)&gt;ROUNDUP(V298/20,0),"Lần " &amp; ROUNDUP(V299/20,0),"")</f>
        <v/>
      </c>
      <c r="AH299" s="11">
        <f>IF(ROUNDUP(W299/20,0)&gt;ROUNDUP(W298/20,0),"Lần " &amp; ROUNDUP(W299/20,0),"")</f>
        <v/>
      </c>
      <c r="AI299" s="11">
        <f>IF(ROUNDUP(X299/20,0)&gt;ROUNDUP(X298/20,0),"Lần " &amp; ROUNDUP(X299/20,0),"")</f>
        <v/>
      </c>
      <c r="AJ299" s="11">
        <f>IF(ROUNDUP(Y299/20,0)&gt;ROUNDUP(Y298/20,0),"Lần " &amp; ROUNDUP(Y299/20,0),"")</f>
        <v/>
      </c>
      <c r="AK299" s="11">
        <f>IF(ROUNDUP(Z299/20,0)&gt;ROUNDUP(Z298/20,0),"Lần " &amp; ROUNDUP(Z299/20,0),"")</f>
        <v/>
      </c>
      <c r="AL299" s="6" t="n"/>
      <c r="AN299" t="inlineStr">
        <is>
          <t>Dam</t>
        </is>
      </c>
      <c r="AO299" t="n">
        <v>59</v>
      </c>
    </row>
    <row r="300" ht="19" customHeight="1">
      <c r="A300" s="6" t="n">
        <v>291</v>
      </c>
      <c r="B300" s="7" t="inlineStr">
        <is>
          <t>Dầm chủ Super-T (15 phiến L=38.2m)</t>
        </is>
      </c>
      <c r="C300" s="7" t="inlineStr">
        <is>
          <t>Dầm S1G (tr.94)</t>
        </is>
      </c>
      <c r="D300" s="18" t="inlineStr">
        <is>
          <t>G5b</t>
        </is>
      </c>
      <c r="E300" s="19" t="n">
        <v>18</v>
      </c>
      <c r="F300" s="6" t="inlineStr">
        <is>
          <t>CB400-V</t>
        </is>
      </c>
      <c r="G300" s="7" t="inlineStr">
        <is>
          <t>S06</t>
        </is>
      </c>
      <c r="H300" s="20" t="n">
        <v>2.86</v>
      </c>
      <c r="I300" s="21" t="n">
        <v>126</v>
      </c>
      <c r="J300" s="22" t="n">
        <v>1.998</v>
      </c>
      <c r="K300" s="9">
        <f>ROUND(H300*I300*J300, 2)</f>
        <v/>
      </c>
      <c r="L300" s="23">
        <f>ROUND(K300/1000, 3)</f>
        <v/>
      </c>
      <c r="M300" s="8">
        <f>IF(AO300="","",IF(INDEX(Theo_Doi_Tan_Suat_Be_Tong!$C:$C,AO300)="","",INDEX(Theo_Doi_Tan_Suat_Be_Tong!$C:$C,AO300)-VLOOKUP(AN300,$AQ$2:$AR$7,2,FALSE)))</f>
        <v/>
      </c>
      <c r="N300" s="6" t="n"/>
      <c r="O300" s="24">
        <f>IF(ROUNDUP(T300/20,0)&gt;ROUNDUP(T299/20,0),"TN Ø18 (Lần " &amp; ROUNDUP(T300/20,0) &amp; ")","")</f>
        <v/>
      </c>
      <c r="P300" s="20">
        <f>ROUND(P299+IF(AND(E300&lt;=10,F300&lt;&gt;"ASTM A416"),L300,0),3)</f>
        <v/>
      </c>
      <c r="Q300" s="20">
        <f>ROUND(Q299+IF(AND(E300=12,F300&lt;&gt;"ASTM A416"),L300,0),3)</f>
        <v/>
      </c>
      <c r="R300" s="20">
        <f>ROUND(R299+IF(AND(E300=14,F300&lt;&gt;"ASTM A416"),L300,0),3)</f>
        <v/>
      </c>
      <c r="S300" s="20">
        <f>ROUND(S299+IF(AND(E300=16,F300&lt;&gt;"ASTM A416"),L300,0),3)</f>
        <v/>
      </c>
      <c r="T300" s="20">
        <f>ROUND(T299+IF(AND(E300=18,F300&lt;&gt;"ASTM A416"),L300,0),3)</f>
        <v/>
      </c>
      <c r="U300" s="20">
        <f>ROUND(U299+IF(AND(E300=20,F300&lt;&gt;"ASTM A416"),L300,0),3)</f>
        <v/>
      </c>
      <c r="V300" s="20">
        <f>ROUND(V299+IF(AND(E300=22,F300&lt;&gt;"ASTM A416"),L300,0),3)</f>
        <v/>
      </c>
      <c r="W300" s="20">
        <f>ROUND(W299+IF(AND(E300=25,F300&lt;&gt;"ASTM A416"),L300,0),3)</f>
        <v/>
      </c>
      <c r="X300" s="20">
        <f>ROUND(X299+IF(AND(E300=28,F300&lt;&gt;"ASTM A416"),L300,0),3)</f>
        <v/>
      </c>
      <c r="Y300" s="20">
        <f>ROUND(Y299+IF(AND(E300=32,F300&lt;&gt;"ASTM A416"),L300,0),3)</f>
        <v/>
      </c>
      <c r="Z300" s="20">
        <f>ROUND(Z299+IF(F300="ASTM A416",L300,0),3)</f>
        <v/>
      </c>
      <c r="AA300" s="11">
        <f>IF(ROUNDUP(P300/20,0)&gt;ROUNDUP(P299/20,0),"Lần " &amp; ROUNDUP(P300/20,0),"")</f>
        <v/>
      </c>
      <c r="AB300" s="11">
        <f>IF(ROUNDUP(Q300/20,0)&gt;ROUNDUP(Q299/20,0),"Lần " &amp; ROUNDUP(Q300/20,0),"")</f>
        <v/>
      </c>
      <c r="AC300" s="11">
        <f>IF(ROUNDUP(R300/20,0)&gt;ROUNDUP(R299/20,0),"Lần " &amp; ROUNDUP(R300/20,0),"")</f>
        <v/>
      </c>
      <c r="AD300" s="11">
        <f>IF(ROUNDUP(S300/20,0)&gt;ROUNDUP(S299/20,0),"Lần " &amp; ROUNDUP(S300/20,0),"")</f>
        <v/>
      </c>
      <c r="AE300" s="11">
        <f>IF(ROUNDUP(T300/20,0)&gt;ROUNDUP(T299/20,0),"Lần " &amp; ROUNDUP(T300/20,0),"")</f>
        <v/>
      </c>
      <c r="AF300" s="11">
        <f>IF(ROUNDUP(U300/20,0)&gt;ROUNDUP(U299/20,0),"Lần " &amp; ROUNDUP(U300/20,0),"")</f>
        <v/>
      </c>
      <c r="AG300" s="11">
        <f>IF(ROUNDUP(V300/20,0)&gt;ROUNDUP(V299/20,0),"Lần " &amp; ROUNDUP(V300/20,0),"")</f>
        <v/>
      </c>
      <c r="AH300" s="11">
        <f>IF(ROUNDUP(W300/20,0)&gt;ROUNDUP(W299/20,0),"Lần " &amp; ROUNDUP(W300/20,0),"")</f>
        <v/>
      </c>
      <c r="AI300" s="11">
        <f>IF(ROUNDUP(X300/20,0)&gt;ROUNDUP(X299/20,0),"Lần " &amp; ROUNDUP(X300/20,0),"")</f>
        <v/>
      </c>
      <c r="AJ300" s="11">
        <f>IF(ROUNDUP(Y300/20,0)&gt;ROUNDUP(Y299/20,0),"Lần " &amp; ROUNDUP(Y300/20,0),"")</f>
        <v/>
      </c>
      <c r="AK300" s="11">
        <f>IF(ROUNDUP(Z300/20,0)&gt;ROUNDUP(Z299/20,0),"Lần " &amp; ROUNDUP(Z300/20,0),"")</f>
        <v/>
      </c>
      <c r="AL300" s="6" t="n"/>
      <c r="AN300" t="inlineStr">
        <is>
          <t>Dam</t>
        </is>
      </c>
      <c r="AO300" t="n">
        <v>59</v>
      </c>
    </row>
    <row r="301" ht="19" customHeight="1">
      <c r="A301" s="6" t="n">
        <v>292</v>
      </c>
      <c r="B301" s="7" t="inlineStr">
        <is>
          <t>Dầm chủ Super-T (15 phiến L=38.2m)</t>
        </is>
      </c>
      <c r="C301" s="7" t="inlineStr">
        <is>
          <t>Dầm S1G (tr.94)</t>
        </is>
      </c>
      <c r="D301" s="18" t="inlineStr">
        <is>
          <t>G5c</t>
        </is>
      </c>
      <c r="E301" s="19" t="n">
        <v>16</v>
      </c>
      <c r="F301" s="6" t="inlineStr">
        <is>
          <t>CB400-V</t>
        </is>
      </c>
      <c r="G301" s="7" t="inlineStr">
        <is>
          <t>S01</t>
        </is>
      </c>
      <c r="H301" s="20" t="n">
        <v>10.68</v>
      </c>
      <c r="I301" s="21" t="n">
        <v>126</v>
      </c>
      <c r="J301" s="22" t="n">
        <v>1.578</v>
      </c>
      <c r="K301" s="9">
        <f>ROUND(H301*I301*J301, 2)</f>
        <v/>
      </c>
      <c r="L301" s="23">
        <f>ROUND(K301/1000, 3)</f>
        <v/>
      </c>
      <c r="M301" s="8">
        <f>IF(AO301="","",IF(INDEX(Theo_Doi_Tan_Suat_Be_Tong!$C:$C,AO301)="","",INDEX(Theo_Doi_Tan_Suat_Be_Tong!$C:$C,AO301)-VLOOKUP(AN301,$AQ$2:$AR$7,2,FALSE)))</f>
        <v/>
      </c>
      <c r="N301" s="6" t="n"/>
      <c r="O301" s="24">
        <f>IF(ROUNDUP(S301/20,0)&gt;ROUNDUP(S300/20,0),"TN Ø16 (Lần " &amp; ROUNDUP(S301/20,0) &amp; ")","")</f>
        <v/>
      </c>
      <c r="P301" s="20">
        <f>ROUND(P300+IF(AND(E301&lt;=10,F301&lt;&gt;"ASTM A416"),L301,0),3)</f>
        <v/>
      </c>
      <c r="Q301" s="20">
        <f>ROUND(Q300+IF(AND(E301=12,F301&lt;&gt;"ASTM A416"),L301,0),3)</f>
        <v/>
      </c>
      <c r="R301" s="20">
        <f>ROUND(R300+IF(AND(E301=14,F301&lt;&gt;"ASTM A416"),L301,0),3)</f>
        <v/>
      </c>
      <c r="S301" s="20">
        <f>ROUND(S300+IF(AND(E301=16,F301&lt;&gt;"ASTM A416"),L301,0),3)</f>
        <v/>
      </c>
      <c r="T301" s="20">
        <f>ROUND(T300+IF(AND(E301=18,F301&lt;&gt;"ASTM A416"),L301,0),3)</f>
        <v/>
      </c>
      <c r="U301" s="20">
        <f>ROUND(U300+IF(AND(E301=20,F301&lt;&gt;"ASTM A416"),L301,0),3)</f>
        <v/>
      </c>
      <c r="V301" s="20">
        <f>ROUND(V300+IF(AND(E301=22,F301&lt;&gt;"ASTM A416"),L301,0),3)</f>
        <v/>
      </c>
      <c r="W301" s="20">
        <f>ROUND(W300+IF(AND(E301=25,F301&lt;&gt;"ASTM A416"),L301,0),3)</f>
        <v/>
      </c>
      <c r="X301" s="20">
        <f>ROUND(X300+IF(AND(E301=28,F301&lt;&gt;"ASTM A416"),L301,0),3)</f>
        <v/>
      </c>
      <c r="Y301" s="20">
        <f>ROUND(Y300+IF(AND(E301=32,F301&lt;&gt;"ASTM A416"),L301,0),3)</f>
        <v/>
      </c>
      <c r="Z301" s="20">
        <f>ROUND(Z300+IF(F301="ASTM A416",L301,0),3)</f>
        <v/>
      </c>
      <c r="AA301" s="11">
        <f>IF(ROUNDUP(P301/20,0)&gt;ROUNDUP(P300/20,0),"Lần " &amp; ROUNDUP(P301/20,0),"")</f>
        <v/>
      </c>
      <c r="AB301" s="11">
        <f>IF(ROUNDUP(Q301/20,0)&gt;ROUNDUP(Q300/20,0),"Lần " &amp; ROUNDUP(Q301/20,0),"")</f>
        <v/>
      </c>
      <c r="AC301" s="11">
        <f>IF(ROUNDUP(R301/20,0)&gt;ROUNDUP(R300/20,0),"Lần " &amp; ROUNDUP(R301/20,0),"")</f>
        <v/>
      </c>
      <c r="AD301" s="11">
        <f>IF(ROUNDUP(S301/20,0)&gt;ROUNDUP(S300/20,0),"Lần " &amp; ROUNDUP(S301/20,0),"")</f>
        <v/>
      </c>
      <c r="AE301" s="11">
        <f>IF(ROUNDUP(T301/20,0)&gt;ROUNDUP(T300/20,0),"Lần " &amp; ROUNDUP(T301/20,0),"")</f>
        <v/>
      </c>
      <c r="AF301" s="11">
        <f>IF(ROUNDUP(U301/20,0)&gt;ROUNDUP(U300/20,0),"Lần " &amp; ROUNDUP(U301/20,0),"")</f>
        <v/>
      </c>
      <c r="AG301" s="11">
        <f>IF(ROUNDUP(V301/20,0)&gt;ROUNDUP(V300/20,0),"Lần " &amp; ROUNDUP(V301/20,0),"")</f>
        <v/>
      </c>
      <c r="AH301" s="11">
        <f>IF(ROUNDUP(W301/20,0)&gt;ROUNDUP(W300/20,0),"Lần " &amp; ROUNDUP(W301/20,0),"")</f>
        <v/>
      </c>
      <c r="AI301" s="11">
        <f>IF(ROUNDUP(X301/20,0)&gt;ROUNDUP(X300/20,0),"Lần " &amp; ROUNDUP(X301/20,0),"")</f>
        <v/>
      </c>
      <c r="AJ301" s="11">
        <f>IF(ROUNDUP(Y301/20,0)&gt;ROUNDUP(Y300/20,0),"Lần " &amp; ROUNDUP(Y301/20,0),"")</f>
        <v/>
      </c>
      <c r="AK301" s="11">
        <f>IF(ROUNDUP(Z301/20,0)&gt;ROUNDUP(Z300/20,0),"Lần " &amp; ROUNDUP(Z301/20,0),"")</f>
        <v/>
      </c>
      <c r="AL301" s="6" t="n"/>
      <c r="AN301" t="inlineStr">
        <is>
          <t>Dam</t>
        </is>
      </c>
      <c r="AO301" t="n">
        <v>59</v>
      </c>
    </row>
    <row r="302" ht="19" customHeight="1">
      <c r="A302" s="6" t="n">
        <v>293</v>
      </c>
      <c r="B302" s="7" t="inlineStr">
        <is>
          <t>Dầm chủ Super-T (15 phiến L=38.2m)</t>
        </is>
      </c>
      <c r="C302" s="7" t="inlineStr">
        <is>
          <t>Dầm S1G (tr.94)</t>
        </is>
      </c>
      <c r="D302" s="18" t="inlineStr">
        <is>
          <t>(?)</t>
        </is>
      </c>
      <c r="E302" s="19" t="n">
        <v>18</v>
      </c>
      <c r="F302" s="6" t="inlineStr">
        <is>
          <t>CB400-V</t>
        </is>
      </c>
      <c r="G302" s="7" t="inlineStr"/>
      <c r="H302" s="20" t="n">
        <v>3.9</v>
      </c>
      <c r="I302" s="21" t="n">
        <v>126</v>
      </c>
      <c r="J302" s="22" t="n">
        <v>1.998</v>
      </c>
      <c r="K302" s="9">
        <f>ROUND(H302*I302*J302, 2)</f>
        <v/>
      </c>
      <c r="L302" s="23">
        <f>ROUND(K302/1000, 3)</f>
        <v/>
      </c>
      <c r="M302" s="8">
        <f>IF(AO302="","",IF(INDEX(Theo_Doi_Tan_Suat_Be_Tong!$C:$C,AO302)="","",INDEX(Theo_Doi_Tan_Suat_Be_Tong!$C:$C,AO302)-VLOOKUP(AN302,$AQ$2:$AR$7,2,FALSE)))</f>
        <v/>
      </c>
      <c r="N302" s="6" t="n"/>
      <c r="O302" s="24">
        <f>IF(ROUNDUP(T302/20,0)&gt;ROUNDUP(T301/20,0),"TN Ø18 (Lần " &amp; ROUNDUP(T302/20,0) &amp; ")","")</f>
        <v/>
      </c>
      <c r="P302" s="20">
        <f>ROUND(P301+IF(AND(E302&lt;=10,F302&lt;&gt;"ASTM A416"),L302,0),3)</f>
        <v/>
      </c>
      <c r="Q302" s="20">
        <f>ROUND(Q301+IF(AND(E302=12,F302&lt;&gt;"ASTM A416"),L302,0),3)</f>
        <v/>
      </c>
      <c r="R302" s="20">
        <f>ROUND(R301+IF(AND(E302=14,F302&lt;&gt;"ASTM A416"),L302,0),3)</f>
        <v/>
      </c>
      <c r="S302" s="20">
        <f>ROUND(S301+IF(AND(E302=16,F302&lt;&gt;"ASTM A416"),L302,0),3)</f>
        <v/>
      </c>
      <c r="T302" s="20">
        <f>ROUND(T301+IF(AND(E302=18,F302&lt;&gt;"ASTM A416"),L302,0),3)</f>
        <v/>
      </c>
      <c r="U302" s="20">
        <f>ROUND(U301+IF(AND(E302=20,F302&lt;&gt;"ASTM A416"),L302,0),3)</f>
        <v/>
      </c>
      <c r="V302" s="20">
        <f>ROUND(V301+IF(AND(E302=22,F302&lt;&gt;"ASTM A416"),L302,0),3)</f>
        <v/>
      </c>
      <c r="W302" s="20">
        <f>ROUND(W301+IF(AND(E302=25,F302&lt;&gt;"ASTM A416"),L302,0),3)</f>
        <v/>
      </c>
      <c r="X302" s="20">
        <f>ROUND(X301+IF(AND(E302=28,F302&lt;&gt;"ASTM A416"),L302,0),3)</f>
        <v/>
      </c>
      <c r="Y302" s="20">
        <f>ROUND(Y301+IF(AND(E302=32,F302&lt;&gt;"ASTM A416"),L302,0),3)</f>
        <v/>
      </c>
      <c r="Z302" s="20">
        <f>ROUND(Z301+IF(F302="ASTM A416",L302,0),3)</f>
        <v/>
      </c>
      <c r="AA302" s="11">
        <f>IF(ROUNDUP(P302/20,0)&gt;ROUNDUP(P301/20,0),"Lần " &amp; ROUNDUP(P302/20,0),"")</f>
        <v/>
      </c>
      <c r="AB302" s="11">
        <f>IF(ROUNDUP(Q302/20,0)&gt;ROUNDUP(Q301/20,0),"Lần " &amp; ROUNDUP(Q302/20,0),"")</f>
        <v/>
      </c>
      <c r="AC302" s="11">
        <f>IF(ROUNDUP(R302/20,0)&gt;ROUNDUP(R301/20,0),"Lần " &amp; ROUNDUP(R302/20,0),"")</f>
        <v/>
      </c>
      <c r="AD302" s="11">
        <f>IF(ROUNDUP(S302/20,0)&gt;ROUNDUP(S301/20,0),"Lần " &amp; ROUNDUP(S302/20,0),"")</f>
        <v/>
      </c>
      <c r="AE302" s="11">
        <f>IF(ROUNDUP(T302/20,0)&gt;ROUNDUP(T301/20,0),"Lần " &amp; ROUNDUP(T302/20,0),"")</f>
        <v/>
      </c>
      <c r="AF302" s="11">
        <f>IF(ROUNDUP(U302/20,0)&gt;ROUNDUP(U301/20,0),"Lần " &amp; ROUNDUP(U302/20,0),"")</f>
        <v/>
      </c>
      <c r="AG302" s="11">
        <f>IF(ROUNDUP(V302/20,0)&gt;ROUNDUP(V301/20,0),"Lần " &amp; ROUNDUP(V302/20,0),"")</f>
        <v/>
      </c>
      <c r="AH302" s="11">
        <f>IF(ROUNDUP(W302/20,0)&gt;ROUNDUP(W301/20,0),"Lần " &amp; ROUNDUP(W302/20,0),"")</f>
        <v/>
      </c>
      <c r="AI302" s="11">
        <f>IF(ROUNDUP(X302/20,0)&gt;ROUNDUP(X301/20,0),"Lần " &amp; ROUNDUP(X302/20,0),"")</f>
        <v/>
      </c>
      <c r="AJ302" s="11">
        <f>IF(ROUNDUP(Y302/20,0)&gt;ROUNDUP(Y301/20,0),"Lần " &amp; ROUNDUP(Y302/20,0),"")</f>
        <v/>
      </c>
      <c r="AK302" s="11">
        <f>IF(ROUNDUP(Z302/20,0)&gt;ROUNDUP(Z301/20,0),"Lần " &amp; ROUNDUP(Z302/20,0),"")</f>
        <v/>
      </c>
      <c r="AL302" s="6" t="n"/>
      <c r="AN302" t="inlineStr">
        <is>
          <t>Dam</t>
        </is>
      </c>
      <c r="AO302" t="n">
        <v>59</v>
      </c>
    </row>
    <row r="303" ht="19" customHeight="1">
      <c r="A303" s="6" t="n">
        <v>294</v>
      </c>
      <c r="B303" s="7" t="inlineStr">
        <is>
          <t>Dầm chủ Super-T (15 phiến L=38.2m)</t>
        </is>
      </c>
      <c r="C303" s="7" t="inlineStr">
        <is>
          <t>Dầm S1G (tr.94)</t>
        </is>
      </c>
      <c r="D303" s="18" t="inlineStr">
        <is>
          <t>G6a</t>
        </is>
      </c>
      <c r="E303" s="19" t="n">
        <v>32</v>
      </c>
      <c r="F303" s="6" t="inlineStr">
        <is>
          <t>CB400-V</t>
        </is>
      </c>
      <c r="G303" s="7" t="inlineStr">
        <is>
          <t>S01</t>
        </is>
      </c>
      <c r="H303" s="20" t="n">
        <v>11.7</v>
      </c>
      <c r="I303" s="21" t="n">
        <v>81</v>
      </c>
      <c r="J303" s="22" t="n">
        <v>6.313</v>
      </c>
      <c r="K303" s="9">
        <f>ROUND(H303*I303*J303, 2)</f>
        <v/>
      </c>
      <c r="L303" s="23">
        <f>ROUND(K303/1000, 3)</f>
        <v/>
      </c>
      <c r="M303" s="8">
        <f>IF(AO303="","",IF(INDEX(Theo_Doi_Tan_Suat_Be_Tong!$C:$C,AO303)="","",INDEX(Theo_Doi_Tan_Suat_Be_Tong!$C:$C,AO303)-VLOOKUP(AN303,$AQ$2:$AR$7,2,FALSE)))</f>
        <v/>
      </c>
      <c r="N303" s="6" t="n"/>
      <c r="O303" s="24">
        <f>IF(ROUNDUP(Y303/20,0)&gt;ROUNDUP(Y302/20,0),"TN Ø32 (Lần " &amp; ROUNDUP(Y303/20,0) &amp; ")","")</f>
        <v/>
      </c>
      <c r="P303" s="20">
        <f>ROUND(P302+IF(AND(E303&lt;=10,F303&lt;&gt;"ASTM A416"),L303,0),3)</f>
        <v/>
      </c>
      <c r="Q303" s="20">
        <f>ROUND(Q302+IF(AND(E303=12,F303&lt;&gt;"ASTM A416"),L303,0),3)</f>
        <v/>
      </c>
      <c r="R303" s="20">
        <f>ROUND(R302+IF(AND(E303=14,F303&lt;&gt;"ASTM A416"),L303,0),3)</f>
        <v/>
      </c>
      <c r="S303" s="20">
        <f>ROUND(S302+IF(AND(E303=16,F303&lt;&gt;"ASTM A416"),L303,0),3)</f>
        <v/>
      </c>
      <c r="T303" s="20">
        <f>ROUND(T302+IF(AND(E303=18,F303&lt;&gt;"ASTM A416"),L303,0),3)</f>
        <v/>
      </c>
      <c r="U303" s="20">
        <f>ROUND(U302+IF(AND(E303=20,F303&lt;&gt;"ASTM A416"),L303,0),3)</f>
        <v/>
      </c>
      <c r="V303" s="20">
        <f>ROUND(V302+IF(AND(E303=22,F303&lt;&gt;"ASTM A416"),L303,0),3)</f>
        <v/>
      </c>
      <c r="W303" s="20">
        <f>ROUND(W302+IF(AND(E303=25,F303&lt;&gt;"ASTM A416"),L303,0),3)</f>
        <v/>
      </c>
      <c r="X303" s="20">
        <f>ROUND(X302+IF(AND(E303=28,F303&lt;&gt;"ASTM A416"),L303,0),3)</f>
        <v/>
      </c>
      <c r="Y303" s="20">
        <f>ROUND(Y302+IF(AND(E303=32,F303&lt;&gt;"ASTM A416"),L303,0),3)</f>
        <v/>
      </c>
      <c r="Z303" s="20">
        <f>ROUND(Z302+IF(F303="ASTM A416",L303,0),3)</f>
        <v/>
      </c>
      <c r="AA303" s="11">
        <f>IF(ROUNDUP(P303/20,0)&gt;ROUNDUP(P302/20,0),"Lần " &amp; ROUNDUP(P303/20,0),"")</f>
        <v/>
      </c>
      <c r="AB303" s="11">
        <f>IF(ROUNDUP(Q303/20,0)&gt;ROUNDUP(Q302/20,0),"Lần " &amp; ROUNDUP(Q303/20,0),"")</f>
        <v/>
      </c>
      <c r="AC303" s="11">
        <f>IF(ROUNDUP(R303/20,0)&gt;ROUNDUP(R302/20,0),"Lần " &amp; ROUNDUP(R303/20,0),"")</f>
        <v/>
      </c>
      <c r="AD303" s="11">
        <f>IF(ROUNDUP(S303/20,0)&gt;ROUNDUP(S302/20,0),"Lần " &amp; ROUNDUP(S303/20,0),"")</f>
        <v/>
      </c>
      <c r="AE303" s="11">
        <f>IF(ROUNDUP(T303/20,0)&gt;ROUNDUP(T302/20,0),"Lần " &amp; ROUNDUP(T303/20,0),"")</f>
        <v/>
      </c>
      <c r="AF303" s="11">
        <f>IF(ROUNDUP(U303/20,0)&gt;ROUNDUP(U302/20,0),"Lần " &amp; ROUNDUP(U303/20,0),"")</f>
        <v/>
      </c>
      <c r="AG303" s="11">
        <f>IF(ROUNDUP(V303/20,0)&gt;ROUNDUP(V302/20,0),"Lần " &amp; ROUNDUP(V303/20,0),"")</f>
        <v/>
      </c>
      <c r="AH303" s="11">
        <f>IF(ROUNDUP(W303/20,0)&gt;ROUNDUP(W302/20,0),"Lần " &amp; ROUNDUP(W303/20,0),"")</f>
        <v/>
      </c>
      <c r="AI303" s="11">
        <f>IF(ROUNDUP(X303/20,0)&gt;ROUNDUP(X302/20,0),"Lần " &amp; ROUNDUP(X303/20,0),"")</f>
        <v/>
      </c>
      <c r="AJ303" s="11">
        <f>IF(ROUNDUP(Y303/20,0)&gt;ROUNDUP(Y302/20,0),"Lần " &amp; ROUNDUP(Y303/20,0),"")</f>
        <v/>
      </c>
      <c r="AK303" s="11">
        <f>IF(ROUNDUP(Z303/20,0)&gt;ROUNDUP(Z302/20,0),"Lần " &amp; ROUNDUP(Z303/20,0),"")</f>
        <v/>
      </c>
      <c r="AL303" s="6" t="n"/>
      <c r="AN303" t="inlineStr">
        <is>
          <t>Dam</t>
        </is>
      </c>
      <c r="AO303" t="n">
        <v>59</v>
      </c>
    </row>
    <row r="304" ht="19" customHeight="1">
      <c r="A304" s="6" t="n">
        <v>295</v>
      </c>
      <c r="B304" s="7" t="inlineStr">
        <is>
          <t>Dầm chủ Super-T (15 phiến L=38.2m)</t>
        </is>
      </c>
      <c r="C304" s="7" t="inlineStr">
        <is>
          <t>Dầm S1G (tr.94)</t>
        </is>
      </c>
      <c r="D304" s="18" t="inlineStr">
        <is>
          <t>G6b</t>
        </is>
      </c>
      <c r="E304" s="19" t="n">
        <v>32</v>
      </c>
      <c r="F304" s="6" t="inlineStr">
        <is>
          <t>CB400-V</t>
        </is>
      </c>
      <c r="G304" s="7" t="inlineStr">
        <is>
          <t>S06</t>
        </is>
      </c>
      <c r="H304" s="20" t="n">
        <v>6.86</v>
      </c>
      <c r="I304" s="21" t="n">
        <v>27</v>
      </c>
      <c r="J304" s="22" t="n">
        <v>6.313</v>
      </c>
      <c r="K304" s="9">
        <f>ROUND(H304*I304*J304, 2)</f>
        <v/>
      </c>
      <c r="L304" s="23">
        <f>ROUND(K304/1000, 3)</f>
        <v/>
      </c>
      <c r="M304" s="8">
        <f>IF(AO304="","",IF(INDEX(Theo_Doi_Tan_Suat_Be_Tong!$C:$C,AO304)="","",INDEX(Theo_Doi_Tan_Suat_Be_Tong!$C:$C,AO304)-VLOOKUP(AN304,$AQ$2:$AR$7,2,FALSE)))</f>
        <v/>
      </c>
      <c r="N304" s="6" t="n"/>
      <c r="O304" s="24">
        <f>IF(ROUNDUP(Y304/20,0)&gt;ROUNDUP(Y303/20,0),"TN Ø32 (Lần " &amp; ROUNDUP(Y304/20,0) &amp; ")","")</f>
        <v/>
      </c>
      <c r="P304" s="20">
        <f>ROUND(P303+IF(AND(E304&lt;=10,F304&lt;&gt;"ASTM A416"),L304,0),3)</f>
        <v/>
      </c>
      <c r="Q304" s="20">
        <f>ROUND(Q303+IF(AND(E304=12,F304&lt;&gt;"ASTM A416"),L304,0),3)</f>
        <v/>
      </c>
      <c r="R304" s="20">
        <f>ROUND(R303+IF(AND(E304=14,F304&lt;&gt;"ASTM A416"),L304,0),3)</f>
        <v/>
      </c>
      <c r="S304" s="20">
        <f>ROUND(S303+IF(AND(E304=16,F304&lt;&gt;"ASTM A416"),L304,0),3)</f>
        <v/>
      </c>
      <c r="T304" s="20">
        <f>ROUND(T303+IF(AND(E304=18,F304&lt;&gt;"ASTM A416"),L304,0),3)</f>
        <v/>
      </c>
      <c r="U304" s="20">
        <f>ROUND(U303+IF(AND(E304=20,F304&lt;&gt;"ASTM A416"),L304,0),3)</f>
        <v/>
      </c>
      <c r="V304" s="20">
        <f>ROUND(V303+IF(AND(E304=22,F304&lt;&gt;"ASTM A416"),L304,0),3)</f>
        <v/>
      </c>
      <c r="W304" s="20">
        <f>ROUND(W303+IF(AND(E304=25,F304&lt;&gt;"ASTM A416"),L304,0),3)</f>
        <v/>
      </c>
      <c r="X304" s="20">
        <f>ROUND(X303+IF(AND(E304=28,F304&lt;&gt;"ASTM A416"),L304,0),3)</f>
        <v/>
      </c>
      <c r="Y304" s="20">
        <f>ROUND(Y303+IF(AND(E304=32,F304&lt;&gt;"ASTM A416"),L304,0),3)</f>
        <v/>
      </c>
      <c r="Z304" s="20">
        <f>ROUND(Z303+IF(F304="ASTM A416",L304,0),3)</f>
        <v/>
      </c>
      <c r="AA304" s="11">
        <f>IF(ROUNDUP(P304/20,0)&gt;ROUNDUP(P303/20,0),"Lần " &amp; ROUNDUP(P304/20,0),"")</f>
        <v/>
      </c>
      <c r="AB304" s="11">
        <f>IF(ROUNDUP(Q304/20,0)&gt;ROUNDUP(Q303/20,0),"Lần " &amp; ROUNDUP(Q304/20,0),"")</f>
        <v/>
      </c>
      <c r="AC304" s="11">
        <f>IF(ROUNDUP(R304/20,0)&gt;ROUNDUP(R303/20,0),"Lần " &amp; ROUNDUP(R304/20,0),"")</f>
        <v/>
      </c>
      <c r="AD304" s="11">
        <f>IF(ROUNDUP(S304/20,0)&gt;ROUNDUP(S303/20,0),"Lần " &amp; ROUNDUP(S304/20,0),"")</f>
        <v/>
      </c>
      <c r="AE304" s="11">
        <f>IF(ROUNDUP(T304/20,0)&gt;ROUNDUP(T303/20,0),"Lần " &amp; ROUNDUP(T304/20,0),"")</f>
        <v/>
      </c>
      <c r="AF304" s="11">
        <f>IF(ROUNDUP(U304/20,0)&gt;ROUNDUP(U303/20,0),"Lần " &amp; ROUNDUP(U304/20,0),"")</f>
        <v/>
      </c>
      <c r="AG304" s="11">
        <f>IF(ROUNDUP(V304/20,0)&gt;ROUNDUP(V303/20,0),"Lần " &amp; ROUNDUP(V304/20,0),"")</f>
        <v/>
      </c>
      <c r="AH304" s="11">
        <f>IF(ROUNDUP(W304/20,0)&gt;ROUNDUP(W303/20,0),"Lần " &amp; ROUNDUP(W304/20,0),"")</f>
        <v/>
      </c>
      <c r="AI304" s="11">
        <f>IF(ROUNDUP(X304/20,0)&gt;ROUNDUP(X303/20,0),"Lần " &amp; ROUNDUP(X304/20,0),"")</f>
        <v/>
      </c>
      <c r="AJ304" s="11">
        <f>IF(ROUNDUP(Y304/20,0)&gt;ROUNDUP(Y303/20,0),"Lần " &amp; ROUNDUP(Y304/20,0),"")</f>
        <v/>
      </c>
      <c r="AK304" s="11">
        <f>IF(ROUNDUP(Z304/20,0)&gt;ROUNDUP(Z303/20,0),"Lần " &amp; ROUNDUP(Z304/20,0),"")</f>
        <v/>
      </c>
      <c r="AL304" s="6" t="n"/>
      <c r="AN304" t="inlineStr">
        <is>
          <t>Dam</t>
        </is>
      </c>
      <c r="AO304" t="n">
        <v>59</v>
      </c>
    </row>
    <row r="305" ht="20" customHeight="1">
      <c r="A305" s="6" t="n">
        <v>296</v>
      </c>
      <c r="B305" s="7" t="inlineStr">
        <is>
          <t>Dầm chủ Super-T (15 phiến L=38.2m)</t>
        </is>
      </c>
      <c r="C305" s="7" t="inlineStr">
        <is>
          <t>Dầm S1G (tr.94)</t>
        </is>
      </c>
      <c r="D305" s="18" t="inlineStr">
        <is>
          <t>N1a</t>
        </is>
      </c>
      <c r="E305" s="19" t="n">
        <v>12</v>
      </c>
      <c r="F305" s="6" t="inlineStr">
        <is>
          <t>CB400-V</t>
        </is>
      </c>
      <c r="G305" s="7" t="inlineStr">
        <is>
          <t>S06</t>
        </is>
      </c>
      <c r="H305" s="20" t="n">
        <v>1.185</v>
      </c>
      <c r="I305" s="21" t="n">
        <v>333</v>
      </c>
      <c r="J305" s="22" t="n">
        <v>0.888</v>
      </c>
      <c r="K305" s="9">
        <f>ROUND(H305*I305*J305, 2)</f>
        <v/>
      </c>
      <c r="L305" s="23">
        <f>ROUND(K305/1000, 3)</f>
        <v/>
      </c>
      <c r="M305" s="8">
        <f>IF(AO305="","",IF(INDEX(Theo_Doi_Tan_Suat_Be_Tong!$C:$C,AO305)="","",INDEX(Theo_Doi_Tan_Suat_Be_Tong!$C:$C,AO305)-VLOOKUP(AN305,$AQ$2:$AR$7,2,FALSE)))</f>
        <v/>
      </c>
      <c r="N305" s="6" t="n"/>
      <c r="O305" s="24">
        <f>IF(ROUNDUP(Q305/20,0)&gt;ROUNDUP(Q304/20,0),"TN Ø12 (Lần " &amp; ROUNDUP(Q305/20,0) &amp; ")","")</f>
        <v/>
      </c>
      <c r="P305" s="20">
        <f>ROUND(P304+IF(AND(E305&lt;=10,F305&lt;&gt;"ASTM A416"),L305,0),3)</f>
        <v/>
      </c>
      <c r="Q305" s="20">
        <f>ROUND(Q304+IF(AND(E305=12,F305&lt;&gt;"ASTM A416"),L305,0),3)</f>
        <v/>
      </c>
      <c r="R305" s="20">
        <f>ROUND(R304+IF(AND(E305=14,F305&lt;&gt;"ASTM A416"),L305,0),3)</f>
        <v/>
      </c>
      <c r="S305" s="20">
        <f>ROUND(S304+IF(AND(E305=16,F305&lt;&gt;"ASTM A416"),L305,0),3)</f>
        <v/>
      </c>
      <c r="T305" s="20">
        <f>ROUND(T304+IF(AND(E305=18,F305&lt;&gt;"ASTM A416"),L305,0),3)</f>
        <v/>
      </c>
      <c r="U305" s="20">
        <f>ROUND(U304+IF(AND(E305=20,F305&lt;&gt;"ASTM A416"),L305,0),3)</f>
        <v/>
      </c>
      <c r="V305" s="20">
        <f>ROUND(V304+IF(AND(E305=22,F305&lt;&gt;"ASTM A416"),L305,0),3)</f>
        <v/>
      </c>
      <c r="W305" s="20">
        <f>ROUND(W304+IF(AND(E305=25,F305&lt;&gt;"ASTM A416"),L305,0),3)</f>
        <v/>
      </c>
      <c r="X305" s="20">
        <f>ROUND(X304+IF(AND(E305=28,F305&lt;&gt;"ASTM A416"),L305,0),3)</f>
        <v/>
      </c>
      <c r="Y305" s="20">
        <f>ROUND(Y304+IF(AND(E305=32,F305&lt;&gt;"ASTM A416"),L305,0),3)</f>
        <v/>
      </c>
      <c r="Z305" s="20">
        <f>ROUND(Z304+IF(F305="ASTM A416",L305,0),3)</f>
        <v/>
      </c>
      <c r="AA305" s="11">
        <f>IF(ROUNDUP(P305/20,0)&gt;ROUNDUP(P304/20,0),"Lần " &amp; ROUNDUP(P305/20,0),"")</f>
        <v/>
      </c>
      <c r="AB305" s="11">
        <f>IF(ROUNDUP(Q305/20,0)&gt;ROUNDUP(Q304/20,0),"Lần " &amp; ROUNDUP(Q305/20,0),"")</f>
        <v/>
      </c>
      <c r="AC305" s="11">
        <f>IF(ROUNDUP(R305/20,0)&gt;ROUNDUP(R304/20,0),"Lần " &amp; ROUNDUP(R305/20,0),"")</f>
        <v/>
      </c>
      <c r="AD305" s="11">
        <f>IF(ROUNDUP(S305/20,0)&gt;ROUNDUP(S304/20,0),"Lần " &amp; ROUNDUP(S305/20,0),"")</f>
        <v/>
      </c>
      <c r="AE305" s="11">
        <f>IF(ROUNDUP(T305/20,0)&gt;ROUNDUP(T304/20,0),"Lần " &amp; ROUNDUP(T305/20,0),"")</f>
        <v/>
      </c>
      <c r="AF305" s="11">
        <f>IF(ROUNDUP(U305/20,0)&gt;ROUNDUP(U304/20,0),"Lần " &amp; ROUNDUP(U305/20,0),"")</f>
        <v/>
      </c>
      <c r="AG305" s="11">
        <f>IF(ROUNDUP(V305/20,0)&gt;ROUNDUP(V304/20,0),"Lần " &amp; ROUNDUP(V305/20,0),"")</f>
        <v/>
      </c>
      <c r="AH305" s="11">
        <f>IF(ROUNDUP(W305/20,0)&gt;ROUNDUP(W304/20,0),"Lần " &amp; ROUNDUP(W305/20,0),"")</f>
        <v/>
      </c>
      <c r="AI305" s="11">
        <f>IF(ROUNDUP(X305/20,0)&gt;ROUNDUP(X304/20,0),"Lần " &amp; ROUNDUP(X305/20,0),"")</f>
        <v/>
      </c>
      <c r="AJ305" s="11">
        <f>IF(ROUNDUP(Y305/20,0)&gt;ROUNDUP(Y304/20,0),"Lần " &amp; ROUNDUP(Y305/20,0),"")</f>
        <v/>
      </c>
      <c r="AK305" s="11">
        <f>IF(ROUNDUP(Z305/20,0)&gt;ROUNDUP(Z304/20,0),"Lần " &amp; ROUNDUP(Z305/20,0),"")</f>
        <v/>
      </c>
      <c r="AL305" s="6" t="n"/>
      <c r="AN305" t="inlineStr">
        <is>
          <t>Dam</t>
        </is>
      </c>
      <c r="AO305" t="n">
        <v>59</v>
      </c>
    </row>
    <row r="306" ht="19" customHeight="1">
      <c r="A306" s="6" t="n">
        <v>297</v>
      </c>
      <c r="B306" s="7" t="inlineStr">
        <is>
          <t>Dầm chủ Super-T (15 phiến L=38.2m)</t>
        </is>
      </c>
      <c r="C306" s="7" t="inlineStr">
        <is>
          <t>Dầm S1G (tr.94)</t>
        </is>
      </c>
      <c r="D306" s="18" t="inlineStr">
        <is>
          <t>N1b</t>
        </is>
      </c>
      <c r="E306" s="19" t="n">
        <v>12</v>
      </c>
      <c r="F306" s="6" t="inlineStr">
        <is>
          <t>CB400-V</t>
        </is>
      </c>
      <c r="G306" s="7" t="inlineStr">
        <is>
          <t>S06</t>
        </is>
      </c>
      <c r="H306" s="20" t="n">
        <v>0.93</v>
      </c>
      <c r="I306" s="21" t="n">
        <v>2331</v>
      </c>
      <c r="J306" s="22" t="n">
        <v>0.888</v>
      </c>
      <c r="K306" s="9">
        <f>ROUND(H306*I306*J306, 2)</f>
        <v/>
      </c>
      <c r="L306" s="23">
        <f>ROUND(K306/1000, 3)</f>
        <v/>
      </c>
      <c r="M306" s="8">
        <f>IF(AO306="","",IF(INDEX(Theo_Doi_Tan_Suat_Be_Tong!$C:$C,AO306)="","",INDEX(Theo_Doi_Tan_Suat_Be_Tong!$C:$C,AO306)-VLOOKUP(AN306,$AQ$2:$AR$7,2,FALSE)))</f>
        <v/>
      </c>
      <c r="N306" s="6" t="n"/>
      <c r="O306" s="24">
        <f>IF(ROUNDUP(Q306/20,0)&gt;ROUNDUP(Q305/20,0),"TN Ø12 (Lần " &amp; ROUNDUP(Q306/20,0) &amp; ")","")</f>
        <v/>
      </c>
      <c r="P306" s="20">
        <f>ROUND(P305+IF(AND(E306&lt;=10,F306&lt;&gt;"ASTM A416"),L306,0),3)</f>
        <v/>
      </c>
      <c r="Q306" s="20">
        <f>ROUND(Q305+IF(AND(E306=12,F306&lt;&gt;"ASTM A416"),L306,0),3)</f>
        <v/>
      </c>
      <c r="R306" s="20">
        <f>ROUND(R305+IF(AND(E306=14,F306&lt;&gt;"ASTM A416"),L306,0),3)</f>
        <v/>
      </c>
      <c r="S306" s="20">
        <f>ROUND(S305+IF(AND(E306=16,F306&lt;&gt;"ASTM A416"),L306,0),3)</f>
        <v/>
      </c>
      <c r="T306" s="20">
        <f>ROUND(T305+IF(AND(E306=18,F306&lt;&gt;"ASTM A416"),L306,0),3)</f>
        <v/>
      </c>
      <c r="U306" s="20">
        <f>ROUND(U305+IF(AND(E306=20,F306&lt;&gt;"ASTM A416"),L306,0),3)</f>
        <v/>
      </c>
      <c r="V306" s="20">
        <f>ROUND(V305+IF(AND(E306=22,F306&lt;&gt;"ASTM A416"),L306,0),3)</f>
        <v/>
      </c>
      <c r="W306" s="20">
        <f>ROUND(W305+IF(AND(E306=25,F306&lt;&gt;"ASTM A416"),L306,0),3)</f>
        <v/>
      </c>
      <c r="X306" s="20">
        <f>ROUND(X305+IF(AND(E306=28,F306&lt;&gt;"ASTM A416"),L306,0),3)</f>
        <v/>
      </c>
      <c r="Y306" s="20">
        <f>ROUND(Y305+IF(AND(E306=32,F306&lt;&gt;"ASTM A416"),L306,0),3)</f>
        <v/>
      </c>
      <c r="Z306" s="20">
        <f>ROUND(Z305+IF(F306="ASTM A416",L306,0),3)</f>
        <v/>
      </c>
      <c r="AA306" s="11">
        <f>IF(ROUNDUP(P306/20,0)&gt;ROUNDUP(P305/20,0),"Lần " &amp; ROUNDUP(P306/20,0),"")</f>
        <v/>
      </c>
      <c r="AB306" s="11">
        <f>IF(ROUNDUP(Q306/20,0)&gt;ROUNDUP(Q305/20,0),"Lần " &amp; ROUNDUP(Q306/20,0),"")</f>
        <v/>
      </c>
      <c r="AC306" s="11">
        <f>IF(ROUNDUP(R306/20,0)&gt;ROUNDUP(R305/20,0),"Lần " &amp; ROUNDUP(R306/20,0),"")</f>
        <v/>
      </c>
      <c r="AD306" s="11">
        <f>IF(ROUNDUP(S306/20,0)&gt;ROUNDUP(S305/20,0),"Lần " &amp; ROUNDUP(S306/20,0),"")</f>
        <v/>
      </c>
      <c r="AE306" s="11">
        <f>IF(ROUNDUP(T306/20,0)&gt;ROUNDUP(T305/20,0),"Lần " &amp; ROUNDUP(T306/20,0),"")</f>
        <v/>
      </c>
      <c r="AF306" s="11">
        <f>IF(ROUNDUP(U306/20,0)&gt;ROUNDUP(U305/20,0),"Lần " &amp; ROUNDUP(U306/20,0),"")</f>
        <v/>
      </c>
      <c r="AG306" s="11">
        <f>IF(ROUNDUP(V306/20,0)&gt;ROUNDUP(V305/20,0),"Lần " &amp; ROUNDUP(V306/20,0),"")</f>
        <v/>
      </c>
      <c r="AH306" s="11">
        <f>IF(ROUNDUP(W306/20,0)&gt;ROUNDUP(W305/20,0),"Lần " &amp; ROUNDUP(W306/20,0),"")</f>
        <v/>
      </c>
      <c r="AI306" s="11">
        <f>IF(ROUNDUP(X306/20,0)&gt;ROUNDUP(X305/20,0),"Lần " &amp; ROUNDUP(X306/20,0),"")</f>
        <v/>
      </c>
      <c r="AJ306" s="11">
        <f>IF(ROUNDUP(Y306/20,0)&gt;ROUNDUP(Y305/20,0),"Lần " &amp; ROUNDUP(Y306/20,0),"")</f>
        <v/>
      </c>
      <c r="AK306" s="11">
        <f>IF(ROUNDUP(Z306/20,0)&gt;ROUNDUP(Z305/20,0),"Lần " &amp; ROUNDUP(Z306/20,0),"")</f>
        <v/>
      </c>
      <c r="AL306" s="6" t="n"/>
      <c r="AN306" t="inlineStr">
        <is>
          <t>Dam</t>
        </is>
      </c>
      <c r="AO306" t="n">
        <v>59</v>
      </c>
    </row>
    <row r="307" ht="19" customHeight="1">
      <c r="A307" s="6" t="n">
        <v>298</v>
      </c>
      <c r="B307" s="7" t="inlineStr">
        <is>
          <t>Dầm chủ Super-T (15 phiến L=38.2m)</t>
        </is>
      </c>
      <c r="C307" s="7" t="inlineStr">
        <is>
          <t>Dầm S1G (tr.94)</t>
        </is>
      </c>
      <c r="D307" s="18" t="inlineStr">
        <is>
          <t>N2</t>
        </is>
      </c>
      <c r="E307" s="19" t="n">
        <v>12</v>
      </c>
      <c r="F307" s="6" t="inlineStr">
        <is>
          <t>CB400-V</t>
        </is>
      </c>
      <c r="G307" s="7" t="inlineStr">
        <is>
          <t>S06</t>
        </is>
      </c>
      <c r="H307" s="20" t="n">
        <v>3.664</v>
      </c>
      <c r="I307" s="21" t="n">
        <v>27</v>
      </c>
      <c r="J307" s="22" t="n">
        <v>0.888</v>
      </c>
      <c r="K307" s="9">
        <f>ROUND(H307*I307*J307, 2)</f>
        <v/>
      </c>
      <c r="L307" s="23">
        <f>ROUND(K307/1000, 3)</f>
        <v/>
      </c>
      <c r="M307" s="8">
        <f>IF(AO307="","",IF(INDEX(Theo_Doi_Tan_Suat_Be_Tong!$C:$C,AO307)="","",INDEX(Theo_Doi_Tan_Suat_Be_Tong!$C:$C,AO307)-VLOOKUP(AN307,$AQ$2:$AR$7,2,FALSE)))</f>
        <v/>
      </c>
      <c r="N307" s="6" t="n"/>
      <c r="O307" s="24">
        <f>IF(ROUNDUP(Q307/20,0)&gt;ROUNDUP(Q306/20,0),"TN Ø12 (Lần " &amp; ROUNDUP(Q307/20,0) &amp; ")","")</f>
        <v/>
      </c>
      <c r="P307" s="20">
        <f>ROUND(P306+IF(AND(E307&lt;=10,F307&lt;&gt;"ASTM A416"),L307,0),3)</f>
        <v/>
      </c>
      <c r="Q307" s="20">
        <f>ROUND(Q306+IF(AND(E307=12,F307&lt;&gt;"ASTM A416"),L307,0),3)</f>
        <v/>
      </c>
      <c r="R307" s="20">
        <f>ROUND(R306+IF(AND(E307=14,F307&lt;&gt;"ASTM A416"),L307,0),3)</f>
        <v/>
      </c>
      <c r="S307" s="20">
        <f>ROUND(S306+IF(AND(E307=16,F307&lt;&gt;"ASTM A416"),L307,0),3)</f>
        <v/>
      </c>
      <c r="T307" s="20">
        <f>ROUND(T306+IF(AND(E307=18,F307&lt;&gt;"ASTM A416"),L307,0),3)</f>
        <v/>
      </c>
      <c r="U307" s="20">
        <f>ROUND(U306+IF(AND(E307=20,F307&lt;&gt;"ASTM A416"),L307,0),3)</f>
        <v/>
      </c>
      <c r="V307" s="20">
        <f>ROUND(V306+IF(AND(E307=22,F307&lt;&gt;"ASTM A416"),L307,0),3)</f>
        <v/>
      </c>
      <c r="W307" s="20">
        <f>ROUND(W306+IF(AND(E307=25,F307&lt;&gt;"ASTM A416"),L307,0),3)</f>
        <v/>
      </c>
      <c r="X307" s="20">
        <f>ROUND(X306+IF(AND(E307=28,F307&lt;&gt;"ASTM A416"),L307,0),3)</f>
        <v/>
      </c>
      <c r="Y307" s="20">
        <f>ROUND(Y306+IF(AND(E307=32,F307&lt;&gt;"ASTM A416"),L307,0),3)</f>
        <v/>
      </c>
      <c r="Z307" s="20">
        <f>ROUND(Z306+IF(F307="ASTM A416",L307,0),3)</f>
        <v/>
      </c>
      <c r="AA307" s="11">
        <f>IF(ROUNDUP(P307/20,0)&gt;ROUNDUP(P306/20,0),"Lần " &amp; ROUNDUP(P307/20,0),"")</f>
        <v/>
      </c>
      <c r="AB307" s="11">
        <f>IF(ROUNDUP(Q307/20,0)&gt;ROUNDUP(Q306/20,0),"Lần " &amp; ROUNDUP(Q307/20,0),"")</f>
        <v/>
      </c>
      <c r="AC307" s="11">
        <f>IF(ROUNDUP(R307/20,0)&gt;ROUNDUP(R306/20,0),"Lần " &amp; ROUNDUP(R307/20,0),"")</f>
        <v/>
      </c>
      <c r="AD307" s="11">
        <f>IF(ROUNDUP(S307/20,0)&gt;ROUNDUP(S306/20,0),"Lần " &amp; ROUNDUP(S307/20,0),"")</f>
        <v/>
      </c>
      <c r="AE307" s="11">
        <f>IF(ROUNDUP(T307/20,0)&gt;ROUNDUP(T306/20,0),"Lần " &amp; ROUNDUP(T307/20,0),"")</f>
        <v/>
      </c>
      <c r="AF307" s="11">
        <f>IF(ROUNDUP(U307/20,0)&gt;ROUNDUP(U306/20,0),"Lần " &amp; ROUNDUP(U307/20,0),"")</f>
        <v/>
      </c>
      <c r="AG307" s="11">
        <f>IF(ROUNDUP(V307/20,0)&gt;ROUNDUP(V306/20,0),"Lần " &amp; ROUNDUP(V307/20,0),"")</f>
        <v/>
      </c>
      <c r="AH307" s="11">
        <f>IF(ROUNDUP(W307/20,0)&gt;ROUNDUP(W306/20,0),"Lần " &amp; ROUNDUP(W307/20,0),"")</f>
        <v/>
      </c>
      <c r="AI307" s="11">
        <f>IF(ROUNDUP(X307/20,0)&gt;ROUNDUP(X306/20,0),"Lần " &amp; ROUNDUP(X307/20,0),"")</f>
        <v/>
      </c>
      <c r="AJ307" s="11">
        <f>IF(ROUNDUP(Y307/20,0)&gt;ROUNDUP(Y306/20,0),"Lần " &amp; ROUNDUP(Y307/20,0),"")</f>
        <v/>
      </c>
      <c r="AK307" s="11">
        <f>IF(ROUNDUP(Z307/20,0)&gt;ROUNDUP(Z306/20,0),"Lần " &amp; ROUNDUP(Z307/20,0),"")</f>
        <v/>
      </c>
      <c r="AL307" s="6" t="n"/>
      <c r="AN307" t="inlineStr">
        <is>
          <t>Dam</t>
        </is>
      </c>
      <c r="AO307" t="n">
        <v>59</v>
      </c>
    </row>
    <row r="308" ht="19" customHeight="1">
      <c r="A308" s="6" t="n">
        <v>299</v>
      </c>
      <c r="B308" s="7" t="inlineStr">
        <is>
          <t>Dầm chủ Super-T (15 phiến L=38.2m)</t>
        </is>
      </c>
      <c r="C308" s="7" t="inlineStr">
        <is>
          <t>Dầm S1G (tr.94)</t>
        </is>
      </c>
      <c r="D308" s="18" t="inlineStr">
        <is>
          <t>E1</t>
        </is>
      </c>
      <c r="E308" s="19" t="n">
        <v>16</v>
      </c>
      <c r="F308" s="6" t="inlineStr">
        <is>
          <t>CB400-V</t>
        </is>
      </c>
      <c r="G308" s="7" t="inlineStr">
        <is>
          <t>S06</t>
        </is>
      </c>
      <c r="H308" s="20" t="n">
        <v>2.391</v>
      </c>
      <c r="I308" s="21" t="n">
        <v>2268</v>
      </c>
      <c r="J308" s="22" t="n">
        <v>1.578</v>
      </c>
      <c r="K308" s="9">
        <f>ROUND(H308*I308*J308, 2)</f>
        <v/>
      </c>
      <c r="L308" s="23">
        <f>ROUND(K308/1000, 3)</f>
        <v/>
      </c>
      <c r="M308" s="8">
        <f>IF(AO308="","",IF(INDEX(Theo_Doi_Tan_Suat_Be_Tong!$C:$C,AO308)="","",INDEX(Theo_Doi_Tan_Suat_Be_Tong!$C:$C,AO308)-VLOOKUP(AN308,$AQ$2:$AR$7,2,FALSE)))</f>
        <v/>
      </c>
      <c r="N308" s="6" t="n"/>
      <c r="O308" s="24">
        <f>IF(ROUNDUP(S308/20,0)&gt;ROUNDUP(S307/20,0),"TN Ø16 (Lần " &amp; ROUNDUP(S308/20,0) &amp; ")","")</f>
        <v/>
      </c>
      <c r="P308" s="20">
        <f>ROUND(P307+IF(AND(E308&lt;=10,F308&lt;&gt;"ASTM A416"),L308,0),3)</f>
        <v/>
      </c>
      <c r="Q308" s="20">
        <f>ROUND(Q307+IF(AND(E308=12,F308&lt;&gt;"ASTM A416"),L308,0),3)</f>
        <v/>
      </c>
      <c r="R308" s="20">
        <f>ROUND(R307+IF(AND(E308=14,F308&lt;&gt;"ASTM A416"),L308,0),3)</f>
        <v/>
      </c>
      <c r="S308" s="20">
        <f>ROUND(S307+IF(AND(E308=16,F308&lt;&gt;"ASTM A416"),L308,0),3)</f>
        <v/>
      </c>
      <c r="T308" s="20">
        <f>ROUND(T307+IF(AND(E308=18,F308&lt;&gt;"ASTM A416"),L308,0),3)</f>
        <v/>
      </c>
      <c r="U308" s="20">
        <f>ROUND(U307+IF(AND(E308=20,F308&lt;&gt;"ASTM A416"),L308,0),3)</f>
        <v/>
      </c>
      <c r="V308" s="20">
        <f>ROUND(V307+IF(AND(E308=22,F308&lt;&gt;"ASTM A416"),L308,0),3)</f>
        <v/>
      </c>
      <c r="W308" s="20">
        <f>ROUND(W307+IF(AND(E308=25,F308&lt;&gt;"ASTM A416"),L308,0),3)</f>
        <v/>
      </c>
      <c r="X308" s="20">
        <f>ROUND(X307+IF(AND(E308=28,F308&lt;&gt;"ASTM A416"),L308,0),3)</f>
        <v/>
      </c>
      <c r="Y308" s="20">
        <f>ROUND(Y307+IF(AND(E308=32,F308&lt;&gt;"ASTM A416"),L308,0),3)</f>
        <v/>
      </c>
      <c r="Z308" s="20">
        <f>ROUND(Z307+IF(F308="ASTM A416",L308,0),3)</f>
        <v/>
      </c>
      <c r="AA308" s="11">
        <f>IF(ROUNDUP(P308/20,0)&gt;ROUNDUP(P307/20,0),"Lần " &amp; ROUNDUP(P308/20,0),"")</f>
        <v/>
      </c>
      <c r="AB308" s="11">
        <f>IF(ROUNDUP(Q308/20,0)&gt;ROUNDUP(Q307/20,0),"Lần " &amp; ROUNDUP(Q308/20,0),"")</f>
        <v/>
      </c>
      <c r="AC308" s="11">
        <f>IF(ROUNDUP(R308/20,0)&gt;ROUNDUP(R307/20,0),"Lần " &amp; ROUNDUP(R308/20,0),"")</f>
        <v/>
      </c>
      <c r="AD308" s="11">
        <f>IF(ROUNDUP(S308/20,0)&gt;ROUNDUP(S307/20,0),"Lần " &amp; ROUNDUP(S308/20,0),"")</f>
        <v/>
      </c>
      <c r="AE308" s="11">
        <f>IF(ROUNDUP(T308/20,0)&gt;ROUNDUP(T307/20,0),"Lần " &amp; ROUNDUP(T308/20,0),"")</f>
        <v/>
      </c>
      <c r="AF308" s="11">
        <f>IF(ROUNDUP(U308/20,0)&gt;ROUNDUP(U307/20,0),"Lần " &amp; ROUNDUP(U308/20,0),"")</f>
        <v/>
      </c>
      <c r="AG308" s="11">
        <f>IF(ROUNDUP(V308/20,0)&gt;ROUNDUP(V307/20,0),"Lần " &amp; ROUNDUP(V308/20,0),"")</f>
        <v/>
      </c>
      <c r="AH308" s="11">
        <f>IF(ROUNDUP(W308/20,0)&gt;ROUNDUP(W307/20,0),"Lần " &amp; ROUNDUP(W308/20,0),"")</f>
        <v/>
      </c>
      <c r="AI308" s="11">
        <f>IF(ROUNDUP(X308/20,0)&gt;ROUNDUP(X307/20,0),"Lần " &amp; ROUNDUP(X308/20,0),"")</f>
        <v/>
      </c>
      <c r="AJ308" s="11">
        <f>IF(ROUNDUP(Y308/20,0)&gt;ROUNDUP(Y307/20,0),"Lần " &amp; ROUNDUP(Y308/20,0),"")</f>
        <v/>
      </c>
      <c r="AK308" s="11">
        <f>IF(ROUNDUP(Z308/20,0)&gt;ROUNDUP(Z307/20,0),"Lần " &amp; ROUNDUP(Z308/20,0),"")</f>
        <v/>
      </c>
      <c r="AL308" s="6" t="n"/>
      <c r="AN308" t="inlineStr">
        <is>
          <t>Dam</t>
        </is>
      </c>
      <c r="AO308" t="n">
        <v>59</v>
      </c>
    </row>
    <row r="309" ht="19" customHeight="1">
      <c r="A309" s="6" t="n">
        <v>300</v>
      </c>
      <c r="B309" s="7" t="inlineStr">
        <is>
          <t>Dầm chủ Super-T (15 phiến L=38.2m)</t>
        </is>
      </c>
      <c r="C309" s="7" t="inlineStr">
        <is>
          <t>Dầm S1G (tr.94)</t>
        </is>
      </c>
      <c r="D309" s="18" t="inlineStr">
        <is>
          <t>E2</t>
        </is>
      </c>
      <c r="E309" s="19" t="n">
        <v>16</v>
      </c>
      <c r="F309" s="6" t="inlineStr">
        <is>
          <t>CB400-V</t>
        </is>
      </c>
      <c r="G309" s="7" t="inlineStr">
        <is>
          <t>S06</t>
        </is>
      </c>
      <c r="H309" s="20" t="n">
        <v>3.932</v>
      </c>
      <c r="I309" s="21" t="n">
        <v>180</v>
      </c>
      <c r="J309" s="22" t="n">
        <v>1.578</v>
      </c>
      <c r="K309" s="9">
        <f>ROUND(H309*I309*J309, 2)</f>
        <v/>
      </c>
      <c r="L309" s="23">
        <f>ROUND(K309/1000, 3)</f>
        <v/>
      </c>
      <c r="M309" s="8">
        <f>IF(AO309="","",IF(INDEX(Theo_Doi_Tan_Suat_Be_Tong!$C:$C,AO309)="","",INDEX(Theo_Doi_Tan_Suat_Be_Tong!$C:$C,AO309)-VLOOKUP(AN309,$AQ$2:$AR$7,2,FALSE)))</f>
        <v/>
      </c>
      <c r="N309" s="6" t="n"/>
      <c r="O309" s="24">
        <f>IF(ROUNDUP(S309/20,0)&gt;ROUNDUP(S308/20,0),"TN Ø16 (Lần " &amp; ROUNDUP(S309/20,0) &amp; ")","")</f>
        <v/>
      </c>
      <c r="P309" s="20">
        <f>ROUND(P308+IF(AND(E309&lt;=10,F309&lt;&gt;"ASTM A416"),L309,0),3)</f>
        <v/>
      </c>
      <c r="Q309" s="20">
        <f>ROUND(Q308+IF(AND(E309=12,F309&lt;&gt;"ASTM A416"),L309,0),3)</f>
        <v/>
      </c>
      <c r="R309" s="20">
        <f>ROUND(R308+IF(AND(E309=14,F309&lt;&gt;"ASTM A416"),L309,0),3)</f>
        <v/>
      </c>
      <c r="S309" s="20">
        <f>ROUND(S308+IF(AND(E309=16,F309&lt;&gt;"ASTM A416"),L309,0),3)</f>
        <v/>
      </c>
      <c r="T309" s="20">
        <f>ROUND(T308+IF(AND(E309=18,F309&lt;&gt;"ASTM A416"),L309,0),3)</f>
        <v/>
      </c>
      <c r="U309" s="20">
        <f>ROUND(U308+IF(AND(E309=20,F309&lt;&gt;"ASTM A416"),L309,0),3)</f>
        <v/>
      </c>
      <c r="V309" s="20">
        <f>ROUND(V308+IF(AND(E309=22,F309&lt;&gt;"ASTM A416"),L309,0),3)</f>
        <v/>
      </c>
      <c r="W309" s="20">
        <f>ROUND(W308+IF(AND(E309=25,F309&lt;&gt;"ASTM A416"),L309,0),3)</f>
        <v/>
      </c>
      <c r="X309" s="20">
        <f>ROUND(X308+IF(AND(E309=28,F309&lt;&gt;"ASTM A416"),L309,0),3)</f>
        <v/>
      </c>
      <c r="Y309" s="20">
        <f>ROUND(Y308+IF(AND(E309=32,F309&lt;&gt;"ASTM A416"),L309,0),3)</f>
        <v/>
      </c>
      <c r="Z309" s="20">
        <f>ROUND(Z308+IF(F309="ASTM A416",L309,0),3)</f>
        <v/>
      </c>
      <c r="AA309" s="11">
        <f>IF(ROUNDUP(P309/20,0)&gt;ROUNDUP(P308/20,0),"Lần " &amp; ROUNDUP(P309/20,0),"")</f>
        <v/>
      </c>
      <c r="AB309" s="11">
        <f>IF(ROUNDUP(Q309/20,0)&gt;ROUNDUP(Q308/20,0),"Lần " &amp; ROUNDUP(Q309/20,0),"")</f>
        <v/>
      </c>
      <c r="AC309" s="11">
        <f>IF(ROUNDUP(R309/20,0)&gt;ROUNDUP(R308/20,0),"Lần " &amp; ROUNDUP(R309/20,0),"")</f>
        <v/>
      </c>
      <c r="AD309" s="11">
        <f>IF(ROUNDUP(S309/20,0)&gt;ROUNDUP(S308/20,0),"Lần " &amp; ROUNDUP(S309/20,0),"")</f>
        <v/>
      </c>
      <c r="AE309" s="11">
        <f>IF(ROUNDUP(T309/20,0)&gt;ROUNDUP(T308/20,0),"Lần " &amp; ROUNDUP(T309/20,0),"")</f>
        <v/>
      </c>
      <c r="AF309" s="11">
        <f>IF(ROUNDUP(U309/20,0)&gt;ROUNDUP(U308/20,0),"Lần " &amp; ROUNDUP(U309/20,0),"")</f>
        <v/>
      </c>
      <c r="AG309" s="11">
        <f>IF(ROUNDUP(V309/20,0)&gt;ROUNDUP(V308/20,0),"Lần " &amp; ROUNDUP(V309/20,0),"")</f>
        <v/>
      </c>
      <c r="AH309" s="11">
        <f>IF(ROUNDUP(W309/20,0)&gt;ROUNDUP(W308/20,0),"Lần " &amp; ROUNDUP(W309/20,0),"")</f>
        <v/>
      </c>
      <c r="AI309" s="11">
        <f>IF(ROUNDUP(X309/20,0)&gt;ROUNDUP(X308/20,0),"Lần " &amp; ROUNDUP(X309/20,0),"")</f>
        <v/>
      </c>
      <c r="AJ309" s="11">
        <f>IF(ROUNDUP(Y309/20,0)&gt;ROUNDUP(Y308/20,0),"Lần " &amp; ROUNDUP(Y309/20,0),"")</f>
        <v/>
      </c>
      <c r="AK309" s="11">
        <f>IF(ROUNDUP(Z309/20,0)&gt;ROUNDUP(Z308/20,0),"Lần " &amp; ROUNDUP(Z309/20,0),"")</f>
        <v/>
      </c>
      <c r="AL309" s="6" t="n"/>
      <c r="AN309" t="inlineStr">
        <is>
          <t>Dam</t>
        </is>
      </c>
      <c r="AO309" t="n">
        <v>59</v>
      </c>
    </row>
    <row r="310" ht="19" customHeight="1">
      <c r="A310" s="6" t="n">
        <v>301</v>
      </c>
      <c r="B310" s="7" t="inlineStr">
        <is>
          <t>Dầm chủ Super-T (15 phiến L=38.2m)</t>
        </is>
      </c>
      <c r="C310" s="7" t="inlineStr">
        <is>
          <t>Dầm S1G (tr.94)</t>
        </is>
      </c>
      <c r="D310" s="18" t="inlineStr">
        <is>
          <t>Thanh neo</t>
        </is>
      </c>
      <c r="E310" s="19" t="n">
        <v>20</v>
      </c>
      <c r="F310" s="6" t="inlineStr">
        <is>
          <t>CB400-V</t>
        </is>
      </c>
      <c r="G310" s="7" t="inlineStr">
        <is>
          <t>S06</t>
        </is>
      </c>
      <c r="H310" s="20" t="n">
        <v>0.11</v>
      </c>
      <c r="I310" s="21" t="n">
        <v>72</v>
      </c>
      <c r="J310" s="22" t="n">
        <v>2.466</v>
      </c>
      <c r="K310" s="9">
        <f>ROUND(H310*I310*J310, 2)</f>
        <v/>
      </c>
      <c r="L310" s="23">
        <f>ROUND(K310/1000, 3)</f>
        <v/>
      </c>
      <c r="M310" s="8">
        <f>IF(AO310="","",IF(INDEX(Theo_Doi_Tan_Suat_Be_Tong!$C:$C,AO310)="","",INDEX(Theo_Doi_Tan_Suat_Be_Tong!$C:$C,AO310)-VLOOKUP(AN310,$AQ$2:$AR$7,2,FALSE)))</f>
        <v/>
      </c>
      <c r="N310" s="6" t="n"/>
      <c r="O310" s="24">
        <f>IF(ROUNDUP(U310/20,0)&gt;ROUNDUP(U309/20,0),"TN Ø20 (Lần " &amp; ROUNDUP(U310/20,0) &amp; ")","")</f>
        <v/>
      </c>
      <c r="P310" s="20">
        <f>ROUND(P309+IF(AND(E310&lt;=10,F310&lt;&gt;"ASTM A416"),L310,0),3)</f>
        <v/>
      </c>
      <c r="Q310" s="20">
        <f>ROUND(Q309+IF(AND(E310=12,F310&lt;&gt;"ASTM A416"),L310,0),3)</f>
        <v/>
      </c>
      <c r="R310" s="20">
        <f>ROUND(R309+IF(AND(E310=14,F310&lt;&gt;"ASTM A416"),L310,0),3)</f>
        <v/>
      </c>
      <c r="S310" s="20">
        <f>ROUND(S309+IF(AND(E310=16,F310&lt;&gt;"ASTM A416"),L310,0),3)</f>
        <v/>
      </c>
      <c r="T310" s="20">
        <f>ROUND(T309+IF(AND(E310=18,F310&lt;&gt;"ASTM A416"),L310,0),3)</f>
        <v/>
      </c>
      <c r="U310" s="20">
        <f>ROUND(U309+IF(AND(E310=20,F310&lt;&gt;"ASTM A416"),L310,0),3)</f>
        <v/>
      </c>
      <c r="V310" s="20">
        <f>ROUND(V309+IF(AND(E310=22,F310&lt;&gt;"ASTM A416"),L310,0),3)</f>
        <v/>
      </c>
      <c r="W310" s="20">
        <f>ROUND(W309+IF(AND(E310=25,F310&lt;&gt;"ASTM A416"),L310,0),3)</f>
        <v/>
      </c>
      <c r="X310" s="20">
        <f>ROUND(X309+IF(AND(E310=28,F310&lt;&gt;"ASTM A416"),L310,0),3)</f>
        <v/>
      </c>
      <c r="Y310" s="20">
        <f>ROUND(Y309+IF(AND(E310=32,F310&lt;&gt;"ASTM A416"),L310,0),3)</f>
        <v/>
      </c>
      <c r="Z310" s="20">
        <f>ROUND(Z309+IF(F310="ASTM A416",L310,0),3)</f>
        <v/>
      </c>
      <c r="AA310" s="11">
        <f>IF(ROUNDUP(P310/20,0)&gt;ROUNDUP(P309/20,0),"Lần " &amp; ROUNDUP(P310/20,0),"")</f>
        <v/>
      </c>
      <c r="AB310" s="11">
        <f>IF(ROUNDUP(Q310/20,0)&gt;ROUNDUP(Q309/20,0),"Lần " &amp; ROUNDUP(Q310/20,0),"")</f>
        <v/>
      </c>
      <c r="AC310" s="11">
        <f>IF(ROUNDUP(R310/20,0)&gt;ROUNDUP(R309/20,0),"Lần " &amp; ROUNDUP(R310/20,0),"")</f>
        <v/>
      </c>
      <c r="AD310" s="11">
        <f>IF(ROUNDUP(S310/20,0)&gt;ROUNDUP(S309/20,0),"Lần " &amp; ROUNDUP(S310/20,0),"")</f>
        <v/>
      </c>
      <c r="AE310" s="11">
        <f>IF(ROUNDUP(T310/20,0)&gt;ROUNDUP(T309/20,0),"Lần " &amp; ROUNDUP(T310/20,0),"")</f>
        <v/>
      </c>
      <c r="AF310" s="11">
        <f>IF(ROUNDUP(U310/20,0)&gt;ROUNDUP(U309/20,0),"Lần " &amp; ROUNDUP(U310/20,0),"")</f>
        <v/>
      </c>
      <c r="AG310" s="11">
        <f>IF(ROUNDUP(V310/20,0)&gt;ROUNDUP(V309/20,0),"Lần " &amp; ROUNDUP(V310/20,0),"")</f>
        <v/>
      </c>
      <c r="AH310" s="11">
        <f>IF(ROUNDUP(W310/20,0)&gt;ROUNDUP(W309/20,0),"Lần " &amp; ROUNDUP(W310/20,0),"")</f>
        <v/>
      </c>
      <c r="AI310" s="11">
        <f>IF(ROUNDUP(X310/20,0)&gt;ROUNDUP(X309/20,0),"Lần " &amp; ROUNDUP(X310/20,0),"")</f>
        <v/>
      </c>
      <c r="AJ310" s="11">
        <f>IF(ROUNDUP(Y310/20,0)&gt;ROUNDUP(Y309/20,0),"Lần " &amp; ROUNDUP(Y310/20,0),"")</f>
        <v/>
      </c>
      <c r="AK310" s="11">
        <f>IF(ROUNDUP(Z310/20,0)&gt;ROUNDUP(Z309/20,0),"Lần " &amp; ROUNDUP(Z310/20,0),"")</f>
        <v/>
      </c>
      <c r="AL310" s="6" t="n"/>
      <c r="AN310" t="inlineStr">
        <is>
          <t>Dam</t>
        </is>
      </c>
      <c r="AO310" t="n">
        <v>59</v>
      </c>
    </row>
    <row r="311" ht="19" customHeight="1">
      <c r="A311" s="6" t="n">
        <v>302</v>
      </c>
      <c r="B311" s="7" t="inlineStr">
        <is>
          <t>Dầm chủ Super-T (15 phiến L=38.2m)</t>
        </is>
      </c>
      <c r="C311" s="7" t="inlineStr">
        <is>
          <t>Dầm S1G (tr.94)</t>
        </is>
      </c>
      <c r="D311" s="18" t="inlineStr">
        <is>
          <t>K1a</t>
        </is>
      </c>
      <c r="E311" s="19" t="n">
        <v>16</v>
      </c>
      <c r="F311" s="6" t="inlineStr">
        <is>
          <t>CB400-V</t>
        </is>
      </c>
      <c r="G311" s="7" t="inlineStr">
        <is>
          <t>S06</t>
        </is>
      </c>
      <c r="H311" s="20" t="n">
        <v>1.14</v>
      </c>
      <c r="I311" s="21" t="n">
        <v>72</v>
      </c>
      <c r="J311" s="22" t="n">
        <v>1.578</v>
      </c>
      <c r="K311" s="9">
        <f>ROUND(H311*I311*J311, 2)</f>
        <v/>
      </c>
      <c r="L311" s="23">
        <f>ROUND(K311/1000, 3)</f>
        <v/>
      </c>
      <c r="M311" s="8">
        <f>IF(AO311="","",IF(INDEX(Theo_Doi_Tan_Suat_Be_Tong!$C:$C,AO311)="","",INDEX(Theo_Doi_Tan_Suat_Be_Tong!$C:$C,AO311)-VLOOKUP(AN311,$AQ$2:$AR$7,2,FALSE)))</f>
        <v/>
      </c>
      <c r="N311" s="6" t="n"/>
      <c r="O311" s="24">
        <f>IF(ROUNDUP(S311/20,0)&gt;ROUNDUP(S310/20,0),"TN Ø16 (Lần " &amp; ROUNDUP(S311/20,0) &amp; ")","")</f>
        <v/>
      </c>
      <c r="P311" s="20">
        <f>ROUND(P310+IF(AND(E311&lt;=10,F311&lt;&gt;"ASTM A416"),L311,0),3)</f>
        <v/>
      </c>
      <c r="Q311" s="20">
        <f>ROUND(Q310+IF(AND(E311=12,F311&lt;&gt;"ASTM A416"),L311,0),3)</f>
        <v/>
      </c>
      <c r="R311" s="20">
        <f>ROUND(R310+IF(AND(E311=14,F311&lt;&gt;"ASTM A416"),L311,0),3)</f>
        <v/>
      </c>
      <c r="S311" s="20">
        <f>ROUND(S310+IF(AND(E311=16,F311&lt;&gt;"ASTM A416"),L311,0),3)</f>
        <v/>
      </c>
      <c r="T311" s="20">
        <f>ROUND(T310+IF(AND(E311=18,F311&lt;&gt;"ASTM A416"),L311,0),3)</f>
        <v/>
      </c>
      <c r="U311" s="20">
        <f>ROUND(U310+IF(AND(E311=20,F311&lt;&gt;"ASTM A416"),L311,0),3)</f>
        <v/>
      </c>
      <c r="V311" s="20">
        <f>ROUND(V310+IF(AND(E311=22,F311&lt;&gt;"ASTM A416"),L311,0),3)</f>
        <v/>
      </c>
      <c r="W311" s="20">
        <f>ROUND(W310+IF(AND(E311=25,F311&lt;&gt;"ASTM A416"),L311,0),3)</f>
        <v/>
      </c>
      <c r="X311" s="20">
        <f>ROUND(X310+IF(AND(E311=28,F311&lt;&gt;"ASTM A416"),L311,0),3)</f>
        <v/>
      </c>
      <c r="Y311" s="20">
        <f>ROUND(Y310+IF(AND(E311=32,F311&lt;&gt;"ASTM A416"),L311,0),3)</f>
        <v/>
      </c>
      <c r="Z311" s="20">
        <f>ROUND(Z310+IF(F311="ASTM A416",L311,0),3)</f>
        <v/>
      </c>
      <c r="AA311" s="11">
        <f>IF(ROUNDUP(P311/20,0)&gt;ROUNDUP(P310/20,0),"Lần " &amp; ROUNDUP(P311/20,0),"")</f>
        <v/>
      </c>
      <c r="AB311" s="11">
        <f>IF(ROUNDUP(Q311/20,0)&gt;ROUNDUP(Q310/20,0),"Lần " &amp; ROUNDUP(Q311/20,0),"")</f>
        <v/>
      </c>
      <c r="AC311" s="11">
        <f>IF(ROUNDUP(R311/20,0)&gt;ROUNDUP(R310/20,0),"Lần " &amp; ROUNDUP(R311/20,0),"")</f>
        <v/>
      </c>
      <c r="AD311" s="11">
        <f>IF(ROUNDUP(S311/20,0)&gt;ROUNDUP(S310/20,0),"Lần " &amp; ROUNDUP(S311/20,0),"")</f>
        <v/>
      </c>
      <c r="AE311" s="11">
        <f>IF(ROUNDUP(T311/20,0)&gt;ROUNDUP(T310/20,0),"Lần " &amp; ROUNDUP(T311/20,0),"")</f>
        <v/>
      </c>
      <c r="AF311" s="11">
        <f>IF(ROUNDUP(U311/20,0)&gt;ROUNDUP(U310/20,0),"Lần " &amp; ROUNDUP(U311/20,0),"")</f>
        <v/>
      </c>
      <c r="AG311" s="11">
        <f>IF(ROUNDUP(V311/20,0)&gt;ROUNDUP(V310/20,0),"Lần " &amp; ROUNDUP(V311/20,0),"")</f>
        <v/>
      </c>
      <c r="AH311" s="11">
        <f>IF(ROUNDUP(W311/20,0)&gt;ROUNDUP(W310/20,0),"Lần " &amp; ROUNDUP(W311/20,0),"")</f>
        <v/>
      </c>
      <c r="AI311" s="11">
        <f>IF(ROUNDUP(X311/20,0)&gt;ROUNDUP(X310/20,0),"Lần " &amp; ROUNDUP(X311/20,0),"")</f>
        <v/>
      </c>
      <c r="AJ311" s="11">
        <f>IF(ROUNDUP(Y311/20,0)&gt;ROUNDUP(Y310/20,0),"Lần " &amp; ROUNDUP(Y311/20,0),"")</f>
        <v/>
      </c>
      <c r="AK311" s="11">
        <f>IF(ROUNDUP(Z311/20,0)&gt;ROUNDUP(Z310/20,0),"Lần " &amp; ROUNDUP(Z311/20,0),"")</f>
        <v/>
      </c>
      <c r="AL311" s="6" t="n"/>
      <c r="AN311" t="inlineStr">
        <is>
          <t>Dam</t>
        </is>
      </c>
      <c r="AO311" t="n">
        <v>59</v>
      </c>
    </row>
    <row r="312" ht="19" customHeight="1">
      <c r="A312" s="6" t="n">
        <v>303</v>
      </c>
      <c r="B312" s="7" t="inlineStr">
        <is>
          <t>Dầm chủ Super-T (15 phiến L=38.2m)</t>
        </is>
      </c>
      <c r="C312" s="7" t="inlineStr">
        <is>
          <t>Dầm S1G (tr.94)</t>
        </is>
      </c>
      <c r="D312" s="18" t="inlineStr">
        <is>
          <t>K1b</t>
        </is>
      </c>
      <c r="E312" s="19" t="n">
        <v>16</v>
      </c>
      <c r="F312" s="6" t="inlineStr">
        <is>
          <t>CB400-V</t>
        </is>
      </c>
      <c r="G312" s="7" t="inlineStr">
        <is>
          <t>S06</t>
        </is>
      </c>
      <c r="H312" s="20" t="n">
        <v>0.864</v>
      </c>
      <c r="I312" s="21" t="n">
        <v>72</v>
      </c>
      <c r="J312" s="22" t="n">
        <v>1.578</v>
      </c>
      <c r="K312" s="9">
        <f>ROUND(H312*I312*J312, 2)</f>
        <v/>
      </c>
      <c r="L312" s="23">
        <f>ROUND(K312/1000, 3)</f>
        <v/>
      </c>
      <c r="M312" s="8">
        <f>IF(AO312="","",IF(INDEX(Theo_Doi_Tan_Suat_Be_Tong!$C:$C,AO312)="","",INDEX(Theo_Doi_Tan_Suat_Be_Tong!$C:$C,AO312)-VLOOKUP(AN312,$AQ$2:$AR$7,2,FALSE)))</f>
        <v/>
      </c>
      <c r="N312" s="6" t="n"/>
      <c r="O312" s="24">
        <f>IF(ROUNDUP(S312/20,0)&gt;ROUNDUP(S311/20,0),"TN Ø16 (Lần " &amp; ROUNDUP(S312/20,0) &amp; ")","")</f>
        <v/>
      </c>
      <c r="P312" s="20">
        <f>ROUND(P311+IF(AND(E312&lt;=10,F312&lt;&gt;"ASTM A416"),L312,0),3)</f>
        <v/>
      </c>
      <c r="Q312" s="20">
        <f>ROUND(Q311+IF(AND(E312=12,F312&lt;&gt;"ASTM A416"),L312,0),3)</f>
        <v/>
      </c>
      <c r="R312" s="20">
        <f>ROUND(R311+IF(AND(E312=14,F312&lt;&gt;"ASTM A416"),L312,0),3)</f>
        <v/>
      </c>
      <c r="S312" s="20">
        <f>ROUND(S311+IF(AND(E312=16,F312&lt;&gt;"ASTM A416"),L312,0),3)</f>
        <v/>
      </c>
      <c r="T312" s="20">
        <f>ROUND(T311+IF(AND(E312=18,F312&lt;&gt;"ASTM A416"),L312,0),3)</f>
        <v/>
      </c>
      <c r="U312" s="20">
        <f>ROUND(U311+IF(AND(E312=20,F312&lt;&gt;"ASTM A416"),L312,0),3)</f>
        <v/>
      </c>
      <c r="V312" s="20">
        <f>ROUND(V311+IF(AND(E312=22,F312&lt;&gt;"ASTM A416"),L312,0),3)</f>
        <v/>
      </c>
      <c r="W312" s="20">
        <f>ROUND(W311+IF(AND(E312=25,F312&lt;&gt;"ASTM A416"),L312,0),3)</f>
        <v/>
      </c>
      <c r="X312" s="20">
        <f>ROUND(X311+IF(AND(E312=28,F312&lt;&gt;"ASTM A416"),L312,0),3)</f>
        <v/>
      </c>
      <c r="Y312" s="20">
        <f>ROUND(Y311+IF(AND(E312=32,F312&lt;&gt;"ASTM A416"),L312,0),3)</f>
        <v/>
      </c>
      <c r="Z312" s="20">
        <f>ROUND(Z311+IF(F312="ASTM A416",L312,0),3)</f>
        <v/>
      </c>
      <c r="AA312" s="11">
        <f>IF(ROUNDUP(P312/20,0)&gt;ROUNDUP(P311/20,0),"Lần " &amp; ROUNDUP(P312/20,0),"")</f>
        <v/>
      </c>
      <c r="AB312" s="11">
        <f>IF(ROUNDUP(Q312/20,0)&gt;ROUNDUP(Q311/20,0),"Lần " &amp; ROUNDUP(Q312/20,0),"")</f>
        <v/>
      </c>
      <c r="AC312" s="11">
        <f>IF(ROUNDUP(R312/20,0)&gt;ROUNDUP(R311/20,0),"Lần " &amp; ROUNDUP(R312/20,0),"")</f>
        <v/>
      </c>
      <c r="AD312" s="11">
        <f>IF(ROUNDUP(S312/20,0)&gt;ROUNDUP(S311/20,0),"Lần " &amp; ROUNDUP(S312/20,0),"")</f>
        <v/>
      </c>
      <c r="AE312" s="11">
        <f>IF(ROUNDUP(T312/20,0)&gt;ROUNDUP(T311/20,0),"Lần " &amp; ROUNDUP(T312/20,0),"")</f>
        <v/>
      </c>
      <c r="AF312" s="11">
        <f>IF(ROUNDUP(U312/20,0)&gt;ROUNDUP(U311/20,0),"Lần " &amp; ROUNDUP(U312/20,0),"")</f>
        <v/>
      </c>
      <c r="AG312" s="11">
        <f>IF(ROUNDUP(V312/20,0)&gt;ROUNDUP(V311/20,0),"Lần " &amp; ROUNDUP(V312/20,0),"")</f>
        <v/>
      </c>
      <c r="AH312" s="11">
        <f>IF(ROUNDUP(W312/20,0)&gt;ROUNDUP(W311/20,0),"Lần " &amp; ROUNDUP(W312/20,0),"")</f>
        <v/>
      </c>
      <c r="AI312" s="11">
        <f>IF(ROUNDUP(X312/20,0)&gt;ROUNDUP(X311/20,0),"Lần " &amp; ROUNDUP(X312/20,0),"")</f>
        <v/>
      </c>
      <c r="AJ312" s="11">
        <f>IF(ROUNDUP(Y312/20,0)&gt;ROUNDUP(Y311/20,0),"Lần " &amp; ROUNDUP(Y312/20,0),"")</f>
        <v/>
      </c>
      <c r="AK312" s="11">
        <f>IF(ROUNDUP(Z312/20,0)&gt;ROUNDUP(Z311/20,0),"Lần " &amp; ROUNDUP(Z312/20,0),"")</f>
        <v/>
      </c>
      <c r="AL312" s="6" t="n"/>
      <c r="AN312" t="inlineStr">
        <is>
          <t>Dam</t>
        </is>
      </c>
      <c r="AO312" t="n">
        <v>59</v>
      </c>
    </row>
    <row r="313" ht="19" customHeight="1">
      <c r="A313" s="6" t="n">
        <v>304</v>
      </c>
      <c r="B313" s="7" t="inlineStr">
        <is>
          <t>Dầm chủ Super-T (15 phiến L=38.2m)</t>
        </is>
      </c>
      <c r="C313" s="7" t="inlineStr">
        <is>
          <t>Cáp DƯL 7 sợi cường độ cao</t>
        </is>
      </c>
      <c r="D313" s="18" t="inlineStr">
        <is>
          <t>CABLE-15.2</t>
        </is>
      </c>
      <c r="E313" s="19" t="n">
        <v>15.2</v>
      </c>
      <c r="F313" s="6" t="inlineStr">
        <is>
          <t>ASTM A416</t>
        </is>
      </c>
      <c r="G313" s="7" t="inlineStr">
        <is>
          <t>Tao cáp xoắn 7 sợi</t>
        </is>
      </c>
      <c r="H313" s="20" t="n">
        <v>38.2</v>
      </c>
      <c r="I313" s="21" t="n">
        <v>660</v>
      </c>
      <c r="J313" s="22" t="n">
        <v>1.102</v>
      </c>
      <c r="K313" s="9">
        <f>ROUND(H313*I313*J313, 2)</f>
        <v/>
      </c>
      <c r="L313" s="23">
        <f>ROUND(K313/1000, 3)</f>
        <v/>
      </c>
      <c r="M313" s="8">
        <f>IF(AO313="","",IF(INDEX(Theo_Doi_Tan_Suat_Be_Tong!$C:$C,AO313)="","",INDEX(Theo_Doi_Tan_Suat_Be_Tong!$C:$C,AO313)-VLOOKUP(AN313,$AQ$2:$AR$7,2,FALSE)))</f>
        <v/>
      </c>
      <c r="N313" s="6" t="n"/>
      <c r="O313" s="24">
        <f>IF(ROUNDUP(Z313/20,0)&gt;ROUNDUP(Z312/20,0),"TN Cáp 15.2 (Lần " &amp; ROUNDUP(Z313/20,0) &amp; ")","")</f>
        <v/>
      </c>
      <c r="P313" s="20">
        <f>ROUND(P312+IF(AND(E313&lt;=10,F313&lt;&gt;"ASTM A416"),L313,0),3)</f>
        <v/>
      </c>
      <c r="Q313" s="20">
        <f>ROUND(Q312+IF(AND(E313=12,F313&lt;&gt;"ASTM A416"),L313,0),3)</f>
        <v/>
      </c>
      <c r="R313" s="20">
        <f>ROUND(R312+IF(AND(E313=14,F313&lt;&gt;"ASTM A416"),L313,0),3)</f>
        <v/>
      </c>
      <c r="S313" s="20">
        <f>ROUND(S312+IF(AND(E313=16,F313&lt;&gt;"ASTM A416"),L313,0),3)</f>
        <v/>
      </c>
      <c r="T313" s="20">
        <f>ROUND(T312+IF(AND(E313=18,F313&lt;&gt;"ASTM A416"),L313,0),3)</f>
        <v/>
      </c>
      <c r="U313" s="20">
        <f>ROUND(U312+IF(AND(E313=20,F313&lt;&gt;"ASTM A416"),L313,0),3)</f>
        <v/>
      </c>
      <c r="V313" s="20">
        <f>ROUND(V312+IF(AND(E313=22,F313&lt;&gt;"ASTM A416"),L313,0),3)</f>
        <v/>
      </c>
      <c r="W313" s="20">
        <f>ROUND(W312+IF(AND(E313=25,F313&lt;&gt;"ASTM A416"),L313,0),3)</f>
        <v/>
      </c>
      <c r="X313" s="20">
        <f>ROUND(X312+IF(AND(E313=28,F313&lt;&gt;"ASTM A416"),L313,0),3)</f>
        <v/>
      </c>
      <c r="Y313" s="20">
        <f>ROUND(Y312+IF(AND(E313=32,F313&lt;&gt;"ASTM A416"),L313,0),3)</f>
        <v/>
      </c>
      <c r="Z313" s="20">
        <f>ROUND(Z312+IF(F313="ASTM A416",L313,0),3)</f>
        <v/>
      </c>
      <c r="AA313" s="11">
        <f>IF(ROUNDUP(P313/20,0)&gt;ROUNDUP(P312/20,0),"Lần " &amp; ROUNDUP(P313/20,0),"")</f>
        <v/>
      </c>
      <c r="AB313" s="11">
        <f>IF(ROUNDUP(Q313/20,0)&gt;ROUNDUP(Q312/20,0),"Lần " &amp; ROUNDUP(Q313/20,0),"")</f>
        <v/>
      </c>
      <c r="AC313" s="11">
        <f>IF(ROUNDUP(R313/20,0)&gt;ROUNDUP(R312/20,0),"Lần " &amp; ROUNDUP(R313/20,0),"")</f>
        <v/>
      </c>
      <c r="AD313" s="11">
        <f>IF(ROUNDUP(S313/20,0)&gt;ROUNDUP(S312/20,0),"Lần " &amp; ROUNDUP(S313/20,0),"")</f>
        <v/>
      </c>
      <c r="AE313" s="11">
        <f>IF(ROUNDUP(T313/20,0)&gt;ROUNDUP(T312/20,0),"Lần " &amp; ROUNDUP(T313/20,0),"")</f>
        <v/>
      </c>
      <c r="AF313" s="11">
        <f>IF(ROUNDUP(U313/20,0)&gt;ROUNDUP(U312/20,0),"Lần " &amp; ROUNDUP(U313/20,0),"")</f>
        <v/>
      </c>
      <c r="AG313" s="11">
        <f>IF(ROUNDUP(V313/20,0)&gt;ROUNDUP(V312/20,0),"Lần " &amp; ROUNDUP(V313/20,0),"")</f>
        <v/>
      </c>
      <c r="AH313" s="11">
        <f>IF(ROUNDUP(W313/20,0)&gt;ROUNDUP(W312/20,0),"Lần " &amp; ROUNDUP(W313/20,0),"")</f>
        <v/>
      </c>
      <c r="AI313" s="11">
        <f>IF(ROUNDUP(X313/20,0)&gt;ROUNDUP(X312/20,0),"Lần " &amp; ROUNDUP(X313/20,0),"")</f>
        <v/>
      </c>
      <c r="AJ313" s="11">
        <f>IF(ROUNDUP(Y313/20,0)&gt;ROUNDUP(Y312/20,0),"Lần " &amp; ROUNDUP(Y313/20,0),"")</f>
        <v/>
      </c>
      <c r="AK313" s="11">
        <f>IF(ROUNDUP(Z313/20,0)&gt;ROUNDUP(Z312/20,0),"Lần " &amp; ROUNDUP(Z313/20,0),"")</f>
        <v/>
      </c>
      <c r="AL313" s="6" t="n"/>
      <c r="AN313" t="inlineStr">
        <is>
          <t>Dam</t>
        </is>
      </c>
      <c r="AO313" t="n">
        <v>59</v>
      </c>
    </row>
    <row r="314" ht="19" customHeight="1">
      <c r="A314" s="17" t="inlineStr">
        <is>
          <t>--- DẦM NGANG (DIAPHRAGM) ---</t>
        </is>
      </c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4" t="n"/>
    </row>
    <row r="315" ht="19" customHeight="1">
      <c r="A315" s="6" t="n">
        <v>305</v>
      </c>
      <c r="B315" s="7" t="inlineStr">
        <is>
          <t>Dầm ngang (Diaphragm)</t>
        </is>
      </c>
      <c r="C315" s="7" t="inlineStr">
        <is>
          <t>Dầm ngang (tr.96)</t>
        </is>
      </c>
      <c r="D315" s="18" t="inlineStr">
        <is>
          <t>A1</t>
        </is>
      </c>
      <c r="E315" s="19" t="n">
        <v>16</v>
      </c>
      <c r="F315" s="6" t="inlineStr">
        <is>
          <t>CB400-V</t>
        </is>
      </c>
      <c r="G315" s="7" t="inlineStr"/>
      <c r="H315" s="20" t="n">
        <v>0.525</v>
      </c>
      <c r="I315" s="21" t="n">
        <v>384</v>
      </c>
      <c r="J315" s="22" t="n">
        <v>1.578</v>
      </c>
      <c r="K315" s="9">
        <f>ROUND(H315*I315*J315, 2)</f>
        <v/>
      </c>
      <c r="L315" s="23">
        <f>ROUND(K315/1000, 3)</f>
        <v/>
      </c>
      <c r="M315" s="8">
        <f>IF(AO315="","",IF(INDEX(Theo_Doi_Tan_Suat_Be_Tong!$C:$C,AO315)="","",INDEX(Theo_Doi_Tan_Suat_Be_Tong!$C:$C,AO315)-VLOOKUP(AN315,$AQ$2:$AR$7,2,FALSE)))</f>
        <v/>
      </c>
      <c r="N315" s="6" t="n"/>
      <c r="O315" s="24">
        <f>IF(ROUNDUP(S315/20,0)&gt;ROUNDUP(S313/20,0),"TN Ø16 (Lần " &amp; ROUNDUP(S315/20,0) &amp; ")","")</f>
        <v/>
      </c>
      <c r="P315" s="20">
        <f>ROUND(P313+IF(AND(E315&lt;=10,F315&lt;&gt;"ASTM A416"),L315,0),3)</f>
        <v/>
      </c>
      <c r="Q315" s="20">
        <f>ROUND(Q313+IF(AND(E315=12,F315&lt;&gt;"ASTM A416"),L315,0),3)</f>
        <v/>
      </c>
      <c r="R315" s="20">
        <f>ROUND(R313+IF(AND(E315=14,F315&lt;&gt;"ASTM A416"),L315,0),3)</f>
        <v/>
      </c>
      <c r="S315" s="20">
        <f>ROUND(S313+IF(AND(E315=16,F315&lt;&gt;"ASTM A416"),L315,0),3)</f>
        <v/>
      </c>
      <c r="T315" s="20">
        <f>ROUND(T313+IF(AND(E315=18,F315&lt;&gt;"ASTM A416"),L315,0),3)</f>
        <v/>
      </c>
      <c r="U315" s="20">
        <f>ROUND(U313+IF(AND(E315=20,F315&lt;&gt;"ASTM A416"),L315,0),3)</f>
        <v/>
      </c>
      <c r="V315" s="20">
        <f>ROUND(V313+IF(AND(E315=22,F315&lt;&gt;"ASTM A416"),L315,0),3)</f>
        <v/>
      </c>
      <c r="W315" s="20">
        <f>ROUND(W313+IF(AND(E315=25,F315&lt;&gt;"ASTM A416"),L315,0),3)</f>
        <v/>
      </c>
      <c r="X315" s="20">
        <f>ROUND(X313+IF(AND(E315=28,F315&lt;&gt;"ASTM A416"),L315,0),3)</f>
        <v/>
      </c>
      <c r="Y315" s="20">
        <f>ROUND(Y313+IF(AND(E315=32,F315&lt;&gt;"ASTM A416"),L315,0),3)</f>
        <v/>
      </c>
      <c r="Z315" s="20">
        <f>ROUND(Z313+IF(F315="ASTM A416",L315,0),3)</f>
        <v/>
      </c>
      <c r="AA315" s="11">
        <f>IF(ROUNDUP(P315/20,0)&gt;ROUNDUP(P313/20,0),"Lần " &amp; ROUNDUP(P315/20,0),"")</f>
        <v/>
      </c>
      <c r="AB315" s="11">
        <f>IF(ROUNDUP(Q315/20,0)&gt;ROUNDUP(Q313/20,0),"Lần " &amp; ROUNDUP(Q315/20,0),"")</f>
        <v/>
      </c>
      <c r="AC315" s="11">
        <f>IF(ROUNDUP(R315/20,0)&gt;ROUNDUP(R313/20,0),"Lần " &amp; ROUNDUP(R315/20,0),"")</f>
        <v/>
      </c>
      <c r="AD315" s="11">
        <f>IF(ROUNDUP(S315/20,0)&gt;ROUNDUP(S313/20,0),"Lần " &amp; ROUNDUP(S315/20,0),"")</f>
        <v/>
      </c>
      <c r="AE315" s="11">
        <f>IF(ROUNDUP(T315/20,0)&gt;ROUNDUP(T313/20,0),"Lần " &amp; ROUNDUP(T315/20,0),"")</f>
        <v/>
      </c>
      <c r="AF315" s="11">
        <f>IF(ROUNDUP(U315/20,0)&gt;ROUNDUP(U313/20,0),"Lần " &amp; ROUNDUP(U315/20,0),"")</f>
        <v/>
      </c>
      <c r="AG315" s="11">
        <f>IF(ROUNDUP(V315/20,0)&gt;ROUNDUP(V313/20,0),"Lần " &amp; ROUNDUP(V315/20,0),"")</f>
        <v/>
      </c>
      <c r="AH315" s="11">
        <f>IF(ROUNDUP(W315/20,0)&gt;ROUNDUP(W313/20,0),"Lần " &amp; ROUNDUP(W315/20,0),"")</f>
        <v/>
      </c>
      <c r="AI315" s="11">
        <f>IF(ROUNDUP(X315/20,0)&gt;ROUNDUP(X313/20,0),"Lần " &amp; ROUNDUP(X315/20,0),"")</f>
        <v/>
      </c>
      <c r="AJ315" s="11">
        <f>IF(ROUNDUP(Y315/20,0)&gt;ROUNDUP(Y313/20,0),"Lần " &amp; ROUNDUP(Y315/20,0),"")</f>
        <v/>
      </c>
      <c r="AK315" s="11">
        <f>IF(ROUNDUP(Z315/20,0)&gt;ROUNDUP(Z313/20,0),"Lần " &amp; ROUNDUP(Z315/20,0),"")</f>
        <v/>
      </c>
      <c r="AL315" s="6" t="n"/>
      <c r="AN315" t="inlineStr">
        <is>
          <t>HoanThien</t>
        </is>
      </c>
      <c r="AO315" t="n">
        <v>75</v>
      </c>
    </row>
    <row r="316" ht="19" customHeight="1">
      <c r="A316" s="6" t="n">
        <v>306</v>
      </c>
      <c r="B316" s="7" t="inlineStr">
        <is>
          <t>Dầm ngang (Diaphragm)</t>
        </is>
      </c>
      <c r="C316" s="7" t="inlineStr">
        <is>
          <t>Dầm ngang (tr.96)</t>
        </is>
      </c>
      <c r="D316" s="18" t="inlineStr">
        <is>
          <t>A2</t>
        </is>
      </c>
      <c r="E316" s="19" t="n">
        <v>20</v>
      </c>
      <c r="F316" s="6" t="inlineStr">
        <is>
          <t>CB400-V</t>
        </is>
      </c>
      <c r="G316" s="7" t="inlineStr"/>
      <c r="H316" s="20" t="n">
        <v>1.45</v>
      </c>
      <c r="I316" s="21" t="n">
        <v>96</v>
      </c>
      <c r="J316" s="22" t="n">
        <v>2.466</v>
      </c>
      <c r="K316" s="9">
        <f>ROUND(H316*I316*J316, 2)</f>
        <v/>
      </c>
      <c r="L316" s="23">
        <f>ROUND(K316/1000, 3)</f>
        <v/>
      </c>
      <c r="M316" s="8">
        <f>IF(AO316="","",IF(INDEX(Theo_Doi_Tan_Suat_Be_Tong!$C:$C,AO316)="","",INDEX(Theo_Doi_Tan_Suat_Be_Tong!$C:$C,AO316)-VLOOKUP(AN316,$AQ$2:$AR$7,2,FALSE)))</f>
        <v/>
      </c>
      <c r="N316" s="6" t="n"/>
      <c r="O316" s="24">
        <f>IF(ROUNDUP(U316/20,0)&gt;ROUNDUP(U315/20,0),"TN Ø20 (Lần " &amp; ROUNDUP(U316/20,0) &amp; ")","")</f>
        <v/>
      </c>
      <c r="P316" s="20">
        <f>ROUND(P315+IF(AND(E316&lt;=10,F316&lt;&gt;"ASTM A416"),L316,0),3)</f>
        <v/>
      </c>
      <c r="Q316" s="20">
        <f>ROUND(Q315+IF(AND(E316=12,F316&lt;&gt;"ASTM A416"),L316,0),3)</f>
        <v/>
      </c>
      <c r="R316" s="20">
        <f>ROUND(R315+IF(AND(E316=14,F316&lt;&gt;"ASTM A416"),L316,0),3)</f>
        <v/>
      </c>
      <c r="S316" s="20">
        <f>ROUND(S315+IF(AND(E316=16,F316&lt;&gt;"ASTM A416"),L316,0),3)</f>
        <v/>
      </c>
      <c r="T316" s="20">
        <f>ROUND(T315+IF(AND(E316=18,F316&lt;&gt;"ASTM A416"),L316,0),3)</f>
        <v/>
      </c>
      <c r="U316" s="20">
        <f>ROUND(U315+IF(AND(E316=20,F316&lt;&gt;"ASTM A416"),L316,0),3)</f>
        <v/>
      </c>
      <c r="V316" s="20">
        <f>ROUND(V315+IF(AND(E316=22,F316&lt;&gt;"ASTM A416"),L316,0),3)</f>
        <v/>
      </c>
      <c r="W316" s="20">
        <f>ROUND(W315+IF(AND(E316=25,F316&lt;&gt;"ASTM A416"),L316,0),3)</f>
        <v/>
      </c>
      <c r="X316" s="20">
        <f>ROUND(X315+IF(AND(E316=28,F316&lt;&gt;"ASTM A416"),L316,0),3)</f>
        <v/>
      </c>
      <c r="Y316" s="20">
        <f>ROUND(Y315+IF(AND(E316=32,F316&lt;&gt;"ASTM A416"),L316,0),3)</f>
        <v/>
      </c>
      <c r="Z316" s="20">
        <f>ROUND(Z315+IF(F316="ASTM A416",L316,0),3)</f>
        <v/>
      </c>
      <c r="AA316" s="11">
        <f>IF(ROUNDUP(P316/20,0)&gt;ROUNDUP(P315/20,0),"Lần " &amp; ROUNDUP(P316/20,0),"")</f>
        <v/>
      </c>
      <c r="AB316" s="11">
        <f>IF(ROUNDUP(Q316/20,0)&gt;ROUNDUP(Q315/20,0),"Lần " &amp; ROUNDUP(Q316/20,0),"")</f>
        <v/>
      </c>
      <c r="AC316" s="11">
        <f>IF(ROUNDUP(R316/20,0)&gt;ROUNDUP(R315/20,0),"Lần " &amp; ROUNDUP(R316/20,0),"")</f>
        <v/>
      </c>
      <c r="AD316" s="11">
        <f>IF(ROUNDUP(S316/20,0)&gt;ROUNDUP(S315/20,0),"Lần " &amp; ROUNDUP(S316/20,0),"")</f>
        <v/>
      </c>
      <c r="AE316" s="11">
        <f>IF(ROUNDUP(T316/20,0)&gt;ROUNDUP(T315/20,0),"Lần " &amp; ROUNDUP(T316/20,0),"")</f>
        <v/>
      </c>
      <c r="AF316" s="11">
        <f>IF(ROUNDUP(U316/20,0)&gt;ROUNDUP(U315/20,0),"Lần " &amp; ROUNDUP(U316/20,0),"")</f>
        <v/>
      </c>
      <c r="AG316" s="11">
        <f>IF(ROUNDUP(V316/20,0)&gt;ROUNDUP(V315/20,0),"Lần " &amp; ROUNDUP(V316/20,0),"")</f>
        <v/>
      </c>
      <c r="AH316" s="11">
        <f>IF(ROUNDUP(W316/20,0)&gt;ROUNDUP(W315/20,0),"Lần " &amp; ROUNDUP(W316/20,0),"")</f>
        <v/>
      </c>
      <c r="AI316" s="11">
        <f>IF(ROUNDUP(X316/20,0)&gt;ROUNDUP(X315/20,0),"Lần " &amp; ROUNDUP(X316/20,0),"")</f>
        <v/>
      </c>
      <c r="AJ316" s="11">
        <f>IF(ROUNDUP(Y316/20,0)&gt;ROUNDUP(Y315/20,0),"Lần " &amp; ROUNDUP(Y316/20,0),"")</f>
        <v/>
      </c>
      <c r="AK316" s="11">
        <f>IF(ROUNDUP(Z316/20,0)&gt;ROUNDUP(Z315/20,0),"Lần " &amp; ROUNDUP(Z316/20,0),"")</f>
        <v/>
      </c>
      <c r="AL316" s="6" t="n"/>
      <c r="AN316" t="inlineStr">
        <is>
          <t>HoanThien</t>
        </is>
      </c>
      <c r="AO316" t="n">
        <v>75</v>
      </c>
    </row>
    <row r="317" ht="19" customHeight="1">
      <c r="A317" s="6" t="n">
        <v>307</v>
      </c>
      <c r="B317" s="7" t="inlineStr">
        <is>
          <t>Dầm ngang (Diaphragm)</t>
        </is>
      </c>
      <c r="C317" s="7" t="inlineStr">
        <is>
          <t>Dầm ngang (tr.96)</t>
        </is>
      </c>
      <c r="D317" s="18" t="inlineStr">
        <is>
          <t>A3</t>
        </is>
      </c>
      <c r="E317" s="19" t="n">
        <v>16</v>
      </c>
      <c r="F317" s="6" t="inlineStr">
        <is>
          <t>CB400-V</t>
        </is>
      </c>
      <c r="G317" s="7" t="inlineStr"/>
      <c r="H317" s="20" t="n">
        <v>1.39</v>
      </c>
      <c r="I317" s="21" t="n">
        <v>336</v>
      </c>
      <c r="J317" s="22" t="n">
        <v>1.578</v>
      </c>
      <c r="K317" s="9">
        <f>ROUND(H317*I317*J317, 2)</f>
        <v/>
      </c>
      <c r="L317" s="23">
        <f>ROUND(K317/1000, 3)</f>
        <v/>
      </c>
      <c r="M317" s="8">
        <f>IF(AO317="","",IF(INDEX(Theo_Doi_Tan_Suat_Be_Tong!$C:$C,AO317)="","",INDEX(Theo_Doi_Tan_Suat_Be_Tong!$C:$C,AO317)-VLOOKUP(AN317,$AQ$2:$AR$7,2,FALSE)))</f>
        <v/>
      </c>
      <c r="N317" s="6" t="n"/>
      <c r="O317" s="24">
        <f>IF(ROUNDUP(S317/20,0)&gt;ROUNDUP(S316/20,0),"TN Ø16 (Lần " &amp; ROUNDUP(S317/20,0) &amp; ")","")</f>
        <v/>
      </c>
      <c r="P317" s="20">
        <f>ROUND(P316+IF(AND(E317&lt;=10,F317&lt;&gt;"ASTM A416"),L317,0),3)</f>
        <v/>
      </c>
      <c r="Q317" s="20">
        <f>ROUND(Q316+IF(AND(E317=12,F317&lt;&gt;"ASTM A416"),L317,0),3)</f>
        <v/>
      </c>
      <c r="R317" s="20">
        <f>ROUND(R316+IF(AND(E317=14,F317&lt;&gt;"ASTM A416"),L317,0),3)</f>
        <v/>
      </c>
      <c r="S317" s="20">
        <f>ROUND(S316+IF(AND(E317=16,F317&lt;&gt;"ASTM A416"),L317,0),3)</f>
        <v/>
      </c>
      <c r="T317" s="20">
        <f>ROUND(T316+IF(AND(E317=18,F317&lt;&gt;"ASTM A416"),L317,0),3)</f>
        <v/>
      </c>
      <c r="U317" s="20">
        <f>ROUND(U316+IF(AND(E317=20,F317&lt;&gt;"ASTM A416"),L317,0),3)</f>
        <v/>
      </c>
      <c r="V317" s="20">
        <f>ROUND(V316+IF(AND(E317=22,F317&lt;&gt;"ASTM A416"),L317,0),3)</f>
        <v/>
      </c>
      <c r="W317" s="20">
        <f>ROUND(W316+IF(AND(E317=25,F317&lt;&gt;"ASTM A416"),L317,0),3)</f>
        <v/>
      </c>
      <c r="X317" s="20">
        <f>ROUND(X316+IF(AND(E317=28,F317&lt;&gt;"ASTM A416"),L317,0),3)</f>
        <v/>
      </c>
      <c r="Y317" s="20">
        <f>ROUND(Y316+IF(AND(E317=32,F317&lt;&gt;"ASTM A416"),L317,0),3)</f>
        <v/>
      </c>
      <c r="Z317" s="20">
        <f>ROUND(Z316+IF(F317="ASTM A416",L317,0),3)</f>
        <v/>
      </c>
      <c r="AA317" s="11">
        <f>IF(ROUNDUP(P317/20,0)&gt;ROUNDUP(P316/20,0),"Lần " &amp; ROUNDUP(P317/20,0),"")</f>
        <v/>
      </c>
      <c r="AB317" s="11">
        <f>IF(ROUNDUP(Q317/20,0)&gt;ROUNDUP(Q316/20,0),"Lần " &amp; ROUNDUP(Q317/20,0),"")</f>
        <v/>
      </c>
      <c r="AC317" s="11">
        <f>IF(ROUNDUP(R317/20,0)&gt;ROUNDUP(R316/20,0),"Lần " &amp; ROUNDUP(R317/20,0),"")</f>
        <v/>
      </c>
      <c r="AD317" s="11">
        <f>IF(ROUNDUP(S317/20,0)&gt;ROUNDUP(S316/20,0),"Lần " &amp; ROUNDUP(S317/20,0),"")</f>
        <v/>
      </c>
      <c r="AE317" s="11">
        <f>IF(ROUNDUP(T317/20,0)&gt;ROUNDUP(T316/20,0),"Lần " &amp; ROUNDUP(T317/20,0),"")</f>
        <v/>
      </c>
      <c r="AF317" s="11">
        <f>IF(ROUNDUP(U317/20,0)&gt;ROUNDUP(U316/20,0),"Lần " &amp; ROUNDUP(U317/20,0),"")</f>
        <v/>
      </c>
      <c r="AG317" s="11">
        <f>IF(ROUNDUP(V317/20,0)&gt;ROUNDUP(V316/20,0),"Lần " &amp; ROUNDUP(V317/20,0),"")</f>
        <v/>
      </c>
      <c r="AH317" s="11">
        <f>IF(ROUNDUP(W317/20,0)&gt;ROUNDUP(W316/20,0),"Lần " &amp; ROUNDUP(W317/20,0),"")</f>
        <v/>
      </c>
      <c r="AI317" s="11">
        <f>IF(ROUNDUP(X317/20,0)&gt;ROUNDUP(X316/20,0),"Lần " &amp; ROUNDUP(X317/20,0),"")</f>
        <v/>
      </c>
      <c r="AJ317" s="11">
        <f>IF(ROUNDUP(Y317/20,0)&gt;ROUNDUP(Y316/20,0),"Lần " &amp; ROUNDUP(Y317/20,0),"")</f>
        <v/>
      </c>
      <c r="AK317" s="11">
        <f>IF(ROUNDUP(Z317/20,0)&gt;ROUNDUP(Z316/20,0),"Lần " &amp; ROUNDUP(Z317/20,0),"")</f>
        <v/>
      </c>
      <c r="AL317" s="6" t="n"/>
      <c r="AN317" t="inlineStr">
        <is>
          <t>HoanThien</t>
        </is>
      </c>
      <c r="AO317" t="n">
        <v>75</v>
      </c>
    </row>
    <row r="318" ht="19" customHeight="1">
      <c r="A318" s="6" t="n">
        <v>308</v>
      </c>
      <c r="B318" s="7" t="inlineStr">
        <is>
          <t>Dầm ngang (Diaphragm)</t>
        </is>
      </c>
      <c r="C318" s="7" t="inlineStr">
        <is>
          <t>Dầm ngang (tr.96)</t>
        </is>
      </c>
      <c r="D318" s="18" t="inlineStr">
        <is>
          <t>A4</t>
        </is>
      </c>
      <c r="E318" s="19" t="n">
        <v>16</v>
      </c>
      <c r="F318" s="6" t="inlineStr">
        <is>
          <t>CB400-V</t>
        </is>
      </c>
      <c r="G318" s="7" t="inlineStr"/>
      <c r="H318" s="20" t="n">
        <v>1.14</v>
      </c>
      <c r="I318" s="21" t="n">
        <v>96</v>
      </c>
      <c r="J318" s="22" t="n">
        <v>1.578</v>
      </c>
      <c r="K318" s="9">
        <f>ROUND(H318*I318*J318, 2)</f>
        <v/>
      </c>
      <c r="L318" s="23">
        <f>ROUND(K318/1000, 3)</f>
        <v/>
      </c>
      <c r="M318" s="8">
        <f>IF(AO318="","",IF(INDEX(Theo_Doi_Tan_Suat_Be_Tong!$C:$C,AO318)="","",INDEX(Theo_Doi_Tan_Suat_Be_Tong!$C:$C,AO318)-VLOOKUP(AN318,$AQ$2:$AR$7,2,FALSE)))</f>
        <v/>
      </c>
      <c r="N318" s="6" t="n"/>
      <c r="O318" s="24">
        <f>IF(ROUNDUP(S318/20,0)&gt;ROUNDUP(S317/20,0),"TN Ø16 (Lần " &amp; ROUNDUP(S318/20,0) &amp; ")","")</f>
        <v/>
      </c>
      <c r="P318" s="20">
        <f>ROUND(P317+IF(AND(E318&lt;=10,F318&lt;&gt;"ASTM A416"),L318,0),3)</f>
        <v/>
      </c>
      <c r="Q318" s="20">
        <f>ROUND(Q317+IF(AND(E318=12,F318&lt;&gt;"ASTM A416"),L318,0),3)</f>
        <v/>
      </c>
      <c r="R318" s="20">
        <f>ROUND(R317+IF(AND(E318=14,F318&lt;&gt;"ASTM A416"),L318,0),3)</f>
        <v/>
      </c>
      <c r="S318" s="20">
        <f>ROUND(S317+IF(AND(E318=16,F318&lt;&gt;"ASTM A416"),L318,0),3)</f>
        <v/>
      </c>
      <c r="T318" s="20">
        <f>ROUND(T317+IF(AND(E318=18,F318&lt;&gt;"ASTM A416"),L318,0),3)</f>
        <v/>
      </c>
      <c r="U318" s="20">
        <f>ROUND(U317+IF(AND(E318=20,F318&lt;&gt;"ASTM A416"),L318,0),3)</f>
        <v/>
      </c>
      <c r="V318" s="20">
        <f>ROUND(V317+IF(AND(E318=22,F318&lt;&gt;"ASTM A416"),L318,0),3)</f>
        <v/>
      </c>
      <c r="W318" s="20">
        <f>ROUND(W317+IF(AND(E318=25,F318&lt;&gt;"ASTM A416"),L318,0),3)</f>
        <v/>
      </c>
      <c r="X318" s="20">
        <f>ROUND(X317+IF(AND(E318=28,F318&lt;&gt;"ASTM A416"),L318,0),3)</f>
        <v/>
      </c>
      <c r="Y318" s="20">
        <f>ROUND(Y317+IF(AND(E318=32,F318&lt;&gt;"ASTM A416"),L318,0),3)</f>
        <v/>
      </c>
      <c r="Z318" s="20">
        <f>ROUND(Z317+IF(F318="ASTM A416",L318,0),3)</f>
        <v/>
      </c>
      <c r="AA318" s="11">
        <f>IF(ROUNDUP(P318/20,0)&gt;ROUNDUP(P317/20,0),"Lần " &amp; ROUNDUP(P318/20,0),"")</f>
        <v/>
      </c>
      <c r="AB318" s="11">
        <f>IF(ROUNDUP(Q318/20,0)&gt;ROUNDUP(Q317/20,0),"Lần " &amp; ROUNDUP(Q318/20,0),"")</f>
        <v/>
      </c>
      <c r="AC318" s="11">
        <f>IF(ROUNDUP(R318/20,0)&gt;ROUNDUP(R317/20,0),"Lần " &amp; ROUNDUP(R318/20,0),"")</f>
        <v/>
      </c>
      <c r="AD318" s="11">
        <f>IF(ROUNDUP(S318/20,0)&gt;ROUNDUP(S317/20,0),"Lần " &amp; ROUNDUP(S318/20,0),"")</f>
        <v/>
      </c>
      <c r="AE318" s="11">
        <f>IF(ROUNDUP(T318/20,0)&gt;ROUNDUP(T317/20,0),"Lần " &amp; ROUNDUP(T318/20,0),"")</f>
        <v/>
      </c>
      <c r="AF318" s="11">
        <f>IF(ROUNDUP(U318/20,0)&gt;ROUNDUP(U317/20,0),"Lần " &amp; ROUNDUP(U318/20,0),"")</f>
        <v/>
      </c>
      <c r="AG318" s="11">
        <f>IF(ROUNDUP(V318/20,0)&gt;ROUNDUP(V317/20,0),"Lần " &amp; ROUNDUP(V318/20,0),"")</f>
        <v/>
      </c>
      <c r="AH318" s="11">
        <f>IF(ROUNDUP(W318/20,0)&gt;ROUNDUP(W317/20,0),"Lần " &amp; ROUNDUP(W318/20,0),"")</f>
        <v/>
      </c>
      <c r="AI318" s="11">
        <f>IF(ROUNDUP(X318/20,0)&gt;ROUNDUP(X317/20,0),"Lần " &amp; ROUNDUP(X318/20,0),"")</f>
        <v/>
      </c>
      <c r="AJ318" s="11">
        <f>IF(ROUNDUP(Y318/20,0)&gt;ROUNDUP(Y317/20,0),"Lần " &amp; ROUNDUP(Y318/20,0),"")</f>
        <v/>
      </c>
      <c r="AK318" s="11">
        <f>IF(ROUNDUP(Z318/20,0)&gt;ROUNDUP(Z317/20,0),"Lần " &amp; ROUNDUP(Z318/20,0),"")</f>
        <v/>
      </c>
      <c r="AL318" s="6" t="n"/>
      <c r="AN318" t="inlineStr">
        <is>
          <t>HoanThien</t>
        </is>
      </c>
      <c r="AO318" t="n">
        <v>75</v>
      </c>
    </row>
    <row r="319" ht="19" customHeight="1">
      <c r="A319" s="6" t="n">
        <v>309</v>
      </c>
      <c r="B319" s="7" t="inlineStr">
        <is>
          <t>Dầm ngang (Diaphragm)</t>
        </is>
      </c>
      <c r="C319" s="7" t="inlineStr">
        <is>
          <t>Dầm ngang (tr.96)</t>
        </is>
      </c>
      <c r="D319" s="18" t="inlineStr">
        <is>
          <t>A5</t>
        </is>
      </c>
      <c r="E319" s="19" t="n">
        <v>16</v>
      </c>
      <c r="F319" s="6" t="inlineStr">
        <is>
          <t>CB400-V</t>
        </is>
      </c>
      <c r="G319" s="7" t="inlineStr"/>
      <c r="H319" s="20" t="n">
        <v>3.262</v>
      </c>
      <c r="I319" s="21" t="n">
        <v>192</v>
      </c>
      <c r="J319" s="22" t="n">
        <v>1.578</v>
      </c>
      <c r="K319" s="9">
        <f>ROUND(H319*I319*J319, 2)</f>
        <v/>
      </c>
      <c r="L319" s="23">
        <f>ROUND(K319/1000, 3)</f>
        <v/>
      </c>
      <c r="M319" s="8">
        <f>IF(AO319="","",IF(INDEX(Theo_Doi_Tan_Suat_Be_Tong!$C:$C,AO319)="","",INDEX(Theo_Doi_Tan_Suat_Be_Tong!$C:$C,AO319)-VLOOKUP(AN319,$AQ$2:$AR$7,2,FALSE)))</f>
        <v/>
      </c>
      <c r="N319" s="6" t="n"/>
      <c r="O319" s="24">
        <f>IF(ROUNDUP(S319/20,0)&gt;ROUNDUP(S318/20,0),"TN Ø16 (Lần " &amp; ROUNDUP(S319/20,0) &amp; ")","")</f>
        <v/>
      </c>
      <c r="P319" s="20">
        <f>ROUND(P318+IF(AND(E319&lt;=10,F319&lt;&gt;"ASTM A416"),L319,0),3)</f>
        <v/>
      </c>
      <c r="Q319" s="20">
        <f>ROUND(Q318+IF(AND(E319=12,F319&lt;&gt;"ASTM A416"),L319,0),3)</f>
        <v/>
      </c>
      <c r="R319" s="20">
        <f>ROUND(R318+IF(AND(E319=14,F319&lt;&gt;"ASTM A416"),L319,0),3)</f>
        <v/>
      </c>
      <c r="S319" s="20">
        <f>ROUND(S318+IF(AND(E319=16,F319&lt;&gt;"ASTM A416"),L319,0),3)</f>
        <v/>
      </c>
      <c r="T319" s="20">
        <f>ROUND(T318+IF(AND(E319=18,F319&lt;&gt;"ASTM A416"),L319,0),3)</f>
        <v/>
      </c>
      <c r="U319" s="20">
        <f>ROUND(U318+IF(AND(E319=20,F319&lt;&gt;"ASTM A416"),L319,0),3)</f>
        <v/>
      </c>
      <c r="V319" s="20">
        <f>ROUND(V318+IF(AND(E319=22,F319&lt;&gt;"ASTM A416"),L319,0),3)</f>
        <v/>
      </c>
      <c r="W319" s="20">
        <f>ROUND(W318+IF(AND(E319=25,F319&lt;&gt;"ASTM A416"),L319,0),3)</f>
        <v/>
      </c>
      <c r="X319" s="20">
        <f>ROUND(X318+IF(AND(E319=28,F319&lt;&gt;"ASTM A416"),L319,0),3)</f>
        <v/>
      </c>
      <c r="Y319" s="20">
        <f>ROUND(Y318+IF(AND(E319=32,F319&lt;&gt;"ASTM A416"),L319,0),3)</f>
        <v/>
      </c>
      <c r="Z319" s="20">
        <f>ROUND(Z318+IF(F319="ASTM A416",L319,0),3)</f>
        <v/>
      </c>
      <c r="AA319" s="11">
        <f>IF(ROUNDUP(P319/20,0)&gt;ROUNDUP(P318/20,0),"Lần " &amp; ROUNDUP(P319/20,0),"")</f>
        <v/>
      </c>
      <c r="AB319" s="11">
        <f>IF(ROUNDUP(Q319/20,0)&gt;ROUNDUP(Q318/20,0),"Lần " &amp; ROUNDUP(Q319/20,0),"")</f>
        <v/>
      </c>
      <c r="AC319" s="11">
        <f>IF(ROUNDUP(R319/20,0)&gt;ROUNDUP(R318/20,0),"Lần " &amp; ROUNDUP(R319/20,0),"")</f>
        <v/>
      </c>
      <c r="AD319" s="11">
        <f>IF(ROUNDUP(S319/20,0)&gt;ROUNDUP(S318/20,0),"Lần " &amp; ROUNDUP(S319/20,0),"")</f>
        <v/>
      </c>
      <c r="AE319" s="11">
        <f>IF(ROUNDUP(T319/20,0)&gt;ROUNDUP(T318/20,0),"Lần " &amp; ROUNDUP(T319/20,0),"")</f>
        <v/>
      </c>
      <c r="AF319" s="11">
        <f>IF(ROUNDUP(U319/20,0)&gt;ROUNDUP(U318/20,0),"Lần " &amp; ROUNDUP(U319/20,0),"")</f>
        <v/>
      </c>
      <c r="AG319" s="11">
        <f>IF(ROUNDUP(V319/20,0)&gt;ROUNDUP(V318/20,0),"Lần " &amp; ROUNDUP(V319/20,0),"")</f>
        <v/>
      </c>
      <c r="AH319" s="11">
        <f>IF(ROUNDUP(W319/20,0)&gt;ROUNDUP(W318/20,0),"Lần " &amp; ROUNDUP(W319/20,0),"")</f>
        <v/>
      </c>
      <c r="AI319" s="11">
        <f>IF(ROUNDUP(X319/20,0)&gt;ROUNDUP(X318/20,0),"Lần " &amp; ROUNDUP(X319/20,0),"")</f>
        <v/>
      </c>
      <c r="AJ319" s="11">
        <f>IF(ROUNDUP(Y319/20,0)&gt;ROUNDUP(Y318/20,0),"Lần " &amp; ROUNDUP(Y319/20,0),"")</f>
        <v/>
      </c>
      <c r="AK319" s="11">
        <f>IF(ROUNDUP(Z319/20,0)&gt;ROUNDUP(Z318/20,0),"Lần " &amp; ROUNDUP(Z319/20,0),"")</f>
        <v/>
      </c>
      <c r="AL319" s="6" t="n"/>
      <c r="AN319" t="inlineStr">
        <is>
          <t>HoanThien</t>
        </is>
      </c>
      <c r="AO319" t="n">
        <v>75</v>
      </c>
    </row>
    <row r="320" ht="19" customHeight="1">
      <c r="A320" s="6" t="n">
        <v>310</v>
      </c>
      <c r="B320" s="7" t="inlineStr">
        <is>
          <t>Dầm ngang (Diaphragm)</t>
        </is>
      </c>
      <c r="C320" s="7" t="inlineStr">
        <is>
          <t>Dầm ngang (tr.96)</t>
        </is>
      </c>
      <c r="D320" s="18" t="inlineStr">
        <is>
          <t>A6</t>
        </is>
      </c>
      <c r="E320" s="19" t="n">
        <v>16</v>
      </c>
      <c r="F320" s="6" t="inlineStr">
        <is>
          <t>CB400-V</t>
        </is>
      </c>
      <c r="G320" s="7" t="inlineStr"/>
      <c r="H320" s="20" t="n">
        <v>2.642</v>
      </c>
      <c r="I320" s="21" t="n">
        <v>48</v>
      </c>
      <c r="J320" s="22" t="n">
        <v>1.578</v>
      </c>
      <c r="K320" s="9">
        <f>ROUND(H320*I320*J320, 2)</f>
        <v/>
      </c>
      <c r="L320" s="23">
        <f>ROUND(K320/1000, 3)</f>
        <v/>
      </c>
      <c r="M320" s="8">
        <f>IF(AO320="","",IF(INDEX(Theo_Doi_Tan_Suat_Be_Tong!$C:$C,AO320)="","",INDEX(Theo_Doi_Tan_Suat_Be_Tong!$C:$C,AO320)-VLOOKUP(AN320,$AQ$2:$AR$7,2,FALSE)))</f>
        <v/>
      </c>
      <c r="N320" s="6" t="n"/>
      <c r="O320" s="24">
        <f>IF(ROUNDUP(S320/20,0)&gt;ROUNDUP(S319/20,0),"TN Ø16 (Lần " &amp; ROUNDUP(S320/20,0) &amp; ")","")</f>
        <v/>
      </c>
      <c r="P320" s="20">
        <f>ROUND(P319+IF(AND(E320&lt;=10,F320&lt;&gt;"ASTM A416"),L320,0),3)</f>
        <v/>
      </c>
      <c r="Q320" s="20">
        <f>ROUND(Q319+IF(AND(E320=12,F320&lt;&gt;"ASTM A416"),L320,0),3)</f>
        <v/>
      </c>
      <c r="R320" s="20">
        <f>ROUND(R319+IF(AND(E320=14,F320&lt;&gt;"ASTM A416"),L320,0),3)</f>
        <v/>
      </c>
      <c r="S320" s="20">
        <f>ROUND(S319+IF(AND(E320=16,F320&lt;&gt;"ASTM A416"),L320,0),3)</f>
        <v/>
      </c>
      <c r="T320" s="20">
        <f>ROUND(T319+IF(AND(E320=18,F320&lt;&gt;"ASTM A416"),L320,0),3)</f>
        <v/>
      </c>
      <c r="U320" s="20">
        <f>ROUND(U319+IF(AND(E320=20,F320&lt;&gt;"ASTM A416"),L320,0),3)</f>
        <v/>
      </c>
      <c r="V320" s="20">
        <f>ROUND(V319+IF(AND(E320=22,F320&lt;&gt;"ASTM A416"),L320,0),3)</f>
        <v/>
      </c>
      <c r="W320" s="20">
        <f>ROUND(W319+IF(AND(E320=25,F320&lt;&gt;"ASTM A416"),L320,0),3)</f>
        <v/>
      </c>
      <c r="X320" s="20">
        <f>ROUND(X319+IF(AND(E320=28,F320&lt;&gt;"ASTM A416"),L320,0),3)</f>
        <v/>
      </c>
      <c r="Y320" s="20">
        <f>ROUND(Y319+IF(AND(E320=32,F320&lt;&gt;"ASTM A416"),L320,0),3)</f>
        <v/>
      </c>
      <c r="Z320" s="20">
        <f>ROUND(Z319+IF(F320="ASTM A416",L320,0),3)</f>
        <v/>
      </c>
      <c r="AA320" s="11">
        <f>IF(ROUNDUP(P320/20,0)&gt;ROUNDUP(P319/20,0),"Lần " &amp; ROUNDUP(P320/20,0),"")</f>
        <v/>
      </c>
      <c r="AB320" s="11">
        <f>IF(ROUNDUP(Q320/20,0)&gt;ROUNDUP(Q319/20,0),"Lần " &amp; ROUNDUP(Q320/20,0),"")</f>
        <v/>
      </c>
      <c r="AC320" s="11">
        <f>IF(ROUNDUP(R320/20,0)&gt;ROUNDUP(R319/20,0),"Lần " &amp; ROUNDUP(R320/20,0),"")</f>
        <v/>
      </c>
      <c r="AD320" s="11">
        <f>IF(ROUNDUP(S320/20,0)&gt;ROUNDUP(S319/20,0),"Lần " &amp; ROUNDUP(S320/20,0),"")</f>
        <v/>
      </c>
      <c r="AE320" s="11">
        <f>IF(ROUNDUP(T320/20,0)&gt;ROUNDUP(T319/20,0),"Lần " &amp; ROUNDUP(T320/20,0),"")</f>
        <v/>
      </c>
      <c r="AF320" s="11">
        <f>IF(ROUNDUP(U320/20,0)&gt;ROUNDUP(U319/20,0),"Lần " &amp; ROUNDUP(U320/20,0),"")</f>
        <v/>
      </c>
      <c r="AG320" s="11">
        <f>IF(ROUNDUP(V320/20,0)&gt;ROUNDUP(V319/20,0),"Lần " &amp; ROUNDUP(V320/20,0),"")</f>
        <v/>
      </c>
      <c r="AH320" s="11">
        <f>IF(ROUNDUP(W320/20,0)&gt;ROUNDUP(W319/20,0),"Lần " &amp; ROUNDUP(W320/20,0),"")</f>
        <v/>
      </c>
      <c r="AI320" s="11">
        <f>IF(ROUNDUP(X320/20,0)&gt;ROUNDUP(X319/20,0),"Lần " &amp; ROUNDUP(X320/20,0),"")</f>
        <v/>
      </c>
      <c r="AJ320" s="11">
        <f>IF(ROUNDUP(Y320/20,0)&gt;ROUNDUP(Y319/20,0),"Lần " &amp; ROUNDUP(Y320/20,0),"")</f>
        <v/>
      </c>
      <c r="AK320" s="11">
        <f>IF(ROUNDUP(Z320/20,0)&gt;ROUNDUP(Z319/20,0),"Lần " &amp; ROUNDUP(Z320/20,0),"")</f>
        <v/>
      </c>
      <c r="AL320" s="6" t="n"/>
      <c r="AN320" t="inlineStr">
        <is>
          <t>HoanThien</t>
        </is>
      </c>
      <c r="AO320" t="n">
        <v>75</v>
      </c>
    </row>
    <row r="321" ht="19" customHeight="1">
      <c r="A321" s="17" t="inlineStr">
        <is>
          <t>--- BẢN MẶT CẦU (DECK SLAB) ---</t>
        </is>
      </c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  <c r="AG321" s="35" t="n"/>
      <c r="AH321" s="35" t="n"/>
      <c r="AI321" s="35" t="n"/>
      <c r="AJ321" s="35" t="n"/>
      <c r="AK321" s="35" t="n"/>
      <c r="AL321" s="34" t="n"/>
    </row>
    <row r="322" ht="19" customHeight="1">
      <c r="A322" s="6" t="n">
        <v>311</v>
      </c>
      <c r="B322" s="7" t="inlineStr">
        <is>
          <t>Bản mặt cầu (Deck Slab)</t>
        </is>
      </c>
      <c r="C322" s="7" t="inlineStr">
        <is>
          <t>Lưới thép BMC đổ bù</t>
        </is>
      </c>
      <c r="D322" s="18" t="inlineStr">
        <is>
          <t>S1</t>
        </is>
      </c>
      <c r="E322" s="19" t="n">
        <v>14</v>
      </c>
      <c r="F322" s="6" t="inlineStr">
        <is>
          <t>CB400-V</t>
        </is>
      </c>
      <c r="G322" s="7" t="inlineStr">
        <is>
          <t>S01</t>
        </is>
      </c>
      <c r="H322" s="20" t="n">
        <v>39.85</v>
      </c>
      <c r="I322" s="21" t="n">
        <v>84</v>
      </c>
      <c r="J322" s="22" t="n">
        <v>1.208</v>
      </c>
      <c r="K322" s="9">
        <f>ROUND(H322*I322*J322, 2)</f>
        <v/>
      </c>
      <c r="L322" s="23">
        <f>ROUND(K322/1000, 3)</f>
        <v/>
      </c>
      <c r="M322" s="8">
        <f>IF(AO322="","",IF(INDEX(Theo_Doi_Tan_Suat_Be_Tong!$C:$C,AO322)="","",INDEX(Theo_Doi_Tan_Suat_Be_Tong!$C:$C,AO322)-VLOOKUP(AN322,$AQ$2:$AR$7,2,FALSE)))</f>
        <v/>
      </c>
      <c r="N322" s="6" t="n"/>
      <c r="O322" s="24">
        <f>IF(ROUNDUP(R322/20,0)&gt;ROUNDUP(R320/20,0),"TN Ø14 (Lần " &amp; ROUNDUP(R322/20,0) &amp; ")","")</f>
        <v/>
      </c>
      <c r="P322" s="20">
        <f>ROUND(P320+IF(AND(E322&lt;=10,F322&lt;&gt;"ASTM A416"),L322,0),3)</f>
        <v/>
      </c>
      <c r="Q322" s="20">
        <f>ROUND(Q320+IF(AND(E322=12,F322&lt;&gt;"ASTM A416"),L322,0),3)</f>
        <v/>
      </c>
      <c r="R322" s="20">
        <f>ROUND(R320+IF(AND(E322=14,F322&lt;&gt;"ASTM A416"),L322,0),3)</f>
        <v/>
      </c>
      <c r="S322" s="20">
        <f>ROUND(S320+IF(AND(E322=16,F322&lt;&gt;"ASTM A416"),L322,0),3)</f>
        <v/>
      </c>
      <c r="T322" s="20">
        <f>ROUND(T320+IF(AND(E322=18,F322&lt;&gt;"ASTM A416"),L322,0),3)</f>
        <v/>
      </c>
      <c r="U322" s="20">
        <f>ROUND(U320+IF(AND(E322=20,F322&lt;&gt;"ASTM A416"),L322,0),3)</f>
        <v/>
      </c>
      <c r="V322" s="20">
        <f>ROUND(V320+IF(AND(E322=22,F322&lt;&gt;"ASTM A416"),L322,0),3)</f>
        <v/>
      </c>
      <c r="W322" s="20">
        <f>ROUND(W320+IF(AND(E322=25,F322&lt;&gt;"ASTM A416"),L322,0),3)</f>
        <v/>
      </c>
      <c r="X322" s="20">
        <f>ROUND(X320+IF(AND(E322=28,F322&lt;&gt;"ASTM A416"),L322,0),3)</f>
        <v/>
      </c>
      <c r="Y322" s="20">
        <f>ROUND(Y320+IF(AND(E322=32,F322&lt;&gt;"ASTM A416"),L322,0),3)</f>
        <v/>
      </c>
      <c r="Z322" s="20">
        <f>ROUND(Z320+IF(F322="ASTM A416",L322,0),3)</f>
        <v/>
      </c>
      <c r="AA322" s="11">
        <f>IF(ROUNDUP(P322/20,0)&gt;ROUNDUP(P320/20,0),"Lần " &amp; ROUNDUP(P322/20,0),"")</f>
        <v/>
      </c>
      <c r="AB322" s="11">
        <f>IF(ROUNDUP(Q322/20,0)&gt;ROUNDUP(Q320/20,0),"Lần " &amp; ROUNDUP(Q322/20,0),"")</f>
        <v/>
      </c>
      <c r="AC322" s="11">
        <f>IF(ROUNDUP(R322/20,0)&gt;ROUNDUP(R320/20,0),"Lần " &amp; ROUNDUP(R322/20,0),"")</f>
        <v/>
      </c>
      <c r="AD322" s="11">
        <f>IF(ROUNDUP(S322/20,0)&gt;ROUNDUP(S320/20,0),"Lần " &amp; ROUNDUP(S322/20,0),"")</f>
        <v/>
      </c>
      <c r="AE322" s="11">
        <f>IF(ROUNDUP(T322/20,0)&gt;ROUNDUP(T320/20,0),"Lần " &amp; ROUNDUP(T322/20,0),"")</f>
        <v/>
      </c>
      <c r="AF322" s="11">
        <f>IF(ROUNDUP(U322/20,0)&gt;ROUNDUP(U320/20,0),"Lần " &amp; ROUNDUP(U322/20,0),"")</f>
        <v/>
      </c>
      <c r="AG322" s="11">
        <f>IF(ROUNDUP(V322/20,0)&gt;ROUNDUP(V320/20,0),"Lần " &amp; ROUNDUP(V322/20,0),"")</f>
        <v/>
      </c>
      <c r="AH322" s="11">
        <f>IF(ROUNDUP(W322/20,0)&gt;ROUNDUP(W320/20,0),"Lần " &amp; ROUNDUP(W322/20,0),"")</f>
        <v/>
      </c>
      <c r="AI322" s="11">
        <f>IF(ROUNDUP(X322/20,0)&gt;ROUNDUP(X320/20,0),"Lần " &amp; ROUNDUP(X322/20,0),"")</f>
        <v/>
      </c>
      <c r="AJ322" s="11">
        <f>IF(ROUNDUP(Y322/20,0)&gt;ROUNDUP(Y320/20,0),"Lần " &amp; ROUNDUP(Y322/20,0),"")</f>
        <v/>
      </c>
      <c r="AK322" s="11">
        <f>IF(ROUNDUP(Z322/20,0)&gt;ROUNDUP(Z320/20,0),"Lần " &amp; ROUNDUP(Z322/20,0),"")</f>
        <v/>
      </c>
      <c r="AL322" s="6" t="n"/>
      <c r="AN322" t="inlineStr">
        <is>
          <t>HoanThien</t>
        </is>
      </c>
      <c r="AO322" t="n">
        <v>79</v>
      </c>
    </row>
    <row r="323" ht="20" customHeight="1">
      <c r="A323" s="6" t="n">
        <v>312</v>
      </c>
      <c r="B323" s="7" t="inlineStr">
        <is>
          <t>Bản mặt cầu (Deck Slab)</t>
        </is>
      </c>
      <c r="C323" s="7" t="inlineStr">
        <is>
          <t>Lưới thép BMC đổ bù</t>
        </is>
      </c>
      <c r="D323" s="18" t="inlineStr">
        <is>
          <t>S1a</t>
        </is>
      </c>
      <c r="E323" s="19" t="n">
        <v>14</v>
      </c>
      <c r="F323" s="6" t="inlineStr">
        <is>
          <t>CB400-V</t>
        </is>
      </c>
      <c r="G323" s="7" t="inlineStr">
        <is>
          <t>S01</t>
        </is>
      </c>
      <c r="H323" s="20" t="n">
        <v>39.29</v>
      </c>
      <c r="I323" s="21" t="n">
        <v>84</v>
      </c>
      <c r="J323" s="22" t="n">
        <v>1.208</v>
      </c>
      <c r="K323" s="9">
        <f>ROUND(H323*I323*J323, 2)</f>
        <v/>
      </c>
      <c r="L323" s="23">
        <f>ROUND(K323/1000, 3)</f>
        <v/>
      </c>
      <c r="M323" s="8">
        <f>IF(AO323="","",IF(INDEX(Theo_Doi_Tan_Suat_Be_Tong!$C:$C,AO323)="","",INDEX(Theo_Doi_Tan_Suat_Be_Tong!$C:$C,AO323)-VLOOKUP(AN323,$AQ$2:$AR$7,2,FALSE)))</f>
        <v/>
      </c>
      <c r="N323" s="6" t="n"/>
      <c r="O323" s="24">
        <f>IF(ROUNDUP(R323/20,0)&gt;ROUNDUP(R322/20,0),"TN Ø14 (Lần " &amp; ROUNDUP(R323/20,0) &amp; ")","")</f>
        <v/>
      </c>
      <c r="P323" s="20">
        <f>ROUND(P322+IF(AND(E323&lt;=10,F323&lt;&gt;"ASTM A416"),L323,0),3)</f>
        <v/>
      </c>
      <c r="Q323" s="20">
        <f>ROUND(Q322+IF(AND(E323=12,F323&lt;&gt;"ASTM A416"),L323,0),3)</f>
        <v/>
      </c>
      <c r="R323" s="20">
        <f>ROUND(R322+IF(AND(E323=14,F323&lt;&gt;"ASTM A416"),L323,0),3)</f>
        <v/>
      </c>
      <c r="S323" s="20">
        <f>ROUND(S322+IF(AND(E323=16,F323&lt;&gt;"ASTM A416"),L323,0),3)</f>
        <v/>
      </c>
      <c r="T323" s="20">
        <f>ROUND(T322+IF(AND(E323=18,F323&lt;&gt;"ASTM A416"),L323,0),3)</f>
        <v/>
      </c>
      <c r="U323" s="20">
        <f>ROUND(U322+IF(AND(E323=20,F323&lt;&gt;"ASTM A416"),L323,0),3)</f>
        <v/>
      </c>
      <c r="V323" s="20">
        <f>ROUND(V322+IF(AND(E323=22,F323&lt;&gt;"ASTM A416"),L323,0),3)</f>
        <v/>
      </c>
      <c r="W323" s="20">
        <f>ROUND(W322+IF(AND(E323=25,F323&lt;&gt;"ASTM A416"),L323,0),3)</f>
        <v/>
      </c>
      <c r="X323" s="20">
        <f>ROUND(X322+IF(AND(E323=28,F323&lt;&gt;"ASTM A416"),L323,0),3)</f>
        <v/>
      </c>
      <c r="Y323" s="20">
        <f>ROUND(Y322+IF(AND(E323=32,F323&lt;&gt;"ASTM A416"),L323,0),3)</f>
        <v/>
      </c>
      <c r="Z323" s="20">
        <f>ROUND(Z322+IF(F323="ASTM A416",L323,0),3)</f>
        <v/>
      </c>
      <c r="AA323" s="11">
        <f>IF(ROUNDUP(P323/20,0)&gt;ROUNDUP(P322/20,0),"Lần " &amp; ROUNDUP(P323/20,0),"")</f>
        <v/>
      </c>
      <c r="AB323" s="11">
        <f>IF(ROUNDUP(Q323/20,0)&gt;ROUNDUP(Q322/20,0),"Lần " &amp; ROUNDUP(Q323/20,0),"")</f>
        <v/>
      </c>
      <c r="AC323" s="11">
        <f>IF(ROUNDUP(R323/20,0)&gt;ROUNDUP(R322/20,0),"Lần " &amp; ROUNDUP(R323/20,0),"")</f>
        <v/>
      </c>
      <c r="AD323" s="11">
        <f>IF(ROUNDUP(S323/20,0)&gt;ROUNDUP(S322/20,0),"Lần " &amp; ROUNDUP(S323/20,0),"")</f>
        <v/>
      </c>
      <c r="AE323" s="11">
        <f>IF(ROUNDUP(T323/20,0)&gt;ROUNDUP(T322/20,0),"Lần " &amp; ROUNDUP(T323/20,0),"")</f>
        <v/>
      </c>
      <c r="AF323" s="11">
        <f>IF(ROUNDUP(U323/20,0)&gt;ROUNDUP(U322/20,0),"Lần " &amp; ROUNDUP(U323/20,0),"")</f>
        <v/>
      </c>
      <c r="AG323" s="11">
        <f>IF(ROUNDUP(V323/20,0)&gt;ROUNDUP(V322/20,0),"Lần " &amp; ROUNDUP(V323/20,0),"")</f>
        <v/>
      </c>
      <c r="AH323" s="11">
        <f>IF(ROUNDUP(W323/20,0)&gt;ROUNDUP(W322/20,0),"Lần " &amp; ROUNDUP(W323/20,0),"")</f>
        <v/>
      </c>
      <c r="AI323" s="11">
        <f>IF(ROUNDUP(X323/20,0)&gt;ROUNDUP(X322/20,0),"Lần " &amp; ROUNDUP(X323/20,0),"")</f>
        <v/>
      </c>
      <c r="AJ323" s="11">
        <f>IF(ROUNDUP(Y323/20,0)&gt;ROUNDUP(Y322/20,0),"Lần " &amp; ROUNDUP(Y323/20,0),"")</f>
        <v/>
      </c>
      <c r="AK323" s="11">
        <f>IF(ROUNDUP(Z323/20,0)&gt;ROUNDUP(Z322/20,0),"Lần " &amp; ROUNDUP(Z323/20,0),"")</f>
        <v/>
      </c>
      <c r="AL323" s="6" t="n"/>
      <c r="AN323" t="inlineStr">
        <is>
          <t>HoanThien</t>
        </is>
      </c>
      <c r="AO323" t="n">
        <v>79</v>
      </c>
    </row>
    <row r="324" ht="19" customHeight="1">
      <c r="A324" s="6" t="n">
        <v>313</v>
      </c>
      <c r="B324" s="7" t="inlineStr">
        <is>
          <t>Bản mặt cầu (Deck Slab)</t>
        </is>
      </c>
      <c r="C324" s="7" t="inlineStr">
        <is>
          <t>Lưới thép BMC đổ bù</t>
        </is>
      </c>
      <c r="D324" s="18" t="inlineStr">
        <is>
          <t>S2</t>
        </is>
      </c>
      <c r="E324" s="19" t="n">
        <v>18</v>
      </c>
      <c r="F324" s="6" t="inlineStr">
        <is>
          <t>CB400-V</t>
        </is>
      </c>
      <c r="G324" s="7" t="inlineStr">
        <is>
          <t>S01</t>
        </is>
      </c>
      <c r="H324" s="20" t="n">
        <v>13.135</v>
      </c>
      <c r="I324" s="21" t="n">
        <v>490</v>
      </c>
      <c r="J324" s="22" t="n">
        <v>1.998</v>
      </c>
      <c r="K324" s="9">
        <f>ROUND(H324*I324*J324, 2)</f>
        <v/>
      </c>
      <c r="L324" s="23">
        <f>ROUND(K324/1000, 3)</f>
        <v/>
      </c>
      <c r="M324" s="8">
        <f>IF(AO324="","",IF(INDEX(Theo_Doi_Tan_Suat_Be_Tong!$C:$C,AO324)="","",INDEX(Theo_Doi_Tan_Suat_Be_Tong!$C:$C,AO324)-VLOOKUP(AN324,$AQ$2:$AR$7,2,FALSE)))</f>
        <v/>
      </c>
      <c r="N324" s="6" t="n"/>
      <c r="O324" s="24">
        <f>IF(ROUNDUP(T324/20,0)&gt;ROUNDUP(T323/20,0),"TN Ø18 (Lần " &amp; ROUNDUP(T324/20,0) &amp; ")","")</f>
        <v/>
      </c>
      <c r="P324" s="20">
        <f>ROUND(P323+IF(AND(E324&lt;=10,F324&lt;&gt;"ASTM A416"),L324,0),3)</f>
        <v/>
      </c>
      <c r="Q324" s="20">
        <f>ROUND(Q323+IF(AND(E324=12,F324&lt;&gt;"ASTM A416"),L324,0),3)</f>
        <v/>
      </c>
      <c r="R324" s="20">
        <f>ROUND(R323+IF(AND(E324=14,F324&lt;&gt;"ASTM A416"),L324,0),3)</f>
        <v/>
      </c>
      <c r="S324" s="20">
        <f>ROUND(S323+IF(AND(E324=16,F324&lt;&gt;"ASTM A416"),L324,0),3)</f>
        <v/>
      </c>
      <c r="T324" s="20">
        <f>ROUND(T323+IF(AND(E324=18,F324&lt;&gt;"ASTM A416"),L324,0),3)</f>
        <v/>
      </c>
      <c r="U324" s="20">
        <f>ROUND(U323+IF(AND(E324=20,F324&lt;&gt;"ASTM A416"),L324,0),3)</f>
        <v/>
      </c>
      <c r="V324" s="20">
        <f>ROUND(V323+IF(AND(E324=22,F324&lt;&gt;"ASTM A416"),L324,0),3)</f>
        <v/>
      </c>
      <c r="W324" s="20">
        <f>ROUND(W323+IF(AND(E324=25,F324&lt;&gt;"ASTM A416"),L324,0),3)</f>
        <v/>
      </c>
      <c r="X324" s="20">
        <f>ROUND(X323+IF(AND(E324=28,F324&lt;&gt;"ASTM A416"),L324,0),3)</f>
        <v/>
      </c>
      <c r="Y324" s="20">
        <f>ROUND(Y323+IF(AND(E324=32,F324&lt;&gt;"ASTM A416"),L324,0),3)</f>
        <v/>
      </c>
      <c r="Z324" s="20">
        <f>ROUND(Z323+IF(F324="ASTM A416",L324,0),3)</f>
        <v/>
      </c>
      <c r="AA324" s="11">
        <f>IF(ROUNDUP(P324/20,0)&gt;ROUNDUP(P323/20,0),"Lần " &amp; ROUNDUP(P324/20,0),"")</f>
        <v/>
      </c>
      <c r="AB324" s="11">
        <f>IF(ROUNDUP(Q324/20,0)&gt;ROUNDUP(Q323/20,0),"Lần " &amp; ROUNDUP(Q324/20,0),"")</f>
        <v/>
      </c>
      <c r="AC324" s="11">
        <f>IF(ROUNDUP(R324/20,0)&gt;ROUNDUP(R323/20,0),"Lần " &amp; ROUNDUP(R324/20,0),"")</f>
        <v/>
      </c>
      <c r="AD324" s="11">
        <f>IF(ROUNDUP(S324/20,0)&gt;ROUNDUP(S323/20,0),"Lần " &amp; ROUNDUP(S324/20,0),"")</f>
        <v/>
      </c>
      <c r="AE324" s="11">
        <f>IF(ROUNDUP(T324/20,0)&gt;ROUNDUP(T323/20,0),"Lần " &amp; ROUNDUP(T324/20,0),"")</f>
        <v/>
      </c>
      <c r="AF324" s="11">
        <f>IF(ROUNDUP(U324/20,0)&gt;ROUNDUP(U323/20,0),"Lần " &amp; ROUNDUP(U324/20,0),"")</f>
        <v/>
      </c>
      <c r="AG324" s="11">
        <f>IF(ROUNDUP(V324/20,0)&gt;ROUNDUP(V323/20,0),"Lần " &amp; ROUNDUP(V324/20,0),"")</f>
        <v/>
      </c>
      <c r="AH324" s="11">
        <f>IF(ROUNDUP(W324/20,0)&gt;ROUNDUP(W323/20,0),"Lần " &amp; ROUNDUP(W324/20,0),"")</f>
        <v/>
      </c>
      <c r="AI324" s="11">
        <f>IF(ROUNDUP(X324/20,0)&gt;ROUNDUP(X323/20,0),"Lần " &amp; ROUNDUP(X324/20,0),"")</f>
        <v/>
      </c>
      <c r="AJ324" s="11">
        <f>IF(ROUNDUP(Y324/20,0)&gt;ROUNDUP(Y323/20,0),"Lần " &amp; ROUNDUP(Y324/20,0),"")</f>
        <v/>
      </c>
      <c r="AK324" s="11">
        <f>IF(ROUNDUP(Z324/20,0)&gt;ROUNDUP(Z323/20,0),"Lần " &amp; ROUNDUP(Z324/20,0),"")</f>
        <v/>
      </c>
      <c r="AL324" s="6" t="n"/>
      <c r="AN324" t="inlineStr">
        <is>
          <t>HoanThien</t>
        </is>
      </c>
      <c r="AO324" t="n">
        <v>79</v>
      </c>
    </row>
    <row r="325" ht="19" customHeight="1">
      <c r="A325" s="6" t="n">
        <v>314</v>
      </c>
      <c r="B325" s="7" t="inlineStr">
        <is>
          <t>Bản mặt cầu (Deck Slab)</t>
        </is>
      </c>
      <c r="C325" s="7" t="inlineStr">
        <is>
          <t>Lưới thép BMC đổ bù</t>
        </is>
      </c>
      <c r="D325" s="18" t="inlineStr">
        <is>
          <t>S3</t>
        </is>
      </c>
      <c r="E325" s="19" t="n">
        <v>10</v>
      </c>
      <c r="F325" s="6" t="inlineStr">
        <is>
          <t>CB240-T</t>
        </is>
      </c>
      <c r="G325" s="7" t="inlineStr">
        <is>
          <t>S01</t>
        </is>
      </c>
      <c r="H325" s="20" t="n">
        <v>0.33</v>
      </c>
      <c r="I325" s="21" t="n">
        <v>2420</v>
      </c>
      <c r="J325" s="22" t="n">
        <v>0.617</v>
      </c>
      <c r="K325" s="9">
        <f>ROUND(H325*I325*J325, 2)</f>
        <v/>
      </c>
      <c r="L325" s="23">
        <f>ROUND(K325/1000, 3)</f>
        <v/>
      </c>
      <c r="M325" s="8">
        <f>IF(AO325="","",IF(INDEX(Theo_Doi_Tan_Suat_Be_Tong!$C:$C,AO325)="","",INDEX(Theo_Doi_Tan_Suat_Be_Tong!$C:$C,AO325)-VLOOKUP(AN325,$AQ$2:$AR$7,2,FALSE)))</f>
        <v/>
      </c>
      <c r="N325" s="6" t="n"/>
      <c r="O325" s="24">
        <f>IF(ROUNDUP(P325/20,0)&gt;ROUNDUP(P324/20,0),"TN Ø10 (Lần " &amp; ROUNDUP(P325/20,0) &amp; ")","")</f>
        <v/>
      </c>
      <c r="P325" s="20">
        <f>ROUND(P324+IF(AND(E325&lt;=10,F325&lt;&gt;"ASTM A416"),L325,0),3)</f>
        <v/>
      </c>
      <c r="Q325" s="20">
        <f>ROUND(Q324+IF(AND(E325=12,F325&lt;&gt;"ASTM A416"),L325,0),3)</f>
        <v/>
      </c>
      <c r="R325" s="20">
        <f>ROUND(R324+IF(AND(E325=14,F325&lt;&gt;"ASTM A416"),L325,0),3)</f>
        <v/>
      </c>
      <c r="S325" s="20">
        <f>ROUND(S324+IF(AND(E325=16,F325&lt;&gt;"ASTM A416"),L325,0),3)</f>
        <v/>
      </c>
      <c r="T325" s="20">
        <f>ROUND(T324+IF(AND(E325=18,F325&lt;&gt;"ASTM A416"),L325,0),3)</f>
        <v/>
      </c>
      <c r="U325" s="20">
        <f>ROUND(U324+IF(AND(E325=20,F325&lt;&gt;"ASTM A416"),L325,0),3)</f>
        <v/>
      </c>
      <c r="V325" s="20">
        <f>ROUND(V324+IF(AND(E325=22,F325&lt;&gt;"ASTM A416"),L325,0),3)</f>
        <v/>
      </c>
      <c r="W325" s="20">
        <f>ROUND(W324+IF(AND(E325=25,F325&lt;&gt;"ASTM A416"),L325,0),3)</f>
        <v/>
      </c>
      <c r="X325" s="20">
        <f>ROUND(X324+IF(AND(E325=28,F325&lt;&gt;"ASTM A416"),L325,0),3)</f>
        <v/>
      </c>
      <c r="Y325" s="20">
        <f>ROUND(Y324+IF(AND(E325=32,F325&lt;&gt;"ASTM A416"),L325,0),3)</f>
        <v/>
      </c>
      <c r="Z325" s="20">
        <f>ROUND(Z324+IF(F325="ASTM A416",L325,0),3)</f>
        <v/>
      </c>
      <c r="AA325" s="11">
        <f>IF(ROUNDUP(P325/20,0)&gt;ROUNDUP(P324/20,0),"Lần " &amp; ROUNDUP(P325/20,0),"")</f>
        <v/>
      </c>
      <c r="AB325" s="11">
        <f>IF(ROUNDUP(Q325/20,0)&gt;ROUNDUP(Q324/20,0),"Lần " &amp; ROUNDUP(Q325/20,0),"")</f>
        <v/>
      </c>
      <c r="AC325" s="11">
        <f>IF(ROUNDUP(R325/20,0)&gt;ROUNDUP(R324/20,0),"Lần " &amp; ROUNDUP(R325/20,0),"")</f>
        <v/>
      </c>
      <c r="AD325" s="11">
        <f>IF(ROUNDUP(S325/20,0)&gt;ROUNDUP(S324/20,0),"Lần " &amp; ROUNDUP(S325/20,0),"")</f>
        <v/>
      </c>
      <c r="AE325" s="11">
        <f>IF(ROUNDUP(T325/20,0)&gt;ROUNDUP(T324/20,0),"Lần " &amp; ROUNDUP(T325/20,0),"")</f>
        <v/>
      </c>
      <c r="AF325" s="11">
        <f>IF(ROUNDUP(U325/20,0)&gt;ROUNDUP(U324/20,0),"Lần " &amp; ROUNDUP(U325/20,0),"")</f>
        <v/>
      </c>
      <c r="AG325" s="11">
        <f>IF(ROUNDUP(V325/20,0)&gt;ROUNDUP(V324/20,0),"Lần " &amp; ROUNDUP(V325/20,0),"")</f>
        <v/>
      </c>
      <c r="AH325" s="11">
        <f>IF(ROUNDUP(W325/20,0)&gt;ROUNDUP(W324/20,0),"Lần " &amp; ROUNDUP(W325/20,0),"")</f>
        <v/>
      </c>
      <c r="AI325" s="11">
        <f>IF(ROUNDUP(X325/20,0)&gt;ROUNDUP(X324/20,0),"Lần " &amp; ROUNDUP(X325/20,0),"")</f>
        <v/>
      </c>
      <c r="AJ325" s="11">
        <f>IF(ROUNDUP(Y325/20,0)&gt;ROUNDUP(Y324/20,0),"Lần " &amp; ROUNDUP(Y325/20,0),"")</f>
        <v/>
      </c>
      <c r="AK325" s="11">
        <f>IF(ROUNDUP(Z325/20,0)&gt;ROUNDUP(Z324/20,0),"Lần " &amp; ROUNDUP(Z325/20,0),"")</f>
        <v/>
      </c>
      <c r="AL325" s="6" t="n"/>
      <c r="AN325" t="inlineStr">
        <is>
          <t>HoanThien</t>
        </is>
      </c>
      <c r="AO325" t="n">
        <v>79</v>
      </c>
    </row>
    <row r="326" ht="19" customHeight="1">
      <c r="A326" s="6" t="n">
        <v>315</v>
      </c>
      <c r="B326" s="7" t="inlineStr">
        <is>
          <t>Bản mặt cầu (Deck Slab)</t>
        </is>
      </c>
      <c r="C326" s="7" t="inlineStr">
        <is>
          <t>Lưới thép BMC đổ bù</t>
        </is>
      </c>
      <c r="D326" s="18" t="inlineStr">
        <is>
          <t>S4</t>
        </is>
      </c>
      <c r="E326" s="19" t="n">
        <v>18</v>
      </c>
      <c r="F326" s="6" t="inlineStr">
        <is>
          <t>CB400-V</t>
        </is>
      </c>
      <c r="G326" s="7" t="inlineStr">
        <is>
          <t>S01</t>
        </is>
      </c>
      <c r="H326" s="20" t="n">
        <v>2.1</v>
      </c>
      <c r="I326" s="21" t="n">
        <v>980</v>
      </c>
      <c r="J326" s="22" t="n">
        <v>1.998</v>
      </c>
      <c r="K326" s="9">
        <f>ROUND(H326*I326*J326, 2)</f>
        <v/>
      </c>
      <c r="L326" s="23">
        <f>ROUND(K326/1000, 3)</f>
        <v/>
      </c>
      <c r="M326" s="8">
        <f>IF(AO326="","",IF(INDEX(Theo_Doi_Tan_Suat_Be_Tong!$C:$C,AO326)="","",INDEX(Theo_Doi_Tan_Suat_Be_Tong!$C:$C,AO326)-VLOOKUP(AN326,$AQ$2:$AR$7,2,FALSE)))</f>
        <v/>
      </c>
      <c r="N326" s="6" t="n"/>
      <c r="O326" s="24">
        <f>IF(ROUNDUP(T326/20,0)&gt;ROUNDUP(T325/20,0),"TN Ø18 (Lần " &amp; ROUNDUP(T326/20,0) &amp; ")","")</f>
        <v/>
      </c>
      <c r="P326" s="20">
        <f>ROUND(P325+IF(AND(E326&lt;=10,F326&lt;&gt;"ASTM A416"),L326,0),3)</f>
        <v/>
      </c>
      <c r="Q326" s="20">
        <f>ROUND(Q325+IF(AND(E326=12,F326&lt;&gt;"ASTM A416"),L326,0),3)</f>
        <v/>
      </c>
      <c r="R326" s="20">
        <f>ROUND(R325+IF(AND(E326=14,F326&lt;&gt;"ASTM A416"),L326,0),3)</f>
        <v/>
      </c>
      <c r="S326" s="20">
        <f>ROUND(S325+IF(AND(E326=16,F326&lt;&gt;"ASTM A416"),L326,0),3)</f>
        <v/>
      </c>
      <c r="T326" s="20">
        <f>ROUND(T325+IF(AND(E326=18,F326&lt;&gt;"ASTM A416"),L326,0),3)</f>
        <v/>
      </c>
      <c r="U326" s="20">
        <f>ROUND(U325+IF(AND(E326=20,F326&lt;&gt;"ASTM A416"),L326,0),3)</f>
        <v/>
      </c>
      <c r="V326" s="20">
        <f>ROUND(V325+IF(AND(E326=22,F326&lt;&gt;"ASTM A416"),L326,0),3)</f>
        <v/>
      </c>
      <c r="W326" s="20">
        <f>ROUND(W325+IF(AND(E326=25,F326&lt;&gt;"ASTM A416"),L326,0),3)</f>
        <v/>
      </c>
      <c r="X326" s="20">
        <f>ROUND(X325+IF(AND(E326=28,F326&lt;&gt;"ASTM A416"),L326,0),3)</f>
        <v/>
      </c>
      <c r="Y326" s="20">
        <f>ROUND(Y325+IF(AND(E326=32,F326&lt;&gt;"ASTM A416"),L326,0),3)</f>
        <v/>
      </c>
      <c r="Z326" s="20">
        <f>ROUND(Z325+IF(F326="ASTM A416",L326,0),3)</f>
        <v/>
      </c>
      <c r="AA326" s="11">
        <f>IF(ROUNDUP(P326/20,0)&gt;ROUNDUP(P325/20,0),"Lần " &amp; ROUNDUP(P326/20,0),"")</f>
        <v/>
      </c>
      <c r="AB326" s="11">
        <f>IF(ROUNDUP(Q326/20,0)&gt;ROUNDUP(Q325/20,0),"Lần " &amp; ROUNDUP(Q326/20,0),"")</f>
        <v/>
      </c>
      <c r="AC326" s="11">
        <f>IF(ROUNDUP(R326/20,0)&gt;ROUNDUP(R325/20,0),"Lần " &amp; ROUNDUP(R326/20,0),"")</f>
        <v/>
      </c>
      <c r="AD326" s="11">
        <f>IF(ROUNDUP(S326/20,0)&gt;ROUNDUP(S325/20,0),"Lần " &amp; ROUNDUP(S326/20,0),"")</f>
        <v/>
      </c>
      <c r="AE326" s="11">
        <f>IF(ROUNDUP(T326/20,0)&gt;ROUNDUP(T325/20,0),"Lần " &amp; ROUNDUP(T326/20,0),"")</f>
        <v/>
      </c>
      <c r="AF326" s="11">
        <f>IF(ROUNDUP(U326/20,0)&gt;ROUNDUP(U325/20,0),"Lần " &amp; ROUNDUP(U326/20,0),"")</f>
        <v/>
      </c>
      <c r="AG326" s="11">
        <f>IF(ROUNDUP(V326/20,0)&gt;ROUNDUP(V325/20,0),"Lần " &amp; ROUNDUP(V326/20,0),"")</f>
        <v/>
      </c>
      <c r="AH326" s="11">
        <f>IF(ROUNDUP(W326/20,0)&gt;ROUNDUP(W325/20,0),"Lần " &amp; ROUNDUP(W326/20,0),"")</f>
        <v/>
      </c>
      <c r="AI326" s="11">
        <f>IF(ROUNDUP(X326/20,0)&gt;ROUNDUP(X325/20,0),"Lần " &amp; ROUNDUP(X326/20,0),"")</f>
        <v/>
      </c>
      <c r="AJ326" s="11">
        <f>IF(ROUNDUP(Y326/20,0)&gt;ROUNDUP(Y325/20,0),"Lần " &amp; ROUNDUP(Y326/20,0),"")</f>
        <v/>
      </c>
      <c r="AK326" s="11">
        <f>IF(ROUNDUP(Z326/20,0)&gt;ROUNDUP(Z325/20,0),"Lần " &amp; ROUNDUP(Z326/20,0),"")</f>
        <v/>
      </c>
      <c r="AL326" s="6" t="n"/>
      <c r="AN326" t="inlineStr">
        <is>
          <t>HoanThien</t>
        </is>
      </c>
      <c r="AO326" t="n">
        <v>79</v>
      </c>
    </row>
    <row r="327" ht="19" customHeight="1">
      <c r="A327" s="6" t="n">
        <v>316</v>
      </c>
      <c r="B327" s="7" t="inlineStr">
        <is>
          <t>Bản mặt cầu (Deck Slab)</t>
        </is>
      </c>
      <c r="C327" s="7" t="inlineStr">
        <is>
          <t>Lưới thép BMC đổ bù</t>
        </is>
      </c>
      <c r="D327" s="18" t="inlineStr">
        <is>
          <t>DR1</t>
        </is>
      </c>
      <c r="E327" s="19" t="n">
        <v>14</v>
      </c>
      <c r="F327" s="6" t="inlineStr">
        <is>
          <t>CB400-V</t>
        </is>
      </c>
      <c r="G327" s="7" t="inlineStr">
        <is>
          <t>S01</t>
        </is>
      </c>
      <c r="H327" s="20" t="n">
        <v>0.6</v>
      </c>
      <c r="I327" s="21" t="n">
        <v>64</v>
      </c>
      <c r="J327" s="22" t="n">
        <v>1.208</v>
      </c>
      <c r="K327" s="9">
        <f>ROUND(H327*I327*J327, 2)</f>
        <v/>
      </c>
      <c r="L327" s="23">
        <f>ROUND(K327/1000, 3)</f>
        <v/>
      </c>
      <c r="M327" s="8">
        <f>IF(AO327="","",IF(INDEX(Theo_Doi_Tan_Suat_Be_Tong!$C:$C,AO327)="","",INDEX(Theo_Doi_Tan_Suat_Be_Tong!$C:$C,AO327)-VLOOKUP(AN327,$AQ$2:$AR$7,2,FALSE)))</f>
        <v/>
      </c>
      <c r="N327" s="6" t="n"/>
      <c r="O327" s="24">
        <f>IF(ROUNDUP(R327/20,0)&gt;ROUNDUP(R326/20,0),"TN Ø14 (Lần " &amp; ROUNDUP(R327/20,0) &amp; ")","")</f>
        <v/>
      </c>
      <c r="P327" s="20">
        <f>ROUND(P326+IF(AND(E327&lt;=10,F327&lt;&gt;"ASTM A416"),L327,0),3)</f>
        <v/>
      </c>
      <c r="Q327" s="20">
        <f>ROUND(Q326+IF(AND(E327=12,F327&lt;&gt;"ASTM A416"),L327,0),3)</f>
        <v/>
      </c>
      <c r="R327" s="20">
        <f>ROUND(R326+IF(AND(E327=14,F327&lt;&gt;"ASTM A416"),L327,0),3)</f>
        <v/>
      </c>
      <c r="S327" s="20">
        <f>ROUND(S326+IF(AND(E327=16,F327&lt;&gt;"ASTM A416"),L327,0),3)</f>
        <v/>
      </c>
      <c r="T327" s="20">
        <f>ROUND(T326+IF(AND(E327=18,F327&lt;&gt;"ASTM A416"),L327,0),3)</f>
        <v/>
      </c>
      <c r="U327" s="20">
        <f>ROUND(U326+IF(AND(E327=20,F327&lt;&gt;"ASTM A416"),L327,0),3)</f>
        <v/>
      </c>
      <c r="V327" s="20">
        <f>ROUND(V326+IF(AND(E327=22,F327&lt;&gt;"ASTM A416"),L327,0),3)</f>
        <v/>
      </c>
      <c r="W327" s="20">
        <f>ROUND(W326+IF(AND(E327=25,F327&lt;&gt;"ASTM A416"),L327,0),3)</f>
        <v/>
      </c>
      <c r="X327" s="20">
        <f>ROUND(X326+IF(AND(E327=28,F327&lt;&gt;"ASTM A416"),L327,0),3)</f>
        <v/>
      </c>
      <c r="Y327" s="20">
        <f>ROUND(Y326+IF(AND(E327=32,F327&lt;&gt;"ASTM A416"),L327,0),3)</f>
        <v/>
      </c>
      <c r="Z327" s="20">
        <f>ROUND(Z326+IF(F327="ASTM A416",L327,0),3)</f>
        <v/>
      </c>
      <c r="AA327" s="11">
        <f>IF(ROUNDUP(P327/20,0)&gt;ROUNDUP(P326/20,0),"Lần " &amp; ROUNDUP(P327/20,0),"")</f>
        <v/>
      </c>
      <c r="AB327" s="11">
        <f>IF(ROUNDUP(Q327/20,0)&gt;ROUNDUP(Q326/20,0),"Lần " &amp; ROUNDUP(Q327/20,0),"")</f>
        <v/>
      </c>
      <c r="AC327" s="11">
        <f>IF(ROUNDUP(R327/20,0)&gt;ROUNDUP(R326/20,0),"Lần " &amp; ROUNDUP(R327/20,0),"")</f>
        <v/>
      </c>
      <c r="AD327" s="11">
        <f>IF(ROUNDUP(S327/20,0)&gt;ROUNDUP(S326/20,0),"Lần " &amp; ROUNDUP(S327/20,0),"")</f>
        <v/>
      </c>
      <c r="AE327" s="11">
        <f>IF(ROUNDUP(T327/20,0)&gt;ROUNDUP(T326/20,0),"Lần " &amp; ROUNDUP(T327/20,0),"")</f>
        <v/>
      </c>
      <c r="AF327" s="11">
        <f>IF(ROUNDUP(U327/20,0)&gt;ROUNDUP(U326/20,0),"Lần " &amp; ROUNDUP(U327/20,0),"")</f>
        <v/>
      </c>
      <c r="AG327" s="11">
        <f>IF(ROUNDUP(V327/20,0)&gt;ROUNDUP(V326/20,0),"Lần " &amp; ROUNDUP(V327/20,0),"")</f>
        <v/>
      </c>
      <c r="AH327" s="11">
        <f>IF(ROUNDUP(W327/20,0)&gt;ROUNDUP(W326/20,0),"Lần " &amp; ROUNDUP(W327/20,0),"")</f>
        <v/>
      </c>
      <c r="AI327" s="11">
        <f>IF(ROUNDUP(X327/20,0)&gt;ROUNDUP(X326/20,0),"Lần " &amp; ROUNDUP(X327/20,0),"")</f>
        <v/>
      </c>
      <c r="AJ327" s="11">
        <f>IF(ROUNDUP(Y327/20,0)&gt;ROUNDUP(Y326/20,0),"Lần " &amp; ROUNDUP(Y327/20,0),"")</f>
        <v/>
      </c>
      <c r="AK327" s="11">
        <f>IF(ROUNDUP(Z327/20,0)&gt;ROUNDUP(Z326/20,0),"Lần " &amp; ROUNDUP(Z327/20,0),"")</f>
        <v/>
      </c>
      <c r="AL327" s="6" t="n"/>
      <c r="AN327" t="inlineStr">
        <is>
          <t>HoanThien</t>
        </is>
      </c>
      <c r="AO327" t="n">
        <v>79</v>
      </c>
    </row>
    <row r="328" ht="19" customHeight="1">
      <c r="A328" s="6" t="n">
        <v>317</v>
      </c>
      <c r="B328" s="7" t="inlineStr">
        <is>
          <t>Bản mặt cầu (Deck Slab)</t>
        </is>
      </c>
      <c r="C328" s="7" t="inlineStr">
        <is>
          <t>Lưới thép BMC đổ bù</t>
        </is>
      </c>
      <c r="D328" s="18" t="inlineStr">
        <is>
          <t>DR2</t>
        </is>
      </c>
      <c r="E328" s="19" t="n">
        <v>14</v>
      </c>
      <c r="F328" s="6" t="inlineStr">
        <is>
          <t>CB400-V</t>
        </is>
      </c>
      <c r="G328" s="7" t="inlineStr">
        <is>
          <t>S01</t>
        </is>
      </c>
      <c r="H328" s="20" t="n">
        <v>1.3</v>
      </c>
      <c r="I328" s="21" t="n">
        <v>32</v>
      </c>
      <c r="J328" s="22" t="n">
        <v>1.208</v>
      </c>
      <c r="K328" s="9">
        <f>ROUND(H328*I328*J328, 2)</f>
        <v/>
      </c>
      <c r="L328" s="23">
        <f>ROUND(K328/1000, 3)</f>
        <v/>
      </c>
      <c r="M328" s="8">
        <f>IF(AO328="","",IF(INDEX(Theo_Doi_Tan_Suat_Be_Tong!$C:$C,AO328)="","",INDEX(Theo_Doi_Tan_Suat_Be_Tong!$C:$C,AO328)-VLOOKUP(AN328,$AQ$2:$AR$7,2,FALSE)))</f>
        <v/>
      </c>
      <c r="N328" s="6" t="n"/>
      <c r="O328" s="24">
        <f>IF(ROUNDUP(R328/20,0)&gt;ROUNDUP(R327/20,0),"TN Ø14 (Lần " &amp; ROUNDUP(R328/20,0) &amp; ")","")</f>
        <v/>
      </c>
      <c r="P328" s="20">
        <f>ROUND(P327+IF(AND(E328&lt;=10,F328&lt;&gt;"ASTM A416"),L328,0),3)</f>
        <v/>
      </c>
      <c r="Q328" s="20">
        <f>ROUND(Q327+IF(AND(E328=12,F328&lt;&gt;"ASTM A416"),L328,0),3)</f>
        <v/>
      </c>
      <c r="R328" s="20">
        <f>ROUND(R327+IF(AND(E328=14,F328&lt;&gt;"ASTM A416"),L328,0),3)</f>
        <v/>
      </c>
      <c r="S328" s="20">
        <f>ROUND(S327+IF(AND(E328=16,F328&lt;&gt;"ASTM A416"),L328,0),3)</f>
        <v/>
      </c>
      <c r="T328" s="20">
        <f>ROUND(T327+IF(AND(E328=18,F328&lt;&gt;"ASTM A416"),L328,0),3)</f>
        <v/>
      </c>
      <c r="U328" s="20">
        <f>ROUND(U327+IF(AND(E328=20,F328&lt;&gt;"ASTM A416"),L328,0),3)</f>
        <v/>
      </c>
      <c r="V328" s="20">
        <f>ROUND(V327+IF(AND(E328=22,F328&lt;&gt;"ASTM A416"),L328,0),3)</f>
        <v/>
      </c>
      <c r="W328" s="20">
        <f>ROUND(W327+IF(AND(E328=25,F328&lt;&gt;"ASTM A416"),L328,0),3)</f>
        <v/>
      </c>
      <c r="X328" s="20">
        <f>ROUND(X327+IF(AND(E328=28,F328&lt;&gt;"ASTM A416"),L328,0),3)</f>
        <v/>
      </c>
      <c r="Y328" s="20">
        <f>ROUND(Y327+IF(AND(E328=32,F328&lt;&gt;"ASTM A416"),L328,0),3)</f>
        <v/>
      </c>
      <c r="Z328" s="20">
        <f>ROUND(Z327+IF(F328="ASTM A416",L328,0),3)</f>
        <v/>
      </c>
      <c r="AA328" s="11">
        <f>IF(ROUNDUP(P328/20,0)&gt;ROUNDUP(P327/20,0),"Lần " &amp; ROUNDUP(P328/20,0),"")</f>
        <v/>
      </c>
      <c r="AB328" s="11">
        <f>IF(ROUNDUP(Q328/20,0)&gt;ROUNDUP(Q327/20,0),"Lần " &amp; ROUNDUP(Q328/20,0),"")</f>
        <v/>
      </c>
      <c r="AC328" s="11">
        <f>IF(ROUNDUP(R328/20,0)&gt;ROUNDUP(R327/20,0),"Lần " &amp; ROUNDUP(R328/20,0),"")</f>
        <v/>
      </c>
      <c r="AD328" s="11">
        <f>IF(ROUNDUP(S328/20,0)&gt;ROUNDUP(S327/20,0),"Lần " &amp; ROUNDUP(S328/20,0),"")</f>
        <v/>
      </c>
      <c r="AE328" s="11">
        <f>IF(ROUNDUP(T328/20,0)&gt;ROUNDUP(T327/20,0),"Lần " &amp; ROUNDUP(T328/20,0),"")</f>
        <v/>
      </c>
      <c r="AF328" s="11">
        <f>IF(ROUNDUP(U328/20,0)&gt;ROUNDUP(U327/20,0),"Lần " &amp; ROUNDUP(U328/20,0),"")</f>
        <v/>
      </c>
      <c r="AG328" s="11">
        <f>IF(ROUNDUP(V328/20,0)&gt;ROUNDUP(V327/20,0),"Lần " &amp; ROUNDUP(V328/20,0),"")</f>
        <v/>
      </c>
      <c r="AH328" s="11">
        <f>IF(ROUNDUP(W328/20,0)&gt;ROUNDUP(W327/20,0),"Lần " &amp; ROUNDUP(W328/20,0),"")</f>
        <v/>
      </c>
      <c r="AI328" s="11">
        <f>IF(ROUNDUP(X328/20,0)&gt;ROUNDUP(X327/20,0),"Lần " &amp; ROUNDUP(X328/20,0),"")</f>
        <v/>
      </c>
      <c r="AJ328" s="11">
        <f>IF(ROUNDUP(Y328/20,0)&gt;ROUNDUP(Y327/20,0),"Lần " &amp; ROUNDUP(Y328/20,0),"")</f>
        <v/>
      </c>
      <c r="AK328" s="11">
        <f>IF(ROUNDUP(Z328/20,0)&gt;ROUNDUP(Z327/20,0),"Lần " &amp; ROUNDUP(Z328/20,0),"")</f>
        <v/>
      </c>
      <c r="AL328" s="6" t="n"/>
      <c r="AN328" t="inlineStr">
        <is>
          <t>HoanThien</t>
        </is>
      </c>
      <c r="AO328" t="n">
        <v>79</v>
      </c>
    </row>
    <row r="329" ht="19" customHeight="1">
      <c r="A329" s="6" t="n">
        <v>318</v>
      </c>
      <c r="B329" s="7" t="inlineStr">
        <is>
          <t>Bản mặt cầu (Deck Slab)</t>
        </is>
      </c>
      <c r="C329" s="7" t="inlineStr">
        <is>
          <t>Lưới thép BMC đổ bù</t>
        </is>
      </c>
      <c r="D329" s="18" t="inlineStr">
        <is>
          <t>DR3</t>
        </is>
      </c>
      <c r="E329" s="19" t="n">
        <v>14</v>
      </c>
      <c r="F329" s="6" t="inlineStr">
        <is>
          <t>CB400-V</t>
        </is>
      </c>
      <c r="G329" s="7" t="inlineStr">
        <is>
          <t>S01</t>
        </is>
      </c>
      <c r="H329" s="20" t="n">
        <v>0.9</v>
      </c>
      <c r="I329" s="21" t="n">
        <v>64</v>
      </c>
      <c r="J329" s="22" t="n">
        <v>1.208</v>
      </c>
      <c r="K329" s="9">
        <f>ROUND(H329*I329*J329, 2)</f>
        <v/>
      </c>
      <c r="L329" s="23">
        <f>ROUND(K329/1000, 3)</f>
        <v/>
      </c>
      <c r="M329" s="8">
        <f>IF(AO329="","",IF(INDEX(Theo_Doi_Tan_Suat_Be_Tong!$C:$C,AO329)="","",INDEX(Theo_Doi_Tan_Suat_Be_Tong!$C:$C,AO329)-VLOOKUP(AN329,$AQ$2:$AR$7,2,FALSE)))</f>
        <v/>
      </c>
      <c r="N329" s="6" t="n"/>
      <c r="O329" s="24">
        <f>IF(ROUNDUP(R329/20,0)&gt;ROUNDUP(R328/20,0),"TN Ø14 (Lần " &amp; ROUNDUP(R329/20,0) &amp; ")","")</f>
        <v/>
      </c>
      <c r="P329" s="20">
        <f>ROUND(P328+IF(AND(E329&lt;=10,F329&lt;&gt;"ASTM A416"),L329,0),3)</f>
        <v/>
      </c>
      <c r="Q329" s="20">
        <f>ROUND(Q328+IF(AND(E329=12,F329&lt;&gt;"ASTM A416"),L329,0),3)</f>
        <v/>
      </c>
      <c r="R329" s="20">
        <f>ROUND(R328+IF(AND(E329=14,F329&lt;&gt;"ASTM A416"),L329,0),3)</f>
        <v/>
      </c>
      <c r="S329" s="20">
        <f>ROUND(S328+IF(AND(E329=16,F329&lt;&gt;"ASTM A416"),L329,0),3)</f>
        <v/>
      </c>
      <c r="T329" s="20">
        <f>ROUND(T328+IF(AND(E329=18,F329&lt;&gt;"ASTM A416"),L329,0),3)</f>
        <v/>
      </c>
      <c r="U329" s="20">
        <f>ROUND(U328+IF(AND(E329=20,F329&lt;&gt;"ASTM A416"),L329,0),3)</f>
        <v/>
      </c>
      <c r="V329" s="20">
        <f>ROUND(V328+IF(AND(E329=22,F329&lt;&gt;"ASTM A416"),L329,0),3)</f>
        <v/>
      </c>
      <c r="W329" s="20">
        <f>ROUND(W328+IF(AND(E329=25,F329&lt;&gt;"ASTM A416"),L329,0),3)</f>
        <v/>
      </c>
      <c r="X329" s="20">
        <f>ROUND(X328+IF(AND(E329=28,F329&lt;&gt;"ASTM A416"),L329,0),3)</f>
        <v/>
      </c>
      <c r="Y329" s="20">
        <f>ROUND(Y328+IF(AND(E329=32,F329&lt;&gt;"ASTM A416"),L329,0),3)</f>
        <v/>
      </c>
      <c r="Z329" s="20">
        <f>ROUND(Z328+IF(F329="ASTM A416",L329,0),3)</f>
        <v/>
      </c>
      <c r="AA329" s="11">
        <f>IF(ROUNDUP(P329/20,0)&gt;ROUNDUP(P328/20,0),"Lần " &amp; ROUNDUP(P329/20,0),"")</f>
        <v/>
      </c>
      <c r="AB329" s="11">
        <f>IF(ROUNDUP(Q329/20,0)&gt;ROUNDUP(Q328/20,0),"Lần " &amp; ROUNDUP(Q329/20,0),"")</f>
        <v/>
      </c>
      <c r="AC329" s="11">
        <f>IF(ROUNDUP(R329/20,0)&gt;ROUNDUP(R328/20,0),"Lần " &amp; ROUNDUP(R329/20,0),"")</f>
        <v/>
      </c>
      <c r="AD329" s="11">
        <f>IF(ROUNDUP(S329/20,0)&gt;ROUNDUP(S328/20,0),"Lần " &amp; ROUNDUP(S329/20,0),"")</f>
        <v/>
      </c>
      <c r="AE329" s="11">
        <f>IF(ROUNDUP(T329/20,0)&gt;ROUNDUP(T328/20,0),"Lần " &amp; ROUNDUP(T329/20,0),"")</f>
        <v/>
      </c>
      <c r="AF329" s="11">
        <f>IF(ROUNDUP(U329/20,0)&gt;ROUNDUP(U328/20,0),"Lần " &amp; ROUNDUP(U329/20,0),"")</f>
        <v/>
      </c>
      <c r="AG329" s="11">
        <f>IF(ROUNDUP(V329/20,0)&gt;ROUNDUP(V328/20,0),"Lần " &amp; ROUNDUP(V329/20,0),"")</f>
        <v/>
      </c>
      <c r="AH329" s="11">
        <f>IF(ROUNDUP(W329/20,0)&gt;ROUNDUP(W328/20,0),"Lần " &amp; ROUNDUP(W329/20,0),"")</f>
        <v/>
      </c>
      <c r="AI329" s="11">
        <f>IF(ROUNDUP(X329/20,0)&gt;ROUNDUP(X328/20,0),"Lần " &amp; ROUNDUP(X329/20,0),"")</f>
        <v/>
      </c>
      <c r="AJ329" s="11">
        <f>IF(ROUNDUP(Y329/20,0)&gt;ROUNDUP(Y328/20,0),"Lần " &amp; ROUNDUP(Y329/20,0),"")</f>
        <v/>
      </c>
      <c r="AK329" s="11">
        <f>IF(ROUNDUP(Z329/20,0)&gt;ROUNDUP(Z328/20,0),"Lần " &amp; ROUNDUP(Z329/20,0),"")</f>
        <v/>
      </c>
      <c r="AL329" s="6" t="n"/>
      <c r="AN329" t="inlineStr">
        <is>
          <t>HoanThien</t>
        </is>
      </c>
      <c r="AO329" t="n">
        <v>79</v>
      </c>
    </row>
    <row r="330" ht="19" customHeight="1">
      <c r="A330" s="6" t="n">
        <v>319</v>
      </c>
      <c r="B330" s="7" t="inlineStr">
        <is>
          <t>Bản mặt cầu (Deck Slab)</t>
        </is>
      </c>
      <c r="C330" s="7" t="inlineStr">
        <is>
          <t>Lưới thép BMC đổ bù</t>
        </is>
      </c>
      <c r="D330" s="18" t="inlineStr">
        <is>
          <t>S1</t>
        </is>
      </c>
      <c r="E330" s="19" t="n">
        <v>14</v>
      </c>
      <c r="F330" s="6" t="inlineStr">
        <is>
          <t>CB400-V</t>
        </is>
      </c>
      <c r="G330" s="7" t="inlineStr">
        <is>
          <t>S01</t>
        </is>
      </c>
      <c r="H330" s="20" t="n">
        <v>39.36</v>
      </c>
      <c r="I330" s="21" t="n">
        <v>168</v>
      </c>
      <c r="J330" s="22" t="n">
        <v>1.208</v>
      </c>
      <c r="K330" s="9">
        <f>ROUND(H330*I330*J330, 2)</f>
        <v/>
      </c>
      <c r="L330" s="23">
        <f>ROUND(K330/1000, 3)</f>
        <v/>
      </c>
      <c r="M330" s="8">
        <f>IF(AO330="","",IF(INDEX(Theo_Doi_Tan_Suat_Be_Tong!$C:$C,AO330)="","",INDEX(Theo_Doi_Tan_Suat_Be_Tong!$C:$C,AO330)-VLOOKUP(AN330,$AQ$2:$AR$7,2,FALSE)))</f>
        <v/>
      </c>
      <c r="N330" s="6" t="n"/>
      <c r="O330" s="24">
        <f>IF(ROUNDUP(R330/20,0)&gt;ROUNDUP(R329/20,0),"TN Ø14 (Lần " &amp; ROUNDUP(R330/20,0) &amp; ")","")</f>
        <v/>
      </c>
      <c r="P330" s="20">
        <f>ROUND(P329+IF(AND(E330&lt;=10,F330&lt;&gt;"ASTM A416"),L330,0),3)</f>
        <v/>
      </c>
      <c r="Q330" s="20">
        <f>ROUND(Q329+IF(AND(E330=12,F330&lt;&gt;"ASTM A416"),L330,0),3)</f>
        <v/>
      </c>
      <c r="R330" s="20">
        <f>ROUND(R329+IF(AND(E330=14,F330&lt;&gt;"ASTM A416"),L330,0),3)</f>
        <v/>
      </c>
      <c r="S330" s="20">
        <f>ROUND(S329+IF(AND(E330=16,F330&lt;&gt;"ASTM A416"),L330,0),3)</f>
        <v/>
      </c>
      <c r="T330" s="20">
        <f>ROUND(T329+IF(AND(E330=18,F330&lt;&gt;"ASTM A416"),L330,0),3)</f>
        <v/>
      </c>
      <c r="U330" s="20">
        <f>ROUND(U329+IF(AND(E330=20,F330&lt;&gt;"ASTM A416"),L330,0),3)</f>
        <v/>
      </c>
      <c r="V330" s="20">
        <f>ROUND(V329+IF(AND(E330=22,F330&lt;&gt;"ASTM A416"),L330,0),3)</f>
        <v/>
      </c>
      <c r="W330" s="20">
        <f>ROUND(W329+IF(AND(E330=25,F330&lt;&gt;"ASTM A416"),L330,0),3)</f>
        <v/>
      </c>
      <c r="X330" s="20">
        <f>ROUND(X329+IF(AND(E330=28,F330&lt;&gt;"ASTM A416"),L330,0),3)</f>
        <v/>
      </c>
      <c r="Y330" s="20">
        <f>ROUND(Y329+IF(AND(E330=32,F330&lt;&gt;"ASTM A416"),L330,0),3)</f>
        <v/>
      </c>
      <c r="Z330" s="20">
        <f>ROUND(Z329+IF(F330="ASTM A416",L330,0),3)</f>
        <v/>
      </c>
      <c r="AA330" s="11">
        <f>IF(ROUNDUP(P330/20,0)&gt;ROUNDUP(P329/20,0),"Lần " &amp; ROUNDUP(P330/20,0),"")</f>
        <v/>
      </c>
      <c r="AB330" s="11">
        <f>IF(ROUNDUP(Q330/20,0)&gt;ROUNDUP(Q329/20,0),"Lần " &amp; ROUNDUP(Q330/20,0),"")</f>
        <v/>
      </c>
      <c r="AC330" s="11">
        <f>IF(ROUNDUP(R330/20,0)&gt;ROUNDUP(R329/20,0),"Lần " &amp; ROUNDUP(R330/20,0),"")</f>
        <v/>
      </c>
      <c r="AD330" s="11">
        <f>IF(ROUNDUP(S330/20,0)&gt;ROUNDUP(S329/20,0),"Lần " &amp; ROUNDUP(S330/20,0),"")</f>
        <v/>
      </c>
      <c r="AE330" s="11">
        <f>IF(ROUNDUP(T330/20,0)&gt;ROUNDUP(T329/20,0),"Lần " &amp; ROUNDUP(T330/20,0),"")</f>
        <v/>
      </c>
      <c r="AF330" s="11">
        <f>IF(ROUNDUP(U330/20,0)&gt;ROUNDUP(U329/20,0),"Lần " &amp; ROUNDUP(U330/20,0),"")</f>
        <v/>
      </c>
      <c r="AG330" s="11">
        <f>IF(ROUNDUP(V330/20,0)&gt;ROUNDUP(V329/20,0),"Lần " &amp; ROUNDUP(V330/20,0),"")</f>
        <v/>
      </c>
      <c r="AH330" s="11">
        <f>IF(ROUNDUP(W330/20,0)&gt;ROUNDUP(W329/20,0),"Lần " &amp; ROUNDUP(W330/20,0),"")</f>
        <v/>
      </c>
      <c r="AI330" s="11">
        <f>IF(ROUNDUP(X330/20,0)&gt;ROUNDUP(X329/20,0),"Lần " &amp; ROUNDUP(X330/20,0),"")</f>
        <v/>
      </c>
      <c r="AJ330" s="11">
        <f>IF(ROUNDUP(Y330/20,0)&gt;ROUNDUP(Y329/20,0),"Lần " &amp; ROUNDUP(Y330/20,0),"")</f>
        <v/>
      </c>
      <c r="AK330" s="11">
        <f>IF(ROUNDUP(Z330/20,0)&gt;ROUNDUP(Z329/20,0),"Lần " &amp; ROUNDUP(Z330/20,0),"")</f>
        <v/>
      </c>
      <c r="AL330" s="6" t="n"/>
      <c r="AN330" t="inlineStr">
        <is>
          <t>HoanThien</t>
        </is>
      </c>
      <c r="AO330" t="n">
        <v>79</v>
      </c>
    </row>
    <row r="331" ht="19" customHeight="1">
      <c r="A331" s="6" t="n">
        <v>320</v>
      </c>
      <c r="B331" s="7" t="inlineStr">
        <is>
          <t>Bản mặt cầu (Deck Slab)</t>
        </is>
      </c>
      <c r="C331" s="7" t="inlineStr">
        <is>
          <t>Lưới thép BMC đổ bù</t>
        </is>
      </c>
      <c r="D331" s="18" t="inlineStr">
        <is>
          <t>S2</t>
        </is>
      </c>
      <c r="E331" s="19" t="n">
        <v>18</v>
      </c>
      <c r="F331" s="6" t="inlineStr">
        <is>
          <t>CB400-V</t>
        </is>
      </c>
      <c r="G331" s="7" t="inlineStr">
        <is>
          <t>S01</t>
        </is>
      </c>
      <c r="H331" s="20" t="n">
        <v>13.135</v>
      </c>
      <c r="I331" s="21" t="n">
        <v>480</v>
      </c>
      <c r="J331" s="22" t="n">
        <v>1.998</v>
      </c>
      <c r="K331" s="9">
        <f>ROUND(H331*I331*J331, 2)</f>
        <v/>
      </c>
      <c r="L331" s="23">
        <f>ROUND(K331/1000, 3)</f>
        <v/>
      </c>
      <c r="M331" s="8">
        <f>IF(AO331="","",IF(INDEX(Theo_Doi_Tan_Suat_Be_Tong!$C:$C,AO331)="","",INDEX(Theo_Doi_Tan_Suat_Be_Tong!$C:$C,AO331)-VLOOKUP(AN331,$AQ$2:$AR$7,2,FALSE)))</f>
        <v/>
      </c>
      <c r="N331" s="6" t="n"/>
      <c r="O331" s="24">
        <f>IF(ROUNDUP(T331/20,0)&gt;ROUNDUP(T330/20,0),"TN Ø18 (Lần " &amp; ROUNDUP(T331/20,0) &amp; ")","")</f>
        <v/>
      </c>
      <c r="P331" s="20">
        <f>ROUND(P330+IF(AND(E331&lt;=10,F331&lt;&gt;"ASTM A416"),L331,0),3)</f>
        <v/>
      </c>
      <c r="Q331" s="20">
        <f>ROUND(Q330+IF(AND(E331=12,F331&lt;&gt;"ASTM A416"),L331,0),3)</f>
        <v/>
      </c>
      <c r="R331" s="20">
        <f>ROUND(R330+IF(AND(E331=14,F331&lt;&gt;"ASTM A416"),L331,0),3)</f>
        <v/>
      </c>
      <c r="S331" s="20">
        <f>ROUND(S330+IF(AND(E331=16,F331&lt;&gt;"ASTM A416"),L331,0),3)</f>
        <v/>
      </c>
      <c r="T331" s="20">
        <f>ROUND(T330+IF(AND(E331=18,F331&lt;&gt;"ASTM A416"),L331,0),3)</f>
        <v/>
      </c>
      <c r="U331" s="20">
        <f>ROUND(U330+IF(AND(E331=20,F331&lt;&gt;"ASTM A416"),L331,0),3)</f>
        <v/>
      </c>
      <c r="V331" s="20">
        <f>ROUND(V330+IF(AND(E331=22,F331&lt;&gt;"ASTM A416"),L331,0),3)</f>
        <v/>
      </c>
      <c r="W331" s="20">
        <f>ROUND(W330+IF(AND(E331=25,F331&lt;&gt;"ASTM A416"),L331,0),3)</f>
        <v/>
      </c>
      <c r="X331" s="20">
        <f>ROUND(X330+IF(AND(E331=28,F331&lt;&gt;"ASTM A416"),L331,0),3)</f>
        <v/>
      </c>
      <c r="Y331" s="20">
        <f>ROUND(Y330+IF(AND(E331=32,F331&lt;&gt;"ASTM A416"),L331,0),3)</f>
        <v/>
      </c>
      <c r="Z331" s="20">
        <f>ROUND(Z330+IF(F331="ASTM A416",L331,0),3)</f>
        <v/>
      </c>
      <c r="AA331" s="11">
        <f>IF(ROUNDUP(P331/20,0)&gt;ROUNDUP(P330/20,0),"Lần " &amp; ROUNDUP(P331/20,0),"")</f>
        <v/>
      </c>
      <c r="AB331" s="11">
        <f>IF(ROUNDUP(Q331/20,0)&gt;ROUNDUP(Q330/20,0),"Lần " &amp; ROUNDUP(Q331/20,0),"")</f>
        <v/>
      </c>
      <c r="AC331" s="11">
        <f>IF(ROUNDUP(R331/20,0)&gt;ROUNDUP(R330/20,0),"Lần " &amp; ROUNDUP(R331/20,0),"")</f>
        <v/>
      </c>
      <c r="AD331" s="11">
        <f>IF(ROUNDUP(S331/20,0)&gt;ROUNDUP(S330/20,0),"Lần " &amp; ROUNDUP(S331/20,0),"")</f>
        <v/>
      </c>
      <c r="AE331" s="11">
        <f>IF(ROUNDUP(T331/20,0)&gt;ROUNDUP(T330/20,0),"Lần " &amp; ROUNDUP(T331/20,0),"")</f>
        <v/>
      </c>
      <c r="AF331" s="11">
        <f>IF(ROUNDUP(U331/20,0)&gt;ROUNDUP(U330/20,0),"Lần " &amp; ROUNDUP(U331/20,0),"")</f>
        <v/>
      </c>
      <c r="AG331" s="11">
        <f>IF(ROUNDUP(V331/20,0)&gt;ROUNDUP(V330/20,0),"Lần " &amp; ROUNDUP(V331/20,0),"")</f>
        <v/>
      </c>
      <c r="AH331" s="11">
        <f>IF(ROUNDUP(W331/20,0)&gt;ROUNDUP(W330/20,0),"Lần " &amp; ROUNDUP(W331/20,0),"")</f>
        <v/>
      </c>
      <c r="AI331" s="11">
        <f>IF(ROUNDUP(X331/20,0)&gt;ROUNDUP(X330/20,0),"Lần " &amp; ROUNDUP(X331/20,0),"")</f>
        <v/>
      </c>
      <c r="AJ331" s="11">
        <f>IF(ROUNDUP(Y331/20,0)&gt;ROUNDUP(Y330/20,0),"Lần " &amp; ROUNDUP(Y331/20,0),"")</f>
        <v/>
      </c>
      <c r="AK331" s="11">
        <f>IF(ROUNDUP(Z331/20,0)&gt;ROUNDUP(Z330/20,0),"Lần " &amp; ROUNDUP(Z331/20,0),"")</f>
        <v/>
      </c>
      <c r="AL331" s="6" t="n"/>
      <c r="AN331" t="inlineStr">
        <is>
          <t>HoanThien</t>
        </is>
      </c>
      <c r="AO331" t="n">
        <v>79</v>
      </c>
    </row>
    <row r="332" ht="19" customHeight="1">
      <c r="A332" s="6" t="n">
        <v>321</v>
      </c>
      <c r="B332" s="7" t="inlineStr">
        <is>
          <t>Bản mặt cầu (Deck Slab)</t>
        </is>
      </c>
      <c r="C332" s="7" t="inlineStr">
        <is>
          <t>Lưới thép BMC đổ bù</t>
        </is>
      </c>
      <c r="D332" s="18" t="inlineStr">
        <is>
          <t>S3</t>
        </is>
      </c>
      <c r="E332" s="19" t="n">
        <v>10</v>
      </c>
      <c r="F332" s="6" t="inlineStr">
        <is>
          <t>CB240-T</t>
        </is>
      </c>
      <c r="G332" s="7" t="inlineStr">
        <is>
          <t>S01</t>
        </is>
      </c>
      <c r="H332" s="20" t="n">
        <v>0.33</v>
      </c>
      <c r="I332" s="21" t="n">
        <v>2380</v>
      </c>
      <c r="J332" s="22" t="n">
        <v>0.617</v>
      </c>
      <c r="K332" s="9">
        <f>ROUND(H332*I332*J332, 2)</f>
        <v/>
      </c>
      <c r="L332" s="23">
        <f>ROUND(K332/1000, 3)</f>
        <v/>
      </c>
      <c r="M332" s="8">
        <f>IF(AO332="","",IF(INDEX(Theo_Doi_Tan_Suat_Be_Tong!$C:$C,AO332)="","",INDEX(Theo_Doi_Tan_Suat_Be_Tong!$C:$C,AO332)-VLOOKUP(AN332,$AQ$2:$AR$7,2,FALSE)))</f>
        <v/>
      </c>
      <c r="N332" s="6" t="n"/>
      <c r="O332" s="24">
        <f>IF(ROUNDUP(P332/20,0)&gt;ROUNDUP(P331/20,0),"TN Ø10 (Lần " &amp; ROUNDUP(P332/20,0) &amp; ")","")</f>
        <v/>
      </c>
      <c r="P332" s="20">
        <f>ROUND(P331+IF(AND(E332&lt;=10,F332&lt;&gt;"ASTM A416"),L332,0),3)</f>
        <v/>
      </c>
      <c r="Q332" s="20">
        <f>ROUND(Q331+IF(AND(E332=12,F332&lt;&gt;"ASTM A416"),L332,0),3)</f>
        <v/>
      </c>
      <c r="R332" s="20">
        <f>ROUND(R331+IF(AND(E332=14,F332&lt;&gt;"ASTM A416"),L332,0),3)</f>
        <v/>
      </c>
      <c r="S332" s="20">
        <f>ROUND(S331+IF(AND(E332=16,F332&lt;&gt;"ASTM A416"),L332,0),3)</f>
        <v/>
      </c>
      <c r="T332" s="20">
        <f>ROUND(T331+IF(AND(E332=18,F332&lt;&gt;"ASTM A416"),L332,0),3)</f>
        <v/>
      </c>
      <c r="U332" s="20">
        <f>ROUND(U331+IF(AND(E332=20,F332&lt;&gt;"ASTM A416"),L332,0),3)</f>
        <v/>
      </c>
      <c r="V332" s="20">
        <f>ROUND(V331+IF(AND(E332=22,F332&lt;&gt;"ASTM A416"),L332,0),3)</f>
        <v/>
      </c>
      <c r="W332" s="20">
        <f>ROUND(W331+IF(AND(E332=25,F332&lt;&gt;"ASTM A416"),L332,0),3)</f>
        <v/>
      </c>
      <c r="X332" s="20">
        <f>ROUND(X331+IF(AND(E332=28,F332&lt;&gt;"ASTM A416"),L332,0),3)</f>
        <v/>
      </c>
      <c r="Y332" s="20">
        <f>ROUND(Y331+IF(AND(E332=32,F332&lt;&gt;"ASTM A416"),L332,0),3)</f>
        <v/>
      </c>
      <c r="Z332" s="20">
        <f>ROUND(Z331+IF(F332="ASTM A416",L332,0),3)</f>
        <v/>
      </c>
      <c r="AA332" s="11">
        <f>IF(ROUNDUP(P332/20,0)&gt;ROUNDUP(P331/20,0),"Lần " &amp; ROUNDUP(P332/20,0),"")</f>
        <v/>
      </c>
      <c r="AB332" s="11">
        <f>IF(ROUNDUP(Q332/20,0)&gt;ROUNDUP(Q331/20,0),"Lần " &amp; ROUNDUP(Q332/20,0),"")</f>
        <v/>
      </c>
      <c r="AC332" s="11">
        <f>IF(ROUNDUP(R332/20,0)&gt;ROUNDUP(R331/20,0),"Lần " &amp; ROUNDUP(R332/20,0),"")</f>
        <v/>
      </c>
      <c r="AD332" s="11">
        <f>IF(ROUNDUP(S332/20,0)&gt;ROUNDUP(S331/20,0),"Lần " &amp; ROUNDUP(S332/20,0),"")</f>
        <v/>
      </c>
      <c r="AE332" s="11">
        <f>IF(ROUNDUP(T332/20,0)&gt;ROUNDUP(T331/20,0),"Lần " &amp; ROUNDUP(T332/20,0),"")</f>
        <v/>
      </c>
      <c r="AF332" s="11">
        <f>IF(ROUNDUP(U332/20,0)&gt;ROUNDUP(U331/20,0),"Lần " &amp; ROUNDUP(U332/20,0),"")</f>
        <v/>
      </c>
      <c r="AG332" s="11">
        <f>IF(ROUNDUP(V332/20,0)&gt;ROUNDUP(V331/20,0),"Lần " &amp; ROUNDUP(V332/20,0),"")</f>
        <v/>
      </c>
      <c r="AH332" s="11">
        <f>IF(ROUNDUP(W332/20,0)&gt;ROUNDUP(W331/20,0),"Lần " &amp; ROUNDUP(W332/20,0),"")</f>
        <v/>
      </c>
      <c r="AI332" s="11">
        <f>IF(ROUNDUP(X332/20,0)&gt;ROUNDUP(X331/20,0),"Lần " &amp; ROUNDUP(X332/20,0),"")</f>
        <v/>
      </c>
      <c r="AJ332" s="11">
        <f>IF(ROUNDUP(Y332/20,0)&gt;ROUNDUP(Y331/20,0),"Lần " &amp; ROUNDUP(Y332/20,0),"")</f>
        <v/>
      </c>
      <c r="AK332" s="11">
        <f>IF(ROUNDUP(Z332/20,0)&gt;ROUNDUP(Z331/20,0),"Lần " &amp; ROUNDUP(Z332/20,0),"")</f>
        <v/>
      </c>
      <c r="AL332" s="6" t="n"/>
      <c r="AN332" t="inlineStr">
        <is>
          <t>HoanThien</t>
        </is>
      </c>
      <c r="AO332" t="n">
        <v>79</v>
      </c>
    </row>
    <row r="333" ht="19" customHeight="1">
      <c r="A333" s="6" t="n">
        <v>322</v>
      </c>
      <c r="B333" s="7" t="inlineStr">
        <is>
          <t>Bản mặt cầu (Deck Slab)</t>
        </is>
      </c>
      <c r="C333" s="7" t="inlineStr">
        <is>
          <t>Lưới thép BMC đổ bù</t>
        </is>
      </c>
      <c r="D333" s="18" t="inlineStr">
        <is>
          <t>S4</t>
        </is>
      </c>
      <c r="E333" s="19" t="n">
        <v>18</v>
      </c>
      <c r="F333" s="6" t="inlineStr">
        <is>
          <t>CB400-V</t>
        </is>
      </c>
      <c r="G333" s="7" t="inlineStr">
        <is>
          <t>S01</t>
        </is>
      </c>
      <c r="H333" s="20" t="n">
        <v>2.1</v>
      </c>
      <c r="I333" s="21" t="n">
        <v>960</v>
      </c>
      <c r="J333" s="22" t="n">
        <v>1.998</v>
      </c>
      <c r="K333" s="9">
        <f>ROUND(H333*I333*J333, 2)</f>
        <v/>
      </c>
      <c r="L333" s="23">
        <f>ROUND(K333/1000, 3)</f>
        <v/>
      </c>
      <c r="M333" s="8">
        <f>IF(AO333="","",IF(INDEX(Theo_Doi_Tan_Suat_Be_Tong!$C:$C,AO333)="","",INDEX(Theo_Doi_Tan_Suat_Be_Tong!$C:$C,AO333)-VLOOKUP(AN333,$AQ$2:$AR$7,2,FALSE)))</f>
        <v/>
      </c>
      <c r="N333" s="6" t="n"/>
      <c r="O333" s="24">
        <f>IF(ROUNDUP(T333/20,0)&gt;ROUNDUP(T332/20,0),"TN Ø18 (Lần " &amp; ROUNDUP(T333/20,0) &amp; ")","")</f>
        <v/>
      </c>
      <c r="P333" s="20">
        <f>ROUND(P332+IF(AND(E333&lt;=10,F333&lt;&gt;"ASTM A416"),L333,0),3)</f>
        <v/>
      </c>
      <c r="Q333" s="20">
        <f>ROUND(Q332+IF(AND(E333=12,F333&lt;&gt;"ASTM A416"),L333,0),3)</f>
        <v/>
      </c>
      <c r="R333" s="20">
        <f>ROUND(R332+IF(AND(E333=14,F333&lt;&gt;"ASTM A416"),L333,0),3)</f>
        <v/>
      </c>
      <c r="S333" s="20">
        <f>ROUND(S332+IF(AND(E333=16,F333&lt;&gt;"ASTM A416"),L333,0),3)</f>
        <v/>
      </c>
      <c r="T333" s="20">
        <f>ROUND(T332+IF(AND(E333=18,F333&lt;&gt;"ASTM A416"),L333,0),3)</f>
        <v/>
      </c>
      <c r="U333" s="20">
        <f>ROUND(U332+IF(AND(E333=20,F333&lt;&gt;"ASTM A416"),L333,0),3)</f>
        <v/>
      </c>
      <c r="V333" s="20">
        <f>ROUND(V332+IF(AND(E333=22,F333&lt;&gt;"ASTM A416"),L333,0),3)</f>
        <v/>
      </c>
      <c r="W333" s="20">
        <f>ROUND(W332+IF(AND(E333=25,F333&lt;&gt;"ASTM A416"),L333,0),3)</f>
        <v/>
      </c>
      <c r="X333" s="20">
        <f>ROUND(X332+IF(AND(E333=28,F333&lt;&gt;"ASTM A416"),L333,0),3)</f>
        <v/>
      </c>
      <c r="Y333" s="20">
        <f>ROUND(Y332+IF(AND(E333=32,F333&lt;&gt;"ASTM A416"),L333,0),3)</f>
        <v/>
      </c>
      <c r="Z333" s="20">
        <f>ROUND(Z332+IF(F333="ASTM A416",L333,0),3)</f>
        <v/>
      </c>
      <c r="AA333" s="11">
        <f>IF(ROUNDUP(P333/20,0)&gt;ROUNDUP(P332/20,0),"Lần " &amp; ROUNDUP(P333/20,0),"")</f>
        <v/>
      </c>
      <c r="AB333" s="11">
        <f>IF(ROUNDUP(Q333/20,0)&gt;ROUNDUP(Q332/20,0),"Lần " &amp; ROUNDUP(Q333/20,0),"")</f>
        <v/>
      </c>
      <c r="AC333" s="11">
        <f>IF(ROUNDUP(R333/20,0)&gt;ROUNDUP(R332/20,0),"Lần " &amp; ROUNDUP(R333/20,0),"")</f>
        <v/>
      </c>
      <c r="AD333" s="11">
        <f>IF(ROUNDUP(S333/20,0)&gt;ROUNDUP(S332/20,0),"Lần " &amp; ROUNDUP(S333/20,0),"")</f>
        <v/>
      </c>
      <c r="AE333" s="11">
        <f>IF(ROUNDUP(T333/20,0)&gt;ROUNDUP(T332/20,0),"Lần " &amp; ROUNDUP(T333/20,0),"")</f>
        <v/>
      </c>
      <c r="AF333" s="11">
        <f>IF(ROUNDUP(U333/20,0)&gt;ROUNDUP(U332/20,0),"Lần " &amp; ROUNDUP(U333/20,0),"")</f>
        <v/>
      </c>
      <c r="AG333" s="11">
        <f>IF(ROUNDUP(V333/20,0)&gt;ROUNDUP(V332/20,0),"Lần " &amp; ROUNDUP(V333/20,0),"")</f>
        <v/>
      </c>
      <c r="AH333" s="11">
        <f>IF(ROUNDUP(W333/20,0)&gt;ROUNDUP(W332/20,0),"Lần " &amp; ROUNDUP(W333/20,0),"")</f>
        <v/>
      </c>
      <c r="AI333" s="11">
        <f>IF(ROUNDUP(X333/20,0)&gt;ROUNDUP(X332/20,0),"Lần " &amp; ROUNDUP(X333/20,0),"")</f>
        <v/>
      </c>
      <c r="AJ333" s="11">
        <f>IF(ROUNDUP(Y333/20,0)&gt;ROUNDUP(Y332/20,0),"Lần " &amp; ROUNDUP(Y333/20,0),"")</f>
        <v/>
      </c>
      <c r="AK333" s="11">
        <f>IF(ROUNDUP(Z333/20,0)&gt;ROUNDUP(Z332/20,0),"Lần " &amp; ROUNDUP(Z333/20,0),"")</f>
        <v/>
      </c>
      <c r="AL333" s="6" t="n"/>
      <c r="AN333" t="inlineStr">
        <is>
          <t>HoanThien</t>
        </is>
      </c>
      <c r="AO333" t="n">
        <v>79</v>
      </c>
    </row>
    <row r="334" ht="19" customHeight="1">
      <c r="A334" s="6" t="n">
        <v>323</v>
      </c>
      <c r="B334" s="7" t="inlineStr">
        <is>
          <t>Bản mặt cầu (Deck Slab)</t>
        </is>
      </c>
      <c r="C334" s="7" t="inlineStr">
        <is>
          <t>Lưới thép BMC đổ bù</t>
        </is>
      </c>
      <c r="D334" s="18" t="inlineStr">
        <is>
          <t>DR1</t>
        </is>
      </c>
      <c r="E334" s="19" t="n">
        <v>14</v>
      </c>
      <c r="F334" s="6" t="inlineStr">
        <is>
          <t>CB400-V</t>
        </is>
      </c>
      <c r="G334" s="7" t="inlineStr">
        <is>
          <t>S01</t>
        </is>
      </c>
      <c r="H334" s="20" t="n">
        <v>0.6</v>
      </c>
      <c r="I334" s="21" t="n">
        <v>64</v>
      </c>
      <c r="J334" s="22" t="n">
        <v>1.208</v>
      </c>
      <c r="K334" s="9">
        <f>ROUND(H334*I334*J334, 2)</f>
        <v/>
      </c>
      <c r="L334" s="23">
        <f>ROUND(K334/1000, 3)</f>
        <v/>
      </c>
      <c r="M334" s="8">
        <f>IF(AO334="","",IF(INDEX(Theo_Doi_Tan_Suat_Be_Tong!$C:$C,AO334)="","",INDEX(Theo_Doi_Tan_Suat_Be_Tong!$C:$C,AO334)-VLOOKUP(AN334,$AQ$2:$AR$7,2,FALSE)))</f>
        <v/>
      </c>
      <c r="N334" s="6" t="n"/>
      <c r="O334" s="24">
        <f>IF(ROUNDUP(R334/20,0)&gt;ROUNDUP(R333/20,0),"TN Ø14 (Lần " &amp; ROUNDUP(R334/20,0) &amp; ")","")</f>
        <v/>
      </c>
      <c r="P334" s="20">
        <f>ROUND(P333+IF(AND(E334&lt;=10,F334&lt;&gt;"ASTM A416"),L334,0),3)</f>
        <v/>
      </c>
      <c r="Q334" s="20">
        <f>ROUND(Q333+IF(AND(E334=12,F334&lt;&gt;"ASTM A416"),L334,0),3)</f>
        <v/>
      </c>
      <c r="R334" s="20">
        <f>ROUND(R333+IF(AND(E334=14,F334&lt;&gt;"ASTM A416"),L334,0),3)</f>
        <v/>
      </c>
      <c r="S334" s="20">
        <f>ROUND(S333+IF(AND(E334=16,F334&lt;&gt;"ASTM A416"),L334,0),3)</f>
        <v/>
      </c>
      <c r="T334" s="20">
        <f>ROUND(T333+IF(AND(E334=18,F334&lt;&gt;"ASTM A416"),L334,0),3)</f>
        <v/>
      </c>
      <c r="U334" s="20">
        <f>ROUND(U333+IF(AND(E334=20,F334&lt;&gt;"ASTM A416"),L334,0),3)</f>
        <v/>
      </c>
      <c r="V334" s="20">
        <f>ROUND(V333+IF(AND(E334=22,F334&lt;&gt;"ASTM A416"),L334,0),3)</f>
        <v/>
      </c>
      <c r="W334" s="20">
        <f>ROUND(W333+IF(AND(E334=25,F334&lt;&gt;"ASTM A416"),L334,0),3)</f>
        <v/>
      </c>
      <c r="X334" s="20">
        <f>ROUND(X333+IF(AND(E334=28,F334&lt;&gt;"ASTM A416"),L334,0),3)</f>
        <v/>
      </c>
      <c r="Y334" s="20">
        <f>ROUND(Y333+IF(AND(E334=32,F334&lt;&gt;"ASTM A416"),L334,0),3)</f>
        <v/>
      </c>
      <c r="Z334" s="20">
        <f>ROUND(Z333+IF(F334="ASTM A416",L334,0),3)</f>
        <v/>
      </c>
      <c r="AA334" s="11">
        <f>IF(ROUNDUP(P334/20,0)&gt;ROUNDUP(P333/20,0),"Lần " &amp; ROUNDUP(P334/20,0),"")</f>
        <v/>
      </c>
      <c r="AB334" s="11">
        <f>IF(ROUNDUP(Q334/20,0)&gt;ROUNDUP(Q333/20,0),"Lần " &amp; ROUNDUP(Q334/20,0),"")</f>
        <v/>
      </c>
      <c r="AC334" s="11">
        <f>IF(ROUNDUP(R334/20,0)&gt;ROUNDUP(R333/20,0),"Lần " &amp; ROUNDUP(R334/20,0),"")</f>
        <v/>
      </c>
      <c r="AD334" s="11">
        <f>IF(ROUNDUP(S334/20,0)&gt;ROUNDUP(S333/20,0),"Lần " &amp; ROUNDUP(S334/20,0),"")</f>
        <v/>
      </c>
      <c r="AE334" s="11">
        <f>IF(ROUNDUP(T334/20,0)&gt;ROUNDUP(T333/20,0),"Lần " &amp; ROUNDUP(T334/20,0),"")</f>
        <v/>
      </c>
      <c r="AF334" s="11">
        <f>IF(ROUNDUP(U334/20,0)&gt;ROUNDUP(U333/20,0),"Lần " &amp; ROUNDUP(U334/20,0),"")</f>
        <v/>
      </c>
      <c r="AG334" s="11">
        <f>IF(ROUNDUP(V334/20,0)&gt;ROUNDUP(V333/20,0),"Lần " &amp; ROUNDUP(V334/20,0),"")</f>
        <v/>
      </c>
      <c r="AH334" s="11">
        <f>IF(ROUNDUP(W334/20,0)&gt;ROUNDUP(W333/20,0),"Lần " &amp; ROUNDUP(W334/20,0),"")</f>
        <v/>
      </c>
      <c r="AI334" s="11">
        <f>IF(ROUNDUP(X334/20,0)&gt;ROUNDUP(X333/20,0),"Lần " &amp; ROUNDUP(X334/20,0),"")</f>
        <v/>
      </c>
      <c r="AJ334" s="11">
        <f>IF(ROUNDUP(Y334/20,0)&gt;ROUNDUP(Y333/20,0),"Lần " &amp; ROUNDUP(Y334/20,0),"")</f>
        <v/>
      </c>
      <c r="AK334" s="11">
        <f>IF(ROUNDUP(Z334/20,0)&gt;ROUNDUP(Z333/20,0),"Lần " &amp; ROUNDUP(Z334/20,0),"")</f>
        <v/>
      </c>
      <c r="AL334" s="6" t="n"/>
      <c r="AN334" t="inlineStr">
        <is>
          <t>HoanThien</t>
        </is>
      </c>
      <c r="AO334" t="n">
        <v>79</v>
      </c>
    </row>
    <row r="335" ht="19" customHeight="1">
      <c r="A335" s="6" t="n">
        <v>324</v>
      </c>
      <c r="B335" s="7" t="inlineStr">
        <is>
          <t>Bản mặt cầu (Deck Slab)</t>
        </is>
      </c>
      <c r="C335" s="7" t="inlineStr">
        <is>
          <t>Lưới thép BMC đổ bù</t>
        </is>
      </c>
      <c r="D335" s="18" t="inlineStr">
        <is>
          <t>DR2</t>
        </is>
      </c>
      <c r="E335" s="19" t="n">
        <v>14</v>
      </c>
      <c r="F335" s="6" t="inlineStr">
        <is>
          <t>CB400-V</t>
        </is>
      </c>
      <c r="G335" s="7" t="inlineStr">
        <is>
          <t>S01</t>
        </is>
      </c>
      <c r="H335" s="20" t="n">
        <v>1.3</v>
      </c>
      <c r="I335" s="21" t="n">
        <v>32</v>
      </c>
      <c r="J335" s="22" t="n">
        <v>1.208</v>
      </c>
      <c r="K335" s="9">
        <f>ROUND(H335*I335*J335, 2)</f>
        <v/>
      </c>
      <c r="L335" s="23">
        <f>ROUND(K335/1000, 3)</f>
        <v/>
      </c>
      <c r="M335" s="8">
        <f>IF(AO335="","",IF(INDEX(Theo_Doi_Tan_Suat_Be_Tong!$C:$C,AO335)="","",INDEX(Theo_Doi_Tan_Suat_Be_Tong!$C:$C,AO335)-VLOOKUP(AN335,$AQ$2:$AR$7,2,FALSE)))</f>
        <v/>
      </c>
      <c r="N335" s="6" t="n"/>
      <c r="O335" s="24">
        <f>IF(ROUNDUP(R335/20,0)&gt;ROUNDUP(R334/20,0),"TN Ø14 (Lần " &amp; ROUNDUP(R335/20,0) &amp; ")","")</f>
        <v/>
      </c>
      <c r="P335" s="20">
        <f>ROUND(P334+IF(AND(E335&lt;=10,F335&lt;&gt;"ASTM A416"),L335,0),3)</f>
        <v/>
      </c>
      <c r="Q335" s="20">
        <f>ROUND(Q334+IF(AND(E335=12,F335&lt;&gt;"ASTM A416"),L335,0),3)</f>
        <v/>
      </c>
      <c r="R335" s="20">
        <f>ROUND(R334+IF(AND(E335=14,F335&lt;&gt;"ASTM A416"),L335,0),3)</f>
        <v/>
      </c>
      <c r="S335" s="20">
        <f>ROUND(S334+IF(AND(E335=16,F335&lt;&gt;"ASTM A416"),L335,0),3)</f>
        <v/>
      </c>
      <c r="T335" s="20">
        <f>ROUND(T334+IF(AND(E335=18,F335&lt;&gt;"ASTM A416"),L335,0),3)</f>
        <v/>
      </c>
      <c r="U335" s="20">
        <f>ROUND(U334+IF(AND(E335=20,F335&lt;&gt;"ASTM A416"),L335,0),3)</f>
        <v/>
      </c>
      <c r="V335" s="20">
        <f>ROUND(V334+IF(AND(E335=22,F335&lt;&gt;"ASTM A416"),L335,0),3)</f>
        <v/>
      </c>
      <c r="W335" s="20">
        <f>ROUND(W334+IF(AND(E335=25,F335&lt;&gt;"ASTM A416"),L335,0),3)</f>
        <v/>
      </c>
      <c r="X335" s="20">
        <f>ROUND(X334+IF(AND(E335=28,F335&lt;&gt;"ASTM A416"),L335,0),3)</f>
        <v/>
      </c>
      <c r="Y335" s="20">
        <f>ROUND(Y334+IF(AND(E335=32,F335&lt;&gt;"ASTM A416"),L335,0),3)</f>
        <v/>
      </c>
      <c r="Z335" s="20">
        <f>ROUND(Z334+IF(F335="ASTM A416",L335,0),3)</f>
        <v/>
      </c>
      <c r="AA335" s="11">
        <f>IF(ROUNDUP(P335/20,0)&gt;ROUNDUP(P334/20,0),"Lần " &amp; ROUNDUP(P335/20,0),"")</f>
        <v/>
      </c>
      <c r="AB335" s="11">
        <f>IF(ROUNDUP(Q335/20,0)&gt;ROUNDUP(Q334/20,0),"Lần " &amp; ROUNDUP(Q335/20,0),"")</f>
        <v/>
      </c>
      <c r="AC335" s="11">
        <f>IF(ROUNDUP(R335/20,0)&gt;ROUNDUP(R334/20,0),"Lần " &amp; ROUNDUP(R335/20,0),"")</f>
        <v/>
      </c>
      <c r="AD335" s="11">
        <f>IF(ROUNDUP(S335/20,0)&gt;ROUNDUP(S334/20,0),"Lần " &amp; ROUNDUP(S335/20,0),"")</f>
        <v/>
      </c>
      <c r="AE335" s="11">
        <f>IF(ROUNDUP(T335/20,0)&gt;ROUNDUP(T334/20,0),"Lần " &amp; ROUNDUP(T335/20,0),"")</f>
        <v/>
      </c>
      <c r="AF335" s="11">
        <f>IF(ROUNDUP(U335/20,0)&gt;ROUNDUP(U334/20,0),"Lần " &amp; ROUNDUP(U335/20,0),"")</f>
        <v/>
      </c>
      <c r="AG335" s="11">
        <f>IF(ROUNDUP(V335/20,0)&gt;ROUNDUP(V334/20,0),"Lần " &amp; ROUNDUP(V335/20,0),"")</f>
        <v/>
      </c>
      <c r="AH335" s="11">
        <f>IF(ROUNDUP(W335/20,0)&gt;ROUNDUP(W334/20,0),"Lần " &amp; ROUNDUP(W335/20,0),"")</f>
        <v/>
      </c>
      <c r="AI335" s="11">
        <f>IF(ROUNDUP(X335/20,0)&gt;ROUNDUP(X334/20,0),"Lần " &amp; ROUNDUP(X335/20,0),"")</f>
        <v/>
      </c>
      <c r="AJ335" s="11">
        <f>IF(ROUNDUP(Y335/20,0)&gt;ROUNDUP(Y334/20,0),"Lần " &amp; ROUNDUP(Y335/20,0),"")</f>
        <v/>
      </c>
      <c r="AK335" s="11">
        <f>IF(ROUNDUP(Z335/20,0)&gt;ROUNDUP(Z334/20,0),"Lần " &amp; ROUNDUP(Z335/20,0),"")</f>
        <v/>
      </c>
      <c r="AL335" s="6" t="n"/>
      <c r="AN335" t="inlineStr">
        <is>
          <t>HoanThien</t>
        </is>
      </c>
      <c r="AO335" t="n">
        <v>79</v>
      </c>
    </row>
    <row r="336" ht="19" customHeight="1">
      <c r="A336" s="6" t="n">
        <v>325</v>
      </c>
      <c r="B336" s="7" t="inlineStr">
        <is>
          <t>Bản mặt cầu (Deck Slab)</t>
        </is>
      </c>
      <c r="C336" s="7" t="inlineStr">
        <is>
          <t>Lưới thép BMC đổ bù</t>
        </is>
      </c>
      <c r="D336" s="18" t="inlineStr">
        <is>
          <t>DR3</t>
        </is>
      </c>
      <c r="E336" s="19" t="n">
        <v>14</v>
      </c>
      <c r="F336" s="6" t="inlineStr">
        <is>
          <t>CB400-V</t>
        </is>
      </c>
      <c r="G336" s="7" t="inlineStr">
        <is>
          <t>S01</t>
        </is>
      </c>
      <c r="H336" s="20" t="n">
        <v>0.9</v>
      </c>
      <c r="I336" s="21" t="n">
        <v>64</v>
      </c>
      <c r="J336" s="22" t="n">
        <v>1.208</v>
      </c>
      <c r="K336" s="9">
        <f>ROUND(H336*I336*J336, 2)</f>
        <v/>
      </c>
      <c r="L336" s="23">
        <f>ROUND(K336/1000, 3)</f>
        <v/>
      </c>
      <c r="M336" s="8">
        <f>IF(AO336="","",IF(INDEX(Theo_Doi_Tan_Suat_Be_Tong!$C:$C,AO336)="","",INDEX(Theo_Doi_Tan_Suat_Be_Tong!$C:$C,AO336)-VLOOKUP(AN336,$AQ$2:$AR$7,2,FALSE)))</f>
        <v/>
      </c>
      <c r="N336" s="6" t="n"/>
      <c r="O336" s="24">
        <f>IF(ROUNDUP(R336/20,0)&gt;ROUNDUP(R335/20,0),"TN Ø14 (Lần " &amp; ROUNDUP(R336/20,0) &amp; ")","")</f>
        <v/>
      </c>
      <c r="P336" s="20">
        <f>ROUND(P335+IF(AND(E336&lt;=10,F336&lt;&gt;"ASTM A416"),L336,0),3)</f>
        <v/>
      </c>
      <c r="Q336" s="20">
        <f>ROUND(Q335+IF(AND(E336=12,F336&lt;&gt;"ASTM A416"),L336,0),3)</f>
        <v/>
      </c>
      <c r="R336" s="20">
        <f>ROUND(R335+IF(AND(E336=14,F336&lt;&gt;"ASTM A416"),L336,0),3)</f>
        <v/>
      </c>
      <c r="S336" s="20">
        <f>ROUND(S335+IF(AND(E336=16,F336&lt;&gt;"ASTM A416"),L336,0),3)</f>
        <v/>
      </c>
      <c r="T336" s="20">
        <f>ROUND(T335+IF(AND(E336=18,F336&lt;&gt;"ASTM A416"),L336,0),3)</f>
        <v/>
      </c>
      <c r="U336" s="20">
        <f>ROUND(U335+IF(AND(E336=20,F336&lt;&gt;"ASTM A416"),L336,0),3)</f>
        <v/>
      </c>
      <c r="V336" s="20">
        <f>ROUND(V335+IF(AND(E336=22,F336&lt;&gt;"ASTM A416"),L336,0),3)</f>
        <v/>
      </c>
      <c r="W336" s="20">
        <f>ROUND(W335+IF(AND(E336=25,F336&lt;&gt;"ASTM A416"),L336,0),3)</f>
        <v/>
      </c>
      <c r="X336" s="20">
        <f>ROUND(X335+IF(AND(E336=28,F336&lt;&gt;"ASTM A416"),L336,0),3)</f>
        <v/>
      </c>
      <c r="Y336" s="20">
        <f>ROUND(Y335+IF(AND(E336=32,F336&lt;&gt;"ASTM A416"),L336,0),3)</f>
        <v/>
      </c>
      <c r="Z336" s="20">
        <f>ROUND(Z335+IF(F336="ASTM A416",L336,0),3)</f>
        <v/>
      </c>
      <c r="AA336" s="11">
        <f>IF(ROUNDUP(P336/20,0)&gt;ROUNDUP(P335/20,0),"Lần " &amp; ROUNDUP(P336/20,0),"")</f>
        <v/>
      </c>
      <c r="AB336" s="11">
        <f>IF(ROUNDUP(Q336/20,0)&gt;ROUNDUP(Q335/20,0),"Lần " &amp; ROUNDUP(Q336/20,0),"")</f>
        <v/>
      </c>
      <c r="AC336" s="11">
        <f>IF(ROUNDUP(R336/20,0)&gt;ROUNDUP(R335/20,0),"Lần " &amp; ROUNDUP(R336/20,0),"")</f>
        <v/>
      </c>
      <c r="AD336" s="11">
        <f>IF(ROUNDUP(S336/20,0)&gt;ROUNDUP(S335/20,0),"Lần " &amp; ROUNDUP(S336/20,0),"")</f>
        <v/>
      </c>
      <c r="AE336" s="11">
        <f>IF(ROUNDUP(T336/20,0)&gt;ROUNDUP(T335/20,0),"Lần " &amp; ROUNDUP(T336/20,0),"")</f>
        <v/>
      </c>
      <c r="AF336" s="11">
        <f>IF(ROUNDUP(U336/20,0)&gt;ROUNDUP(U335/20,0),"Lần " &amp; ROUNDUP(U336/20,0),"")</f>
        <v/>
      </c>
      <c r="AG336" s="11">
        <f>IF(ROUNDUP(V336/20,0)&gt;ROUNDUP(V335/20,0),"Lần " &amp; ROUNDUP(V336/20,0),"")</f>
        <v/>
      </c>
      <c r="AH336" s="11">
        <f>IF(ROUNDUP(W336/20,0)&gt;ROUNDUP(W335/20,0),"Lần " &amp; ROUNDUP(W336/20,0),"")</f>
        <v/>
      </c>
      <c r="AI336" s="11">
        <f>IF(ROUNDUP(X336/20,0)&gt;ROUNDUP(X335/20,0),"Lần " &amp; ROUNDUP(X336/20,0),"")</f>
        <v/>
      </c>
      <c r="AJ336" s="11">
        <f>IF(ROUNDUP(Y336/20,0)&gt;ROUNDUP(Y335/20,0),"Lần " &amp; ROUNDUP(Y336/20,0),"")</f>
        <v/>
      </c>
      <c r="AK336" s="11">
        <f>IF(ROUNDUP(Z336/20,0)&gt;ROUNDUP(Z335/20,0),"Lần " &amp; ROUNDUP(Z336/20,0),"")</f>
        <v/>
      </c>
      <c r="AL336" s="6" t="n"/>
      <c r="AN336" t="inlineStr">
        <is>
          <t>HoanThien</t>
        </is>
      </c>
      <c r="AO336" t="n">
        <v>79</v>
      </c>
    </row>
    <row r="337" ht="19" customHeight="1">
      <c r="A337" s="6" t="n">
        <v>326</v>
      </c>
      <c r="B337" s="7" t="inlineStr">
        <is>
          <t>Bản mặt cầu (Deck Slab)</t>
        </is>
      </c>
      <c r="C337" s="7" t="inlineStr">
        <is>
          <t>Lưới thép BMC đổ bù</t>
        </is>
      </c>
      <c r="D337" s="18" t="inlineStr">
        <is>
          <t>S1</t>
        </is>
      </c>
      <c r="E337" s="19" t="n">
        <v>14</v>
      </c>
      <c r="F337" s="6" t="inlineStr">
        <is>
          <t>CB400-V</t>
        </is>
      </c>
      <c r="G337" s="7" t="inlineStr">
        <is>
          <t>S01</t>
        </is>
      </c>
      <c r="H337" s="20" t="n">
        <v>39.85</v>
      </c>
      <c r="I337" s="21" t="n">
        <v>84</v>
      </c>
      <c r="J337" s="22" t="n">
        <v>1.208</v>
      </c>
      <c r="K337" s="9">
        <f>ROUND(H337*I337*J337, 2)</f>
        <v/>
      </c>
      <c r="L337" s="23">
        <f>ROUND(K337/1000, 3)</f>
        <v/>
      </c>
      <c r="M337" s="8">
        <f>IF(AO337="","",IF(INDEX(Theo_Doi_Tan_Suat_Be_Tong!$C:$C,AO337)="","",INDEX(Theo_Doi_Tan_Suat_Be_Tong!$C:$C,AO337)-VLOOKUP(AN337,$AQ$2:$AR$7,2,FALSE)))</f>
        <v/>
      </c>
      <c r="N337" s="6" t="n"/>
      <c r="O337" s="24">
        <f>IF(ROUNDUP(R337/20,0)&gt;ROUNDUP(R336/20,0),"TN Ø14 (Lần " &amp; ROUNDUP(R337/20,0) &amp; ")","")</f>
        <v/>
      </c>
      <c r="P337" s="20">
        <f>ROUND(P336+IF(AND(E337&lt;=10,F337&lt;&gt;"ASTM A416"),L337,0),3)</f>
        <v/>
      </c>
      <c r="Q337" s="20">
        <f>ROUND(Q336+IF(AND(E337=12,F337&lt;&gt;"ASTM A416"),L337,0),3)</f>
        <v/>
      </c>
      <c r="R337" s="20">
        <f>ROUND(R336+IF(AND(E337=14,F337&lt;&gt;"ASTM A416"),L337,0),3)</f>
        <v/>
      </c>
      <c r="S337" s="20">
        <f>ROUND(S336+IF(AND(E337=16,F337&lt;&gt;"ASTM A416"),L337,0),3)</f>
        <v/>
      </c>
      <c r="T337" s="20">
        <f>ROUND(T336+IF(AND(E337=18,F337&lt;&gt;"ASTM A416"),L337,0),3)</f>
        <v/>
      </c>
      <c r="U337" s="20">
        <f>ROUND(U336+IF(AND(E337=20,F337&lt;&gt;"ASTM A416"),L337,0),3)</f>
        <v/>
      </c>
      <c r="V337" s="20">
        <f>ROUND(V336+IF(AND(E337=22,F337&lt;&gt;"ASTM A416"),L337,0),3)</f>
        <v/>
      </c>
      <c r="W337" s="20">
        <f>ROUND(W336+IF(AND(E337=25,F337&lt;&gt;"ASTM A416"),L337,0),3)</f>
        <v/>
      </c>
      <c r="X337" s="20">
        <f>ROUND(X336+IF(AND(E337=28,F337&lt;&gt;"ASTM A416"),L337,0),3)</f>
        <v/>
      </c>
      <c r="Y337" s="20">
        <f>ROUND(Y336+IF(AND(E337=32,F337&lt;&gt;"ASTM A416"),L337,0),3)</f>
        <v/>
      </c>
      <c r="Z337" s="20">
        <f>ROUND(Z336+IF(F337="ASTM A416",L337,0),3)</f>
        <v/>
      </c>
      <c r="AA337" s="11">
        <f>IF(ROUNDUP(P337/20,0)&gt;ROUNDUP(P336/20,0),"Lần " &amp; ROUNDUP(P337/20,0),"")</f>
        <v/>
      </c>
      <c r="AB337" s="11">
        <f>IF(ROUNDUP(Q337/20,0)&gt;ROUNDUP(Q336/20,0),"Lần " &amp; ROUNDUP(Q337/20,0),"")</f>
        <v/>
      </c>
      <c r="AC337" s="11">
        <f>IF(ROUNDUP(R337/20,0)&gt;ROUNDUP(R336/20,0),"Lần " &amp; ROUNDUP(R337/20,0),"")</f>
        <v/>
      </c>
      <c r="AD337" s="11">
        <f>IF(ROUNDUP(S337/20,0)&gt;ROUNDUP(S336/20,0),"Lần " &amp; ROUNDUP(S337/20,0),"")</f>
        <v/>
      </c>
      <c r="AE337" s="11">
        <f>IF(ROUNDUP(T337/20,0)&gt;ROUNDUP(T336/20,0),"Lần " &amp; ROUNDUP(T337/20,0),"")</f>
        <v/>
      </c>
      <c r="AF337" s="11">
        <f>IF(ROUNDUP(U337/20,0)&gt;ROUNDUP(U336/20,0),"Lần " &amp; ROUNDUP(U337/20,0),"")</f>
        <v/>
      </c>
      <c r="AG337" s="11">
        <f>IF(ROUNDUP(V337/20,0)&gt;ROUNDUP(V336/20,0),"Lần " &amp; ROUNDUP(V337/20,0),"")</f>
        <v/>
      </c>
      <c r="AH337" s="11">
        <f>IF(ROUNDUP(W337/20,0)&gt;ROUNDUP(W336/20,0),"Lần " &amp; ROUNDUP(W337/20,0),"")</f>
        <v/>
      </c>
      <c r="AI337" s="11">
        <f>IF(ROUNDUP(X337/20,0)&gt;ROUNDUP(X336/20,0),"Lần " &amp; ROUNDUP(X337/20,0),"")</f>
        <v/>
      </c>
      <c r="AJ337" s="11">
        <f>IF(ROUNDUP(Y337/20,0)&gt;ROUNDUP(Y336/20,0),"Lần " &amp; ROUNDUP(Y337/20,0),"")</f>
        <v/>
      </c>
      <c r="AK337" s="11">
        <f>IF(ROUNDUP(Z337/20,0)&gt;ROUNDUP(Z336/20,0),"Lần " &amp; ROUNDUP(Z337/20,0),"")</f>
        <v/>
      </c>
      <c r="AL337" s="6" t="n"/>
      <c r="AN337" t="inlineStr">
        <is>
          <t>HoanThien</t>
        </is>
      </c>
      <c r="AO337" t="n">
        <v>79</v>
      </c>
    </row>
    <row r="338" ht="19" customHeight="1">
      <c r="A338" s="6" t="n">
        <v>327</v>
      </c>
      <c r="B338" s="7" t="inlineStr">
        <is>
          <t>Bản mặt cầu (Deck Slab)</t>
        </is>
      </c>
      <c r="C338" s="7" t="inlineStr">
        <is>
          <t>Lưới thép BMC đổ bù</t>
        </is>
      </c>
      <c r="D338" s="18" t="inlineStr">
        <is>
          <t>S1a</t>
        </is>
      </c>
      <c r="E338" s="19" t="n">
        <v>14</v>
      </c>
      <c r="F338" s="6" t="inlineStr">
        <is>
          <t>CB400-V</t>
        </is>
      </c>
      <c r="G338" s="7" t="inlineStr">
        <is>
          <t>S01</t>
        </is>
      </c>
      <c r="H338" s="20" t="n">
        <v>39.29</v>
      </c>
      <c r="I338" s="21" t="n">
        <v>84</v>
      </c>
      <c r="J338" s="22" t="n">
        <v>1.208</v>
      </c>
      <c r="K338" s="9">
        <f>ROUND(H338*I338*J338, 2)</f>
        <v/>
      </c>
      <c r="L338" s="23">
        <f>ROUND(K338/1000, 3)</f>
        <v/>
      </c>
      <c r="M338" s="8">
        <f>IF(AO338="","",IF(INDEX(Theo_Doi_Tan_Suat_Be_Tong!$C:$C,AO338)="","",INDEX(Theo_Doi_Tan_Suat_Be_Tong!$C:$C,AO338)-VLOOKUP(AN338,$AQ$2:$AR$7,2,FALSE)))</f>
        <v/>
      </c>
      <c r="N338" s="6" t="n"/>
      <c r="O338" s="24">
        <f>IF(ROUNDUP(R338/20,0)&gt;ROUNDUP(R337/20,0),"TN Ø14 (Lần " &amp; ROUNDUP(R338/20,0) &amp; ")","")</f>
        <v/>
      </c>
      <c r="P338" s="20">
        <f>ROUND(P337+IF(AND(E338&lt;=10,F338&lt;&gt;"ASTM A416"),L338,0),3)</f>
        <v/>
      </c>
      <c r="Q338" s="20">
        <f>ROUND(Q337+IF(AND(E338=12,F338&lt;&gt;"ASTM A416"),L338,0),3)</f>
        <v/>
      </c>
      <c r="R338" s="20">
        <f>ROUND(R337+IF(AND(E338=14,F338&lt;&gt;"ASTM A416"),L338,0),3)</f>
        <v/>
      </c>
      <c r="S338" s="20">
        <f>ROUND(S337+IF(AND(E338=16,F338&lt;&gt;"ASTM A416"),L338,0),3)</f>
        <v/>
      </c>
      <c r="T338" s="20">
        <f>ROUND(T337+IF(AND(E338=18,F338&lt;&gt;"ASTM A416"),L338,0),3)</f>
        <v/>
      </c>
      <c r="U338" s="20">
        <f>ROUND(U337+IF(AND(E338=20,F338&lt;&gt;"ASTM A416"),L338,0),3)</f>
        <v/>
      </c>
      <c r="V338" s="20">
        <f>ROUND(V337+IF(AND(E338=22,F338&lt;&gt;"ASTM A416"),L338,0),3)</f>
        <v/>
      </c>
      <c r="W338" s="20">
        <f>ROUND(W337+IF(AND(E338=25,F338&lt;&gt;"ASTM A416"),L338,0),3)</f>
        <v/>
      </c>
      <c r="X338" s="20">
        <f>ROUND(X337+IF(AND(E338=28,F338&lt;&gt;"ASTM A416"),L338,0),3)</f>
        <v/>
      </c>
      <c r="Y338" s="20">
        <f>ROUND(Y337+IF(AND(E338=32,F338&lt;&gt;"ASTM A416"),L338,0),3)</f>
        <v/>
      </c>
      <c r="Z338" s="20">
        <f>ROUND(Z337+IF(F338="ASTM A416",L338,0),3)</f>
        <v/>
      </c>
      <c r="AA338" s="11">
        <f>IF(ROUNDUP(P338/20,0)&gt;ROUNDUP(P337/20,0),"Lần " &amp; ROUNDUP(P338/20,0),"")</f>
        <v/>
      </c>
      <c r="AB338" s="11">
        <f>IF(ROUNDUP(Q338/20,0)&gt;ROUNDUP(Q337/20,0),"Lần " &amp; ROUNDUP(Q338/20,0),"")</f>
        <v/>
      </c>
      <c r="AC338" s="11">
        <f>IF(ROUNDUP(R338/20,0)&gt;ROUNDUP(R337/20,0),"Lần " &amp; ROUNDUP(R338/20,0),"")</f>
        <v/>
      </c>
      <c r="AD338" s="11">
        <f>IF(ROUNDUP(S338/20,0)&gt;ROUNDUP(S337/20,0),"Lần " &amp; ROUNDUP(S338/20,0),"")</f>
        <v/>
      </c>
      <c r="AE338" s="11">
        <f>IF(ROUNDUP(T338/20,0)&gt;ROUNDUP(T337/20,0),"Lần " &amp; ROUNDUP(T338/20,0),"")</f>
        <v/>
      </c>
      <c r="AF338" s="11">
        <f>IF(ROUNDUP(U338/20,0)&gt;ROUNDUP(U337/20,0),"Lần " &amp; ROUNDUP(U338/20,0),"")</f>
        <v/>
      </c>
      <c r="AG338" s="11">
        <f>IF(ROUNDUP(V338/20,0)&gt;ROUNDUP(V337/20,0),"Lần " &amp; ROUNDUP(V338/20,0),"")</f>
        <v/>
      </c>
      <c r="AH338" s="11">
        <f>IF(ROUNDUP(W338/20,0)&gt;ROUNDUP(W337/20,0),"Lần " &amp; ROUNDUP(W338/20,0),"")</f>
        <v/>
      </c>
      <c r="AI338" s="11">
        <f>IF(ROUNDUP(X338/20,0)&gt;ROUNDUP(X337/20,0),"Lần " &amp; ROUNDUP(X338/20,0),"")</f>
        <v/>
      </c>
      <c r="AJ338" s="11">
        <f>IF(ROUNDUP(Y338/20,0)&gt;ROUNDUP(Y337/20,0),"Lần " &amp; ROUNDUP(Y338/20,0),"")</f>
        <v/>
      </c>
      <c r="AK338" s="11">
        <f>IF(ROUNDUP(Z338/20,0)&gt;ROUNDUP(Z337/20,0),"Lần " &amp; ROUNDUP(Z338/20,0),"")</f>
        <v/>
      </c>
      <c r="AL338" s="6" t="n"/>
      <c r="AN338" t="inlineStr">
        <is>
          <t>HoanThien</t>
        </is>
      </c>
      <c r="AO338" t="n">
        <v>79</v>
      </c>
    </row>
    <row r="339" ht="19" customHeight="1">
      <c r="A339" s="6" t="n">
        <v>328</v>
      </c>
      <c r="B339" s="7" t="inlineStr">
        <is>
          <t>Bản mặt cầu (Deck Slab)</t>
        </is>
      </c>
      <c r="C339" s="7" t="inlineStr">
        <is>
          <t>Lưới thép BMC đổ bù</t>
        </is>
      </c>
      <c r="D339" s="18" t="inlineStr">
        <is>
          <t>S2</t>
        </is>
      </c>
      <c r="E339" s="19" t="n">
        <v>18</v>
      </c>
      <c r="F339" s="6" t="inlineStr">
        <is>
          <t>CB400-V</t>
        </is>
      </c>
      <c r="G339" s="7" t="inlineStr">
        <is>
          <t>S01</t>
        </is>
      </c>
      <c r="H339" s="20" t="n">
        <v>13.135</v>
      </c>
      <c r="I339" s="21" t="n">
        <v>490</v>
      </c>
      <c r="J339" s="22" t="n">
        <v>1.998</v>
      </c>
      <c r="K339" s="9">
        <f>ROUND(H339*I339*J339, 2)</f>
        <v/>
      </c>
      <c r="L339" s="23">
        <f>ROUND(K339/1000, 3)</f>
        <v/>
      </c>
      <c r="M339" s="8">
        <f>IF(AO339="","",IF(INDEX(Theo_Doi_Tan_Suat_Be_Tong!$C:$C,AO339)="","",INDEX(Theo_Doi_Tan_Suat_Be_Tong!$C:$C,AO339)-VLOOKUP(AN339,$AQ$2:$AR$7,2,FALSE)))</f>
        <v/>
      </c>
      <c r="N339" s="6" t="n"/>
      <c r="O339" s="24">
        <f>IF(ROUNDUP(T339/20,0)&gt;ROUNDUP(T338/20,0),"TN Ø18 (Lần " &amp; ROUNDUP(T339/20,0) &amp; ")","")</f>
        <v/>
      </c>
      <c r="P339" s="20">
        <f>ROUND(P338+IF(AND(E339&lt;=10,F339&lt;&gt;"ASTM A416"),L339,0),3)</f>
        <v/>
      </c>
      <c r="Q339" s="20">
        <f>ROUND(Q338+IF(AND(E339=12,F339&lt;&gt;"ASTM A416"),L339,0),3)</f>
        <v/>
      </c>
      <c r="R339" s="20">
        <f>ROUND(R338+IF(AND(E339=14,F339&lt;&gt;"ASTM A416"),L339,0),3)</f>
        <v/>
      </c>
      <c r="S339" s="20">
        <f>ROUND(S338+IF(AND(E339=16,F339&lt;&gt;"ASTM A416"),L339,0),3)</f>
        <v/>
      </c>
      <c r="T339" s="20">
        <f>ROUND(T338+IF(AND(E339=18,F339&lt;&gt;"ASTM A416"),L339,0),3)</f>
        <v/>
      </c>
      <c r="U339" s="20">
        <f>ROUND(U338+IF(AND(E339=20,F339&lt;&gt;"ASTM A416"),L339,0),3)</f>
        <v/>
      </c>
      <c r="V339" s="20">
        <f>ROUND(V338+IF(AND(E339=22,F339&lt;&gt;"ASTM A416"),L339,0),3)</f>
        <v/>
      </c>
      <c r="W339" s="20">
        <f>ROUND(W338+IF(AND(E339=25,F339&lt;&gt;"ASTM A416"),L339,0),3)</f>
        <v/>
      </c>
      <c r="X339" s="20">
        <f>ROUND(X338+IF(AND(E339=28,F339&lt;&gt;"ASTM A416"),L339,0),3)</f>
        <v/>
      </c>
      <c r="Y339" s="20">
        <f>ROUND(Y338+IF(AND(E339=32,F339&lt;&gt;"ASTM A416"),L339,0),3)</f>
        <v/>
      </c>
      <c r="Z339" s="20">
        <f>ROUND(Z338+IF(F339="ASTM A416",L339,0),3)</f>
        <v/>
      </c>
      <c r="AA339" s="11">
        <f>IF(ROUNDUP(P339/20,0)&gt;ROUNDUP(P338/20,0),"Lần " &amp; ROUNDUP(P339/20,0),"")</f>
        <v/>
      </c>
      <c r="AB339" s="11">
        <f>IF(ROUNDUP(Q339/20,0)&gt;ROUNDUP(Q338/20,0),"Lần " &amp; ROUNDUP(Q339/20,0),"")</f>
        <v/>
      </c>
      <c r="AC339" s="11">
        <f>IF(ROUNDUP(R339/20,0)&gt;ROUNDUP(R338/20,0),"Lần " &amp; ROUNDUP(R339/20,0),"")</f>
        <v/>
      </c>
      <c r="AD339" s="11">
        <f>IF(ROUNDUP(S339/20,0)&gt;ROUNDUP(S338/20,0),"Lần " &amp; ROUNDUP(S339/20,0),"")</f>
        <v/>
      </c>
      <c r="AE339" s="11">
        <f>IF(ROUNDUP(T339/20,0)&gt;ROUNDUP(T338/20,0),"Lần " &amp; ROUNDUP(T339/20,0),"")</f>
        <v/>
      </c>
      <c r="AF339" s="11">
        <f>IF(ROUNDUP(U339/20,0)&gt;ROUNDUP(U338/20,0),"Lần " &amp; ROUNDUP(U339/20,0),"")</f>
        <v/>
      </c>
      <c r="AG339" s="11">
        <f>IF(ROUNDUP(V339/20,0)&gt;ROUNDUP(V338/20,0),"Lần " &amp; ROUNDUP(V339/20,0),"")</f>
        <v/>
      </c>
      <c r="AH339" s="11">
        <f>IF(ROUNDUP(W339/20,0)&gt;ROUNDUP(W338/20,0),"Lần " &amp; ROUNDUP(W339/20,0),"")</f>
        <v/>
      </c>
      <c r="AI339" s="11">
        <f>IF(ROUNDUP(X339/20,0)&gt;ROUNDUP(X338/20,0),"Lần " &amp; ROUNDUP(X339/20,0),"")</f>
        <v/>
      </c>
      <c r="AJ339" s="11">
        <f>IF(ROUNDUP(Y339/20,0)&gt;ROUNDUP(Y338/20,0),"Lần " &amp; ROUNDUP(Y339/20,0),"")</f>
        <v/>
      </c>
      <c r="AK339" s="11">
        <f>IF(ROUNDUP(Z339/20,0)&gt;ROUNDUP(Z338/20,0),"Lần " &amp; ROUNDUP(Z339/20,0),"")</f>
        <v/>
      </c>
      <c r="AL339" s="6" t="n"/>
      <c r="AN339" t="inlineStr">
        <is>
          <t>HoanThien</t>
        </is>
      </c>
      <c r="AO339" t="n">
        <v>79</v>
      </c>
    </row>
    <row r="340" ht="19" customHeight="1">
      <c r="A340" s="6" t="n">
        <v>329</v>
      </c>
      <c r="B340" s="7" t="inlineStr">
        <is>
          <t>Bản mặt cầu (Deck Slab)</t>
        </is>
      </c>
      <c r="C340" s="7" t="inlineStr">
        <is>
          <t>Lưới thép BMC đổ bù</t>
        </is>
      </c>
      <c r="D340" s="18" t="inlineStr">
        <is>
          <t>S3</t>
        </is>
      </c>
      <c r="E340" s="19" t="n">
        <v>10</v>
      </c>
      <c r="F340" s="6" t="inlineStr">
        <is>
          <t>CB240-T</t>
        </is>
      </c>
      <c r="G340" s="7" t="inlineStr">
        <is>
          <t>S01</t>
        </is>
      </c>
      <c r="H340" s="20" t="n">
        <v>0.33</v>
      </c>
      <c r="I340" s="21" t="n">
        <v>2420</v>
      </c>
      <c r="J340" s="22" t="n">
        <v>0.617</v>
      </c>
      <c r="K340" s="9">
        <f>ROUND(H340*I340*J340, 2)</f>
        <v/>
      </c>
      <c r="L340" s="23">
        <f>ROUND(K340/1000, 3)</f>
        <v/>
      </c>
      <c r="M340" s="8">
        <f>IF(AO340="","",IF(INDEX(Theo_Doi_Tan_Suat_Be_Tong!$C:$C,AO340)="","",INDEX(Theo_Doi_Tan_Suat_Be_Tong!$C:$C,AO340)-VLOOKUP(AN340,$AQ$2:$AR$7,2,FALSE)))</f>
        <v/>
      </c>
      <c r="N340" s="6" t="n"/>
      <c r="O340" s="24">
        <f>IF(ROUNDUP(P340/20,0)&gt;ROUNDUP(P339/20,0),"TN Ø10 (Lần " &amp; ROUNDUP(P340/20,0) &amp; ")","")</f>
        <v/>
      </c>
      <c r="P340" s="20">
        <f>ROUND(P339+IF(AND(E340&lt;=10,F340&lt;&gt;"ASTM A416"),L340,0),3)</f>
        <v/>
      </c>
      <c r="Q340" s="20">
        <f>ROUND(Q339+IF(AND(E340=12,F340&lt;&gt;"ASTM A416"),L340,0),3)</f>
        <v/>
      </c>
      <c r="R340" s="20">
        <f>ROUND(R339+IF(AND(E340=14,F340&lt;&gt;"ASTM A416"),L340,0),3)</f>
        <v/>
      </c>
      <c r="S340" s="20">
        <f>ROUND(S339+IF(AND(E340=16,F340&lt;&gt;"ASTM A416"),L340,0),3)</f>
        <v/>
      </c>
      <c r="T340" s="20">
        <f>ROUND(T339+IF(AND(E340=18,F340&lt;&gt;"ASTM A416"),L340,0),3)</f>
        <v/>
      </c>
      <c r="U340" s="20">
        <f>ROUND(U339+IF(AND(E340=20,F340&lt;&gt;"ASTM A416"),L340,0),3)</f>
        <v/>
      </c>
      <c r="V340" s="20">
        <f>ROUND(V339+IF(AND(E340=22,F340&lt;&gt;"ASTM A416"),L340,0),3)</f>
        <v/>
      </c>
      <c r="W340" s="20">
        <f>ROUND(W339+IF(AND(E340=25,F340&lt;&gt;"ASTM A416"),L340,0),3)</f>
        <v/>
      </c>
      <c r="X340" s="20">
        <f>ROUND(X339+IF(AND(E340=28,F340&lt;&gt;"ASTM A416"),L340,0),3)</f>
        <v/>
      </c>
      <c r="Y340" s="20">
        <f>ROUND(Y339+IF(AND(E340=32,F340&lt;&gt;"ASTM A416"),L340,0),3)</f>
        <v/>
      </c>
      <c r="Z340" s="20">
        <f>ROUND(Z339+IF(F340="ASTM A416",L340,0),3)</f>
        <v/>
      </c>
      <c r="AA340" s="11">
        <f>IF(ROUNDUP(P340/20,0)&gt;ROUNDUP(P339/20,0),"Lần " &amp; ROUNDUP(P340/20,0),"")</f>
        <v/>
      </c>
      <c r="AB340" s="11">
        <f>IF(ROUNDUP(Q340/20,0)&gt;ROUNDUP(Q339/20,0),"Lần " &amp; ROUNDUP(Q340/20,0),"")</f>
        <v/>
      </c>
      <c r="AC340" s="11">
        <f>IF(ROUNDUP(R340/20,0)&gt;ROUNDUP(R339/20,0),"Lần " &amp; ROUNDUP(R340/20,0),"")</f>
        <v/>
      </c>
      <c r="AD340" s="11">
        <f>IF(ROUNDUP(S340/20,0)&gt;ROUNDUP(S339/20,0),"Lần " &amp; ROUNDUP(S340/20,0),"")</f>
        <v/>
      </c>
      <c r="AE340" s="11">
        <f>IF(ROUNDUP(T340/20,0)&gt;ROUNDUP(T339/20,0),"Lần " &amp; ROUNDUP(T340/20,0),"")</f>
        <v/>
      </c>
      <c r="AF340" s="11">
        <f>IF(ROUNDUP(U340/20,0)&gt;ROUNDUP(U339/20,0),"Lần " &amp; ROUNDUP(U340/20,0),"")</f>
        <v/>
      </c>
      <c r="AG340" s="11">
        <f>IF(ROUNDUP(V340/20,0)&gt;ROUNDUP(V339/20,0),"Lần " &amp; ROUNDUP(V340/20,0),"")</f>
        <v/>
      </c>
      <c r="AH340" s="11">
        <f>IF(ROUNDUP(W340/20,0)&gt;ROUNDUP(W339/20,0),"Lần " &amp; ROUNDUP(W340/20,0),"")</f>
        <v/>
      </c>
      <c r="AI340" s="11">
        <f>IF(ROUNDUP(X340/20,0)&gt;ROUNDUP(X339/20,0),"Lần " &amp; ROUNDUP(X340/20,0),"")</f>
        <v/>
      </c>
      <c r="AJ340" s="11">
        <f>IF(ROUNDUP(Y340/20,0)&gt;ROUNDUP(Y339/20,0),"Lần " &amp; ROUNDUP(Y340/20,0),"")</f>
        <v/>
      </c>
      <c r="AK340" s="11">
        <f>IF(ROUNDUP(Z340/20,0)&gt;ROUNDUP(Z339/20,0),"Lần " &amp; ROUNDUP(Z340/20,0),"")</f>
        <v/>
      </c>
      <c r="AL340" s="6" t="n"/>
      <c r="AN340" t="inlineStr">
        <is>
          <t>HoanThien</t>
        </is>
      </c>
      <c r="AO340" t="n">
        <v>79</v>
      </c>
    </row>
    <row r="341" ht="20" customHeight="1">
      <c r="A341" s="6" t="n">
        <v>330</v>
      </c>
      <c r="B341" s="7" t="inlineStr">
        <is>
          <t>Bản mặt cầu (Deck Slab)</t>
        </is>
      </c>
      <c r="C341" s="7" t="inlineStr">
        <is>
          <t>Lưới thép BMC đổ bù</t>
        </is>
      </c>
      <c r="D341" s="18" t="inlineStr">
        <is>
          <t>S4</t>
        </is>
      </c>
      <c r="E341" s="19" t="n">
        <v>18</v>
      </c>
      <c r="F341" s="6" t="inlineStr">
        <is>
          <t>CB400-V</t>
        </is>
      </c>
      <c r="G341" s="7" t="inlineStr">
        <is>
          <t>S01</t>
        </is>
      </c>
      <c r="H341" s="20" t="n">
        <v>2.1</v>
      </c>
      <c r="I341" s="21" t="n">
        <v>980</v>
      </c>
      <c r="J341" s="22" t="n">
        <v>1.998</v>
      </c>
      <c r="K341" s="9">
        <f>ROUND(H341*I341*J341, 2)</f>
        <v/>
      </c>
      <c r="L341" s="23">
        <f>ROUND(K341/1000, 3)</f>
        <v/>
      </c>
      <c r="M341" s="8">
        <f>IF(AO341="","",IF(INDEX(Theo_Doi_Tan_Suat_Be_Tong!$C:$C,AO341)="","",INDEX(Theo_Doi_Tan_Suat_Be_Tong!$C:$C,AO341)-VLOOKUP(AN341,$AQ$2:$AR$7,2,FALSE)))</f>
        <v/>
      </c>
      <c r="N341" s="6" t="n"/>
      <c r="O341" s="24">
        <f>IF(ROUNDUP(T341/20,0)&gt;ROUNDUP(T340/20,0),"TN Ø18 (Lần " &amp; ROUNDUP(T341/20,0) &amp; ")","")</f>
        <v/>
      </c>
      <c r="P341" s="20">
        <f>ROUND(P340+IF(AND(E341&lt;=10,F341&lt;&gt;"ASTM A416"),L341,0),3)</f>
        <v/>
      </c>
      <c r="Q341" s="20">
        <f>ROUND(Q340+IF(AND(E341=12,F341&lt;&gt;"ASTM A416"),L341,0),3)</f>
        <v/>
      </c>
      <c r="R341" s="20">
        <f>ROUND(R340+IF(AND(E341=14,F341&lt;&gt;"ASTM A416"),L341,0),3)</f>
        <v/>
      </c>
      <c r="S341" s="20">
        <f>ROUND(S340+IF(AND(E341=16,F341&lt;&gt;"ASTM A416"),L341,0),3)</f>
        <v/>
      </c>
      <c r="T341" s="20">
        <f>ROUND(T340+IF(AND(E341=18,F341&lt;&gt;"ASTM A416"),L341,0),3)</f>
        <v/>
      </c>
      <c r="U341" s="20">
        <f>ROUND(U340+IF(AND(E341=20,F341&lt;&gt;"ASTM A416"),L341,0),3)</f>
        <v/>
      </c>
      <c r="V341" s="20">
        <f>ROUND(V340+IF(AND(E341=22,F341&lt;&gt;"ASTM A416"),L341,0),3)</f>
        <v/>
      </c>
      <c r="W341" s="20">
        <f>ROUND(W340+IF(AND(E341=25,F341&lt;&gt;"ASTM A416"),L341,0),3)</f>
        <v/>
      </c>
      <c r="X341" s="20">
        <f>ROUND(X340+IF(AND(E341=28,F341&lt;&gt;"ASTM A416"),L341,0),3)</f>
        <v/>
      </c>
      <c r="Y341" s="20">
        <f>ROUND(Y340+IF(AND(E341=32,F341&lt;&gt;"ASTM A416"),L341,0),3)</f>
        <v/>
      </c>
      <c r="Z341" s="20">
        <f>ROUND(Z340+IF(F341="ASTM A416",L341,0),3)</f>
        <v/>
      </c>
      <c r="AA341" s="11">
        <f>IF(ROUNDUP(P341/20,0)&gt;ROUNDUP(P340/20,0),"Lần " &amp; ROUNDUP(P341/20,0),"")</f>
        <v/>
      </c>
      <c r="AB341" s="11">
        <f>IF(ROUNDUP(Q341/20,0)&gt;ROUNDUP(Q340/20,0),"Lần " &amp; ROUNDUP(Q341/20,0),"")</f>
        <v/>
      </c>
      <c r="AC341" s="11">
        <f>IF(ROUNDUP(R341/20,0)&gt;ROUNDUP(R340/20,0),"Lần " &amp; ROUNDUP(R341/20,0),"")</f>
        <v/>
      </c>
      <c r="AD341" s="11">
        <f>IF(ROUNDUP(S341/20,0)&gt;ROUNDUP(S340/20,0),"Lần " &amp; ROUNDUP(S341/20,0),"")</f>
        <v/>
      </c>
      <c r="AE341" s="11">
        <f>IF(ROUNDUP(T341/20,0)&gt;ROUNDUP(T340/20,0),"Lần " &amp; ROUNDUP(T341/20,0),"")</f>
        <v/>
      </c>
      <c r="AF341" s="11">
        <f>IF(ROUNDUP(U341/20,0)&gt;ROUNDUP(U340/20,0),"Lần " &amp; ROUNDUP(U341/20,0),"")</f>
        <v/>
      </c>
      <c r="AG341" s="11">
        <f>IF(ROUNDUP(V341/20,0)&gt;ROUNDUP(V340/20,0),"Lần " &amp; ROUNDUP(V341/20,0),"")</f>
        <v/>
      </c>
      <c r="AH341" s="11">
        <f>IF(ROUNDUP(W341/20,0)&gt;ROUNDUP(W340/20,0),"Lần " &amp; ROUNDUP(W341/20,0),"")</f>
        <v/>
      </c>
      <c r="AI341" s="11">
        <f>IF(ROUNDUP(X341/20,0)&gt;ROUNDUP(X340/20,0),"Lần " &amp; ROUNDUP(X341/20,0),"")</f>
        <v/>
      </c>
      <c r="AJ341" s="11">
        <f>IF(ROUNDUP(Y341/20,0)&gt;ROUNDUP(Y340/20,0),"Lần " &amp; ROUNDUP(Y341/20,0),"")</f>
        <v/>
      </c>
      <c r="AK341" s="11">
        <f>IF(ROUNDUP(Z341/20,0)&gt;ROUNDUP(Z340/20,0),"Lần " &amp; ROUNDUP(Z341/20,0),"")</f>
        <v/>
      </c>
      <c r="AL341" s="6" t="n"/>
      <c r="AN341" t="inlineStr">
        <is>
          <t>HoanThien</t>
        </is>
      </c>
      <c r="AO341" t="n">
        <v>79</v>
      </c>
    </row>
    <row r="342" ht="19" customHeight="1">
      <c r="A342" s="6" t="n">
        <v>331</v>
      </c>
      <c r="B342" s="7" t="inlineStr">
        <is>
          <t>Bản mặt cầu (Deck Slab)</t>
        </is>
      </c>
      <c r="C342" s="7" t="inlineStr">
        <is>
          <t>Lưới thép BMC đổ bù</t>
        </is>
      </c>
      <c r="D342" s="18" t="inlineStr">
        <is>
          <t>DR1</t>
        </is>
      </c>
      <c r="E342" s="19" t="n">
        <v>14</v>
      </c>
      <c r="F342" s="6" t="inlineStr">
        <is>
          <t>CB400-V</t>
        </is>
      </c>
      <c r="G342" s="7" t="inlineStr">
        <is>
          <t>S01</t>
        </is>
      </c>
      <c r="H342" s="20" t="n">
        <v>0.6</v>
      </c>
      <c r="I342" s="21" t="n">
        <v>64</v>
      </c>
      <c r="J342" s="22" t="n">
        <v>1.208</v>
      </c>
      <c r="K342" s="9">
        <f>ROUND(H342*I342*J342, 2)</f>
        <v/>
      </c>
      <c r="L342" s="23">
        <f>ROUND(K342/1000, 3)</f>
        <v/>
      </c>
      <c r="M342" s="8">
        <f>IF(AO342="","",IF(INDEX(Theo_Doi_Tan_Suat_Be_Tong!$C:$C,AO342)="","",INDEX(Theo_Doi_Tan_Suat_Be_Tong!$C:$C,AO342)-VLOOKUP(AN342,$AQ$2:$AR$7,2,FALSE)))</f>
        <v/>
      </c>
      <c r="N342" s="6" t="n"/>
      <c r="O342" s="24">
        <f>IF(ROUNDUP(R342/20,0)&gt;ROUNDUP(R341/20,0),"TN Ø14 (Lần " &amp; ROUNDUP(R342/20,0) &amp; ")","")</f>
        <v/>
      </c>
      <c r="P342" s="20">
        <f>ROUND(P341+IF(AND(E342&lt;=10,F342&lt;&gt;"ASTM A416"),L342,0),3)</f>
        <v/>
      </c>
      <c r="Q342" s="20">
        <f>ROUND(Q341+IF(AND(E342=12,F342&lt;&gt;"ASTM A416"),L342,0),3)</f>
        <v/>
      </c>
      <c r="R342" s="20">
        <f>ROUND(R341+IF(AND(E342=14,F342&lt;&gt;"ASTM A416"),L342,0),3)</f>
        <v/>
      </c>
      <c r="S342" s="20">
        <f>ROUND(S341+IF(AND(E342=16,F342&lt;&gt;"ASTM A416"),L342,0),3)</f>
        <v/>
      </c>
      <c r="T342" s="20">
        <f>ROUND(T341+IF(AND(E342=18,F342&lt;&gt;"ASTM A416"),L342,0),3)</f>
        <v/>
      </c>
      <c r="U342" s="20">
        <f>ROUND(U341+IF(AND(E342=20,F342&lt;&gt;"ASTM A416"),L342,0),3)</f>
        <v/>
      </c>
      <c r="V342" s="20">
        <f>ROUND(V341+IF(AND(E342=22,F342&lt;&gt;"ASTM A416"),L342,0),3)</f>
        <v/>
      </c>
      <c r="W342" s="20">
        <f>ROUND(W341+IF(AND(E342=25,F342&lt;&gt;"ASTM A416"),L342,0),3)</f>
        <v/>
      </c>
      <c r="X342" s="20">
        <f>ROUND(X341+IF(AND(E342=28,F342&lt;&gt;"ASTM A416"),L342,0),3)</f>
        <v/>
      </c>
      <c r="Y342" s="20">
        <f>ROUND(Y341+IF(AND(E342=32,F342&lt;&gt;"ASTM A416"),L342,0),3)</f>
        <v/>
      </c>
      <c r="Z342" s="20">
        <f>ROUND(Z341+IF(F342="ASTM A416",L342,0),3)</f>
        <v/>
      </c>
      <c r="AA342" s="11">
        <f>IF(ROUNDUP(P342/20,0)&gt;ROUNDUP(P341/20,0),"Lần " &amp; ROUNDUP(P342/20,0),"")</f>
        <v/>
      </c>
      <c r="AB342" s="11">
        <f>IF(ROUNDUP(Q342/20,0)&gt;ROUNDUP(Q341/20,0),"Lần " &amp; ROUNDUP(Q342/20,0),"")</f>
        <v/>
      </c>
      <c r="AC342" s="11">
        <f>IF(ROUNDUP(R342/20,0)&gt;ROUNDUP(R341/20,0),"Lần " &amp; ROUNDUP(R342/20,0),"")</f>
        <v/>
      </c>
      <c r="AD342" s="11">
        <f>IF(ROUNDUP(S342/20,0)&gt;ROUNDUP(S341/20,0),"Lần " &amp; ROUNDUP(S342/20,0),"")</f>
        <v/>
      </c>
      <c r="AE342" s="11">
        <f>IF(ROUNDUP(T342/20,0)&gt;ROUNDUP(T341/20,0),"Lần " &amp; ROUNDUP(T342/20,0),"")</f>
        <v/>
      </c>
      <c r="AF342" s="11">
        <f>IF(ROUNDUP(U342/20,0)&gt;ROUNDUP(U341/20,0),"Lần " &amp; ROUNDUP(U342/20,0),"")</f>
        <v/>
      </c>
      <c r="AG342" s="11">
        <f>IF(ROUNDUP(V342/20,0)&gt;ROUNDUP(V341/20,0),"Lần " &amp; ROUNDUP(V342/20,0),"")</f>
        <v/>
      </c>
      <c r="AH342" s="11">
        <f>IF(ROUNDUP(W342/20,0)&gt;ROUNDUP(W341/20,0),"Lần " &amp; ROUNDUP(W342/20,0),"")</f>
        <v/>
      </c>
      <c r="AI342" s="11">
        <f>IF(ROUNDUP(X342/20,0)&gt;ROUNDUP(X341/20,0),"Lần " &amp; ROUNDUP(X342/20,0),"")</f>
        <v/>
      </c>
      <c r="AJ342" s="11">
        <f>IF(ROUNDUP(Y342/20,0)&gt;ROUNDUP(Y341/20,0),"Lần " &amp; ROUNDUP(Y342/20,0),"")</f>
        <v/>
      </c>
      <c r="AK342" s="11">
        <f>IF(ROUNDUP(Z342/20,0)&gt;ROUNDUP(Z341/20,0),"Lần " &amp; ROUNDUP(Z342/20,0),"")</f>
        <v/>
      </c>
      <c r="AL342" s="6" t="n"/>
      <c r="AN342" t="inlineStr">
        <is>
          <t>HoanThien</t>
        </is>
      </c>
      <c r="AO342" t="n">
        <v>79</v>
      </c>
    </row>
    <row r="343" ht="19" customHeight="1">
      <c r="A343" s="6" t="n">
        <v>332</v>
      </c>
      <c r="B343" s="7" t="inlineStr">
        <is>
          <t>Bản mặt cầu (Deck Slab)</t>
        </is>
      </c>
      <c r="C343" s="7" t="inlineStr">
        <is>
          <t>Lưới thép BMC đổ bù</t>
        </is>
      </c>
      <c r="D343" s="18" t="inlineStr">
        <is>
          <t>DR2</t>
        </is>
      </c>
      <c r="E343" s="19" t="n">
        <v>14</v>
      </c>
      <c r="F343" s="6" t="inlineStr">
        <is>
          <t>CB400-V</t>
        </is>
      </c>
      <c r="G343" s="7" t="inlineStr">
        <is>
          <t>S01</t>
        </is>
      </c>
      <c r="H343" s="20" t="n">
        <v>1.3</v>
      </c>
      <c r="I343" s="21" t="n">
        <v>32</v>
      </c>
      <c r="J343" s="22" t="n">
        <v>1.208</v>
      </c>
      <c r="K343" s="9">
        <f>ROUND(H343*I343*J343, 2)</f>
        <v/>
      </c>
      <c r="L343" s="23">
        <f>ROUND(K343/1000, 3)</f>
        <v/>
      </c>
      <c r="M343" s="8">
        <f>IF(AO343="","",IF(INDEX(Theo_Doi_Tan_Suat_Be_Tong!$C:$C,AO343)="","",INDEX(Theo_Doi_Tan_Suat_Be_Tong!$C:$C,AO343)-VLOOKUP(AN343,$AQ$2:$AR$7,2,FALSE)))</f>
        <v/>
      </c>
      <c r="N343" s="6" t="n"/>
      <c r="O343" s="24">
        <f>IF(ROUNDUP(R343/20,0)&gt;ROUNDUP(R342/20,0),"TN Ø14 (Lần " &amp; ROUNDUP(R343/20,0) &amp; ")","")</f>
        <v/>
      </c>
      <c r="P343" s="20">
        <f>ROUND(P342+IF(AND(E343&lt;=10,F343&lt;&gt;"ASTM A416"),L343,0),3)</f>
        <v/>
      </c>
      <c r="Q343" s="20">
        <f>ROUND(Q342+IF(AND(E343=12,F343&lt;&gt;"ASTM A416"),L343,0),3)</f>
        <v/>
      </c>
      <c r="R343" s="20">
        <f>ROUND(R342+IF(AND(E343=14,F343&lt;&gt;"ASTM A416"),L343,0),3)</f>
        <v/>
      </c>
      <c r="S343" s="20">
        <f>ROUND(S342+IF(AND(E343=16,F343&lt;&gt;"ASTM A416"),L343,0),3)</f>
        <v/>
      </c>
      <c r="T343" s="20">
        <f>ROUND(T342+IF(AND(E343=18,F343&lt;&gt;"ASTM A416"),L343,0),3)</f>
        <v/>
      </c>
      <c r="U343" s="20">
        <f>ROUND(U342+IF(AND(E343=20,F343&lt;&gt;"ASTM A416"),L343,0),3)</f>
        <v/>
      </c>
      <c r="V343" s="20">
        <f>ROUND(V342+IF(AND(E343=22,F343&lt;&gt;"ASTM A416"),L343,0),3)</f>
        <v/>
      </c>
      <c r="W343" s="20">
        <f>ROUND(W342+IF(AND(E343=25,F343&lt;&gt;"ASTM A416"),L343,0),3)</f>
        <v/>
      </c>
      <c r="X343" s="20">
        <f>ROUND(X342+IF(AND(E343=28,F343&lt;&gt;"ASTM A416"),L343,0),3)</f>
        <v/>
      </c>
      <c r="Y343" s="20">
        <f>ROUND(Y342+IF(AND(E343=32,F343&lt;&gt;"ASTM A416"),L343,0),3)</f>
        <v/>
      </c>
      <c r="Z343" s="20">
        <f>ROUND(Z342+IF(F343="ASTM A416",L343,0),3)</f>
        <v/>
      </c>
      <c r="AA343" s="11">
        <f>IF(ROUNDUP(P343/20,0)&gt;ROUNDUP(P342/20,0),"Lần " &amp; ROUNDUP(P343/20,0),"")</f>
        <v/>
      </c>
      <c r="AB343" s="11">
        <f>IF(ROUNDUP(Q343/20,0)&gt;ROUNDUP(Q342/20,0),"Lần " &amp; ROUNDUP(Q343/20,0),"")</f>
        <v/>
      </c>
      <c r="AC343" s="11">
        <f>IF(ROUNDUP(R343/20,0)&gt;ROUNDUP(R342/20,0),"Lần " &amp; ROUNDUP(R343/20,0),"")</f>
        <v/>
      </c>
      <c r="AD343" s="11">
        <f>IF(ROUNDUP(S343/20,0)&gt;ROUNDUP(S342/20,0),"Lần " &amp; ROUNDUP(S343/20,0),"")</f>
        <v/>
      </c>
      <c r="AE343" s="11">
        <f>IF(ROUNDUP(T343/20,0)&gt;ROUNDUP(T342/20,0),"Lần " &amp; ROUNDUP(T343/20,0),"")</f>
        <v/>
      </c>
      <c r="AF343" s="11">
        <f>IF(ROUNDUP(U343/20,0)&gt;ROUNDUP(U342/20,0),"Lần " &amp; ROUNDUP(U343/20,0),"")</f>
        <v/>
      </c>
      <c r="AG343" s="11">
        <f>IF(ROUNDUP(V343/20,0)&gt;ROUNDUP(V342/20,0),"Lần " &amp; ROUNDUP(V343/20,0),"")</f>
        <v/>
      </c>
      <c r="AH343" s="11">
        <f>IF(ROUNDUP(W343/20,0)&gt;ROUNDUP(W342/20,0),"Lần " &amp; ROUNDUP(W343/20,0),"")</f>
        <v/>
      </c>
      <c r="AI343" s="11">
        <f>IF(ROUNDUP(X343/20,0)&gt;ROUNDUP(X342/20,0),"Lần " &amp; ROUNDUP(X343/20,0),"")</f>
        <v/>
      </c>
      <c r="AJ343" s="11">
        <f>IF(ROUNDUP(Y343/20,0)&gt;ROUNDUP(Y342/20,0),"Lần " &amp; ROUNDUP(Y343/20,0),"")</f>
        <v/>
      </c>
      <c r="AK343" s="11">
        <f>IF(ROUNDUP(Z343/20,0)&gt;ROUNDUP(Z342/20,0),"Lần " &amp; ROUNDUP(Z343/20,0),"")</f>
        <v/>
      </c>
      <c r="AL343" s="6" t="n"/>
      <c r="AN343" t="inlineStr">
        <is>
          <t>HoanThien</t>
        </is>
      </c>
      <c r="AO343" t="n">
        <v>79</v>
      </c>
    </row>
    <row r="344" ht="19" customHeight="1">
      <c r="A344" s="6" t="n">
        <v>333</v>
      </c>
      <c r="B344" s="7" t="inlineStr">
        <is>
          <t>Bản mặt cầu (Deck Slab)</t>
        </is>
      </c>
      <c r="C344" s="7" t="inlineStr">
        <is>
          <t>Lưới thép BMC đổ bù</t>
        </is>
      </c>
      <c r="D344" s="18" t="inlineStr">
        <is>
          <t>DR3</t>
        </is>
      </c>
      <c r="E344" s="19" t="n">
        <v>14</v>
      </c>
      <c r="F344" s="6" t="inlineStr">
        <is>
          <t>CB400-V</t>
        </is>
      </c>
      <c r="G344" s="7" t="inlineStr">
        <is>
          <t>S01</t>
        </is>
      </c>
      <c r="H344" s="20" t="n">
        <v>0.9</v>
      </c>
      <c r="I344" s="21" t="n">
        <v>64</v>
      </c>
      <c r="J344" s="22" t="n">
        <v>1.208</v>
      </c>
      <c r="K344" s="9">
        <f>ROUND(H344*I344*J344, 2)</f>
        <v/>
      </c>
      <c r="L344" s="23">
        <f>ROUND(K344/1000, 3)</f>
        <v/>
      </c>
      <c r="M344" s="8">
        <f>IF(AO344="","",IF(INDEX(Theo_Doi_Tan_Suat_Be_Tong!$C:$C,AO344)="","",INDEX(Theo_Doi_Tan_Suat_Be_Tong!$C:$C,AO344)-VLOOKUP(AN344,$AQ$2:$AR$7,2,FALSE)))</f>
        <v/>
      </c>
      <c r="N344" s="6" t="n"/>
      <c r="O344" s="24">
        <f>IF(ROUNDUP(R344/20,0)&gt;ROUNDUP(R343/20,0),"TN Ø14 (Lần " &amp; ROUNDUP(R344/20,0) &amp; ")","")</f>
        <v/>
      </c>
      <c r="P344" s="20">
        <f>ROUND(P343+IF(AND(E344&lt;=10,F344&lt;&gt;"ASTM A416"),L344,0),3)</f>
        <v/>
      </c>
      <c r="Q344" s="20">
        <f>ROUND(Q343+IF(AND(E344=12,F344&lt;&gt;"ASTM A416"),L344,0),3)</f>
        <v/>
      </c>
      <c r="R344" s="20">
        <f>ROUND(R343+IF(AND(E344=14,F344&lt;&gt;"ASTM A416"),L344,0),3)</f>
        <v/>
      </c>
      <c r="S344" s="20">
        <f>ROUND(S343+IF(AND(E344=16,F344&lt;&gt;"ASTM A416"),L344,0),3)</f>
        <v/>
      </c>
      <c r="T344" s="20">
        <f>ROUND(T343+IF(AND(E344=18,F344&lt;&gt;"ASTM A416"),L344,0),3)</f>
        <v/>
      </c>
      <c r="U344" s="20">
        <f>ROUND(U343+IF(AND(E344=20,F344&lt;&gt;"ASTM A416"),L344,0),3)</f>
        <v/>
      </c>
      <c r="V344" s="20">
        <f>ROUND(V343+IF(AND(E344=22,F344&lt;&gt;"ASTM A416"),L344,0),3)</f>
        <v/>
      </c>
      <c r="W344" s="20">
        <f>ROUND(W343+IF(AND(E344=25,F344&lt;&gt;"ASTM A416"),L344,0),3)</f>
        <v/>
      </c>
      <c r="X344" s="20">
        <f>ROUND(X343+IF(AND(E344=28,F344&lt;&gt;"ASTM A416"),L344,0),3)</f>
        <v/>
      </c>
      <c r="Y344" s="20">
        <f>ROUND(Y343+IF(AND(E344=32,F344&lt;&gt;"ASTM A416"),L344,0),3)</f>
        <v/>
      </c>
      <c r="Z344" s="20">
        <f>ROUND(Z343+IF(F344="ASTM A416",L344,0),3)</f>
        <v/>
      </c>
      <c r="AA344" s="11">
        <f>IF(ROUNDUP(P344/20,0)&gt;ROUNDUP(P343/20,0),"Lần " &amp; ROUNDUP(P344/20,0),"")</f>
        <v/>
      </c>
      <c r="AB344" s="11">
        <f>IF(ROUNDUP(Q344/20,0)&gt;ROUNDUP(Q343/20,0),"Lần " &amp; ROUNDUP(Q344/20,0),"")</f>
        <v/>
      </c>
      <c r="AC344" s="11">
        <f>IF(ROUNDUP(R344/20,0)&gt;ROUNDUP(R343/20,0),"Lần " &amp; ROUNDUP(R344/20,0),"")</f>
        <v/>
      </c>
      <c r="AD344" s="11">
        <f>IF(ROUNDUP(S344/20,0)&gt;ROUNDUP(S343/20,0),"Lần " &amp; ROUNDUP(S344/20,0),"")</f>
        <v/>
      </c>
      <c r="AE344" s="11">
        <f>IF(ROUNDUP(T344/20,0)&gt;ROUNDUP(T343/20,0),"Lần " &amp; ROUNDUP(T344/20,0),"")</f>
        <v/>
      </c>
      <c r="AF344" s="11">
        <f>IF(ROUNDUP(U344/20,0)&gt;ROUNDUP(U343/20,0),"Lần " &amp; ROUNDUP(U344/20,0),"")</f>
        <v/>
      </c>
      <c r="AG344" s="11">
        <f>IF(ROUNDUP(V344/20,0)&gt;ROUNDUP(V343/20,0),"Lần " &amp; ROUNDUP(V344/20,0),"")</f>
        <v/>
      </c>
      <c r="AH344" s="11">
        <f>IF(ROUNDUP(W344/20,0)&gt;ROUNDUP(W343/20,0),"Lần " &amp; ROUNDUP(W344/20,0),"")</f>
        <v/>
      </c>
      <c r="AI344" s="11">
        <f>IF(ROUNDUP(X344/20,0)&gt;ROUNDUP(X343/20,0),"Lần " &amp; ROUNDUP(X344/20,0),"")</f>
        <v/>
      </c>
      <c r="AJ344" s="11">
        <f>IF(ROUNDUP(Y344/20,0)&gt;ROUNDUP(Y343/20,0),"Lần " &amp; ROUNDUP(Y344/20,0),"")</f>
        <v/>
      </c>
      <c r="AK344" s="11">
        <f>IF(ROUNDUP(Z344/20,0)&gt;ROUNDUP(Z343/20,0),"Lần " &amp; ROUNDUP(Z344/20,0),"")</f>
        <v/>
      </c>
      <c r="AL344" s="6" t="n"/>
      <c r="AN344" t="inlineStr">
        <is>
          <t>HoanThien</t>
        </is>
      </c>
      <c r="AO344" t="n">
        <v>79</v>
      </c>
    </row>
    <row r="345" ht="19" customHeight="1">
      <c r="A345" s="17" t="inlineStr">
        <is>
          <t>--- BẢN LIÊN TỤC NHIỆT (LINK SLAB) ---</t>
        </is>
      </c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  <c r="AG345" s="35" t="n"/>
      <c r="AH345" s="35" t="n"/>
      <c r="AI345" s="35" t="n"/>
      <c r="AJ345" s="35" t="n"/>
      <c r="AK345" s="35" t="n"/>
      <c r="AL345" s="34" t="n"/>
    </row>
    <row r="346" ht="19" customHeight="1">
      <c r="A346" s="6" t="n">
        <v>334</v>
      </c>
      <c r="B346" s="7" t="inlineStr">
        <is>
          <t>Bản liên tục nhiệt (Link Slab)</t>
        </is>
      </c>
      <c r="C346" s="7" t="inlineStr">
        <is>
          <t>Liên tục nhiệt T1, T2 (tr.112)</t>
        </is>
      </c>
      <c r="D346" s="18" t="inlineStr">
        <is>
          <t>L1</t>
        </is>
      </c>
      <c r="E346" s="19" t="n">
        <v>18</v>
      </c>
      <c r="F346" s="6" t="inlineStr">
        <is>
          <t>CB400-V</t>
        </is>
      </c>
      <c r="G346" s="7" t="inlineStr"/>
      <c r="H346" s="20" t="n">
        <v>13.135</v>
      </c>
      <c r="I346" s="21" t="n">
        <v>108</v>
      </c>
      <c r="J346" s="22" t="n">
        <v>1.998</v>
      </c>
      <c r="K346" s="9">
        <f>ROUND(H346*I346*J346, 2)</f>
        <v/>
      </c>
      <c r="L346" s="23">
        <f>ROUND(K346/1000, 3)</f>
        <v/>
      </c>
      <c r="M346" s="8">
        <f>IF(AO346="","",IF(INDEX(Theo_Doi_Tan_Suat_Be_Tong!$C:$C,AO346)="","",INDEX(Theo_Doi_Tan_Suat_Be_Tong!$C:$C,AO346)-VLOOKUP(AN346,$AQ$2:$AR$7,2,FALSE)))</f>
        <v/>
      </c>
      <c r="N346" s="6" t="n"/>
      <c r="O346" s="24">
        <f>IF(ROUNDUP(T346/20,0)&gt;ROUNDUP(T344/20,0),"TN Ø18 (Lần " &amp; ROUNDUP(T346/20,0) &amp; ")","")</f>
        <v/>
      </c>
      <c r="P346" s="20">
        <f>ROUND(P344+IF(AND(E346&lt;=10,F346&lt;&gt;"ASTM A416"),L346,0),3)</f>
        <v/>
      </c>
      <c r="Q346" s="20">
        <f>ROUND(Q344+IF(AND(E346=12,F346&lt;&gt;"ASTM A416"),L346,0),3)</f>
        <v/>
      </c>
      <c r="R346" s="20">
        <f>ROUND(R344+IF(AND(E346=14,F346&lt;&gt;"ASTM A416"),L346,0),3)</f>
        <v/>
      </c>
      <c r="S346" s="20">
        <f>ROUND(S344+IF(AND(E346=16,F346&lt;&gt;"ASTM A416"),L346,0),3)</f>
        <v/>
      </c>
      <c r="T346" s="20">
        <f>ROUND(T344+IF(AND(E346=18,F346&lt;&gt;"ASTM A416"),L346,0),3)</f>
        <v/>
      </c>
      <c r="U346" s="20">
        <f>ROUND(U344+IF(AND(E346=20,F346&lt;&gt;"ASTM A416"),L346,0),3)</f>
        <v/>
      </c>
      <c r="V346" s="20">
        <f>ROUND(V344+IF(AND(E346=22,F346&lt;&gt;"ASTM A416"),L346,0),3)</f>
        <v/>
      </c>
      <c r="W346" s="20">
        <f>ROUND(W344+IF(AND(E346=25,F346&lt;&gt;"ASTM A416"),L346,0),3)</f>
        <v/>
      </c>
      <c r="X346" s="20">
        <f>ROUND(X344+IF(AND(E346=28,F346&lt;&gt;"ASTM A416"),L346,0),3)</f>
        <v/>
      </c>
      <c r="Y346" s="20">
        <f>ROUND(Y344+IF(AND(E346=32,F346&lt;&gt;"ASTM A416"),L346,0),3)</f>
        <v/>
      </c>
      <c r="Z346" s="20">
        <f>ROUND(Z344+IF(F346="ASTM A416",L346,0),3)</f>
        <v/>
      </c>
      <c r="AA346" s="11">
        <f>IF(ROUNDUP(P346/20,0)&gt;ROUNDUP(P344/20,0),"Lần " &amp; ROUNDUP(P346/20,0),"")</f>
        <v/>
      </c>
      <c r="AB346" s="11">
        <f>IF(ROUNDUP(Q346/20,0)&gt;ROUNDUP(Q344/20,0),"Lần " &amp; ROUNDUP(Q346/20,0),"")</f>
        <v/>
      </c>
      <c r="AC346" s="11">
        <f>IF(ROUNDUP(R346/20,0)&gt;ROUNDUP(R344/20,0),"Lần " &amp; ROUNDUP(R346/20,0),"")</f>
        <v/>
      </c>
      <c r="AD346" s="11">
        <f>IF(ROUNDUP(S346/20,0)&gt;ROUNDUP(S344/20,0),"Lần " &amp; ROUNDUP(S346/20,0),"")</f>
        <v/>
      </c>
      <c r="AE346" s="11">
        <f>IF(ROUNDUP(T346/20,0)&gt;ROUNDUP(T344/20,0),"Lần " &amp; ROUNDUP(T346/20,0),"")</f>
        <v/>
      </c>
      <c r="AF346" s="11">
        <f>IF(ROUNDUP(U346/20,0)&gt;ROUNDUP(U344/20,0),"Lần " &amp; ROUNDUP(U346/20,0),"")</f>
        <v/>
      </c>
      <c r="AG346" s="11">
        <f>IF(ROUNDUP(V346/20,0)&gt;ROUNDUP(V344/20,0),"Lần " &amp; ROUNDUP(V346/20,0),"")</f>
        <v/>
      </c>
      <c r="AH346" s="11">
        <f>IF(ROUNDUP(W346/20,0)&gt;ROUNDUP(W344/20,0),"Lần " &amp; ROUNDUP(W346/20,0),"")</f>
        <v/>
      </c>
      <c r="AI346" s="11">
        <f>IF(ROUNDUP(X346/20,0)&gt;ROUNDUP(X344/20,0),"Lần " &amp; ROUNDUP(X346/20,0),"")</f>
        <v/>
      </c>
      <c r="AJ346" s="11">
        <f>IF(ROUNDUP(Y346/20,0)&gt;ROUNDUP(Y344/20,0),"Lần " &amp; ROUNDUP(Y346/20,0),"")</f>
        <v/>
      </c>
      <c r="AK346" s="11">
        <f>IF(ROUNDUP(Z346/20,0)&gt;ROUNDUP(Z344/20,0),"Lần " &amp; ROUNDUP(Z346/20,0),"")</f>
        <v/>
      </c>
      <c r="AL346" s="6" t="n"/>
      <c r="AN346" t="inlineStr">
        <is>
          <t>HoanThien</t>
        </is>
      </c>
      <c r="AO346" t="n">
        <v>78</v>
      </c>
    </row>
    <row r="347" ht="19" customHeight="1">
      <c r="A347" s="6" t="n">
        <v>335</v>
      </c>
      <c r="B347" s="7" t="inlineStr">
        <is>
          <t>Bản liên tục nhiệt (Link Slab)</t>
        </is>
      </c>
      <c r="C347" s="7" t="inlineStr">
        <is>
          <t>Liên tục nhiệt T1, T2 (tr.112)</t>
        </is>
      </c>
      <c r="D347" s="18" t="inlineStr">
        <is>
          <t>L2</t>
        </is>
      </c>
      <c r="E347" s="19" t="n">
        <v>25</v>
      </c>
      <c r="F347" s="6" t="inlineStr">
        <is>
          <t>CB400-V</t>
        </is>
      </c>
      <c r="G347" s="7" t="inlineStr"/>
      <c r="H347" s="20" t="n">
        <v>3.92</v>
      </c>
      <c r="I347" s="21" t="n">
        <v>336</v>
      </c>
      <c r="J347" s="22" t="n">
        <v>3.853</v>
      </c>
      <c r="K347" s="9">
        <f>ROUND(H347*I347*J347, 2)</f>
        <v/>
      </c>
      <c r="L347" s="23">
        <f>ROUND(K347/1000, 3)</f>
        <v/>
      </c>
      <c r="M347" s="8">
        <f>IF(AO347="","",IF(INDEX(Theo_Doi_Tan_Suat_Be_Tong!$C:$C,AO347)="","",INDEX(Theo_Doi_Tan_Suat_Be_Tong!$C:$C,AO347)-VLOOKUP(AN347,$AQ$2:$AR$7,2,FALSE)))</f>
        <v/>
      </c>
      <c r="N347" s="6" t="n"/>
      <c r="O347" s="24">
        <f>IF(ROUNDUP(W347/20,0)&gt;ROUNDUP(W346/20,0),"TN Ø25 (Lần " &amp; ROUNDUP(W347/20,0) &amp; ")","")</f>
        <v/>
      </c>
      <c r="P347" s="20">
        <f>ROUND(P346+IF(AND(E347&lt;=10,F347&lt;&gt;"ASTM A416"),L347,0),3)</f>
        <v/>
      </c>
      <c r="Q347" s="20">
        <f>ROUND(Q346+IF(AND(E347=12,F347&lt;&gt;"ASTM A416"),L347,0),3)</f>
        <v/>
      </c>
      <c r="R347" s="20">
        <f>ROUND(R346+IF(AND(E347=14,F347&lt;&gt;"ASTM A416"),L347,0),3)</f>
        <v/>
      </c>
      <c r="S347" s="20">
        <f>ROUND(S346+IF(AND(E347=16,F347&lt;&gt;"ASTM A416"),L347,0),3)</f>
        <v/>
      </c>
      <c r="T347" s="20">
        <f>ROUND(T346+IF(AND(E347=18,F347&lt;&gt;"ASTM A416"),L347,0),3)</f>
        <v/>
      </c>
      <c r="U347" s="20">
        <f>ROUND(U346+IF(AND(E347=20,F347&lt;&gt;"ASTM A416"),L347,0),3)</f>
        <v/>
      </c>
      <c r="V347" s="20">
        <f>ROUND(V346+IF(AND(E347=22,F347&lt;&gt;"ASTM A416"),L347,0),3)</f>
        <v/>
      </c>
      <c r="W347" s="20">
        <f>ROUND(W346+IF(AND(E347=25,F347&lt;&gt;"ASTM A416"),L347,0),3)</f>
        <v/>
      </c>
      <c r="X347" s="20">
        <f>ROUND(X346+IF(AND(E347=28,F347&lt;&gt;"ASTM A416"),L347,0),3)</f>
        <v/>
      </c>
      <c r="Y347" s="20">
        <f>ROUND(Y346+IF(AND(E347=32,F347&lt;&gt;"ASTM A416"),L347,0),3)</f>
        <v/>
      </c>
      <c r="Z347" s="20">
        <f>ROUND(Z346+IF(F347="ASTM A416",L347,0),3)</f>
        <v/>
      </c>
      <c r="AA347" s="11">
        <f>IF(ROUNDUP(P347/20,0)&gt;ROUNDUP(P346/20,0),"Lần " &amp; ROUNDUP(P347/20,0),"")</f>
        <v/>
      </c>
      <c r="AB347" s="11">
        <f>IF(ROUNDUP(Q347/20,0)&gt;ROUNDUP(Q346/20,0),"Lần " &amp; ROUNDUP(Q347/20,0),"")</f>
        <v/>
      </c>
      <c r="AC347" s="11">
        <f>IF(ROUNDUP(R347/20,0)&gt;ROUNDUP(R346/20,0),"Lần " &amp; ROUNDUP(R347/20,0),"")</f>
        <v/>
      </c>
      <c r="AD347" s="11">
        <f>IF(ROUNDUP(S347/20,0)&gt;ROUNDUP(S346/20,0),"Lần " &amp; ROUNDUP(S347/20,0),"")</f>
        <v/>
      </c>
      <c r="AE347" s="11">
        <f>IF(ROUNDUP(T347/20,0)&gt;ROUNDUP(T346/20,0),"Lần " &amp; ROUNDUP(T347/20,0),"")</f>
        <v/>
      </c>
      <c r="AF347" s="11">
        <f>IF(ROUNDUP(U347/20,0)&gt;ROUNDUP(U346/20,0),"Lần " &amp; ROUNDUP(U347/20,0),"")</f>
        <v/>
      </c>
      <c r="AG347" s="11">
        <f>IF(ROUNDUP(V347/20,0)&gt;ROUNDUP(V346/20,0),"Lần " &amp; ROUNDUP(V347/20,0),"")</f>
        <v/>
      </c>
      <c r="AH347" s="11">
        <f>IF(ROUNDUP(W347/20,0)&gt;ROUNDUP(W346/20,0),"Lần " &amp; ROUNDUP(W347/20,0),"")</f>
        <v/>
      </c>
      <c r="AI347" s="11">
        <f>IF(ROUNDUP(X347/20,0)&gt;ROUNDUP(X346/20,0),"Lần " &amp; ROUNDUP(X347/20,0),"")</f>
        <v/>
      </c>
      <c r="AJ347" s="11">
        <f>IF(ROUNDUP(Y347/20,0)&gt;ROUNDUP(Y346/20,0),"Lần " &amp; ROUNDUP(Y347/20,0),"")</f>
        <v/>
      </c>
      <c r="AK347" s="11">
        <f>IF(ROUNDUP(Z347/20,0)&gt;ROUNDUP(Z346/20,0),"Lần " &amp; ROUNDUP(Z347/20,0),"")</f>
        <v/>
      </c>
      <c r="AL347" s="6" t="n"/>
      <c r="AN347" t="inlineStr">
        <is>
          <t>HoanThien</t>
        </is>
      </c>
      <c r="AO347" t="n">
        <v>78</v>
      </c>
    </row>
    <row r="348" ht="19" customHeight="1">
      <c r="A348" s="6" t="n">
        <v>336</v>
      </c>
      <c r="B348" s="7" t="inlineStr">
        <is>
          <t>Bản liên tục nhiệt (Link Slab)</t>
        </is>
      </c>
      <c r="C348" s="7" t="inlineStr">
        <is>
          <t>Liên tục nhiệt T1, T2 (tr.112)</t>
        </is>
      </c>
      <c r="D348" s="18" t="inlineStr">
        <is>
          <t>L3</t>
        </is>
      </c>
      <c r="E348" s="19" t="n">
        <v>10</v>
      </c>
      <c r="F348" s="6" t="inlineStr">
        <is>
          <t>CB240-T</t>
        </is>
      </c>
      <c r="G348" s="7" t="inlineStr"/>
      <c r="H348" s="20" t="n">
        <v>0.32</v>
      </c>
      <c r="I348" s="21" t="n">
        <v>520</v>
      </c>
      <c r="J348" s="22" t="n">
        <v>0.617</v>
      </c>
      <c r="K348" s="9">
        <f>ROUND(H348*I348*J348, 2)</f>
        <v/>
      </c>
      <c r="L348" s="23">
        <f>ROUND(K348/1000, 3)</f>
        <v/>
      </c>
      <c r="M348" s="8">
        <f>IF(AO348="","",IF(INDEX(Theo_Doi_Tan_Suat_Be_Tong!$C:$C,AO348)="","",INDEX(Theo_Doi_Tan_Suat_Be_Tong!$C:$C,AO348)-VLOOKUP(AN348,$AQ$2:$AR$7,2,FALSE)))</f>
        <v/>
      </c>
      <c r="N348" s="6" t="n"/>
      <c r="O348" s="24">
        <f>IF(ROUNDUP(P348/20,0)&gt;ROUNDUP(P347/20,0),"TN Ø10 (Lần " &amp; ROUNDUP(P348/20,0) &amp; ")","")</f>
        <v/>
      </c>
      <c r="P348" s="20">
        <f>ROUND(P347+IF(AND(E348&lt;=10,F348&lt;&gt;"ASTM A416"),L348,0),3)</f>
        <v/>
      </c>
      <c r="Q348" s="20">
        <f>ROUND(Q347+IF(AND(E348=12,F348&lt;&gt;"ASTM A416"),L348,0),3)</f>
        <v/>
      </c>
      <c r="R348" s="20">
        <f>ROUND(R347+IF(AND(E348=14,F348&lt;&gt;"ASTM A416"),L348,0),3)</f>
        <v/>
      </c>
      <c r="S348" s="20">
        <f>ROUND(S347+IF(AND(E348=16,F348&lt;&gt;"ASTM A416"),L348,0),3)</f>
        <v/>
      </c>
      <c r="T348" s="20">
        <f>ROUND(T347+IF(AND(E348=18,F348&lt;&gt;"ASTM A416"),L348,0),3)</f>
        <v/>
      </c>
      <c r="U348" s="20">
        <f>ROUND(U347+IF(AND(E348=20,F348&lt;&gt;"ASTM A416"),L348,0),3)</f>
        <v/>
      </c>
      <c r="V348" s="20">
        <f>ROUND(V347+IF(AND(E348=22,F348&lt;&gt;"ASTM A416"),L348,0),3)</f>
        <v/>
      </c>
      <c r="W348" s="20">
        <f>ROUND(W347+IF(AND(E348=25,F348&lt;&gt;"ASTM A416"),L348,0),3)</f>
        <v/>
      </c>
      <c r="X348" s="20">
        <f>ROUND(X347+IF(AND(E348=28,F348&lt;&gt;"ASTM A416"),L348,0),3)</f>
        <v/>
      </c>
      <c r="Y348" s="20">
        <f>ROUND(Y347+IF(AND(E348=32,F348&lt;&gt;"ASTM A416"),L348,0),3)</f>
        <v/>
      </c>
      <c r="Z348" s="20">
        <f>ROUND(Z347+IF(F348="ASTM A416",L348,0),3)</f>
        <v/>
      </c>
      <c r="AA348" s="11">
        <f>IF(ROUNDUP(P348/20,0)&gt;ROUNDUP(P347/20,0),"Lần " &amp; ROUNDUP(P348/20,0),"")</f>
        <v/>
      </c>
      <c r="AB348" s="11">
        <f>IF(ROUNDUP(Q348/20,0)&gt;ROUNDUP(Q347/20,0),"Lần " &amp; ROUNDUP(Q348/20,0),"")</f>
        <v/>
      </c>
      <c r="AC348" s="11">
        <f>IF(ROUNDUP(R348/20,0)&gt;ROUNDUP(R347/20,0),"Lần " &amp; ROUNDUP(R348/20,0),"")</f>
        <v/>
      </c>
      <c r="AD348" s="11">
        <f>IF(ROUNDUP(S348/20,0)&gt;ROUNDUP(S347/20,0),"Lần " &amp; ROUNDUP(S348/20,0),"")</f>
        <v/>
      </c>
      <c r="AE348" s="11">
        <f>IF(ROUNDUP(T348/20,0)&gt;ROUNDUP(T347/20,0),"Lần " &amp; ROUNDUP(T348/20,0),"")</f>
        <v/>
      </c>
      <c r="AF348" s="11">
        <f>IF(ROUNDUP(U348/20,0)&gt;ROUNDUP(U347/20,0),"Lần " &amp; ROUNDUP(U348/20,0),"")</f>
        <v/>
      </c>
      <c r="AG348" s="11">
        <f>IF(ROUNDUP(V348/20,0)&gt;ROUNDUP(V347/20,0),"Lần " &amp; ROUNDUP(V348/20,0),"")</f>
        <v/>
      </c>
      <c r="AH348" s="11">
        <f>IF(ROUNDUP(W348/20,0)&gt;ROUNDUP(W347/20,0),"Lần " &amp; ROUNDUP(W348/20,0),"")</f>
        <v/>
      </c>
      <c r="AI348" s="11">
        <f>IF(ROUNDUP(X348/20,0)&gt;ROUNDUP(X347/20,0),"Lần " &amp; ROUNDUP(X348/20,0),"")</f>
        <v/>
      </c>
      <c r="AJ348" s="11">
        <f>IF(ROUNDUP(Y348/20,0)&gt;ROUNDUP(Y347/20,0),"Lần " &amp; ROUNDUP(Y348/20,0),"")</f>
        <v/>
      </c>
      <c r="AK348" s="11">
        <f>IF(ROUNDUP(Z348/20,0)&gt;ROUNDUP(Z347/20,0),"Lần " &amp; ROUNDUP(Z348/20,0),"")</f>
        <v/>
      </c>
      <c r="AL348" s="6" t="n"/>
      <c r="AN348" t="inlineStr">
        <is>
          <t>HoanThien</t>
        </is>
      </c>
      <c r="AO348" t="n">
        <v>78</v>
      </c>
    </row>
    <row r="349" ht="19" customHeight="1">
      <c r="A349" s="6" t="n">
        <v>337</v>
      </c>
      <c r="B349" s="7" t="inlineStr">
        <is>
          <t>Bản liên tục nhiệt (Link Slab)</t>
        </is>
      </c>
      <c r="C349" s="7" t="inlineStr">
        <is>
          <t>Liên tục nhiệt T1, T2 (tr.112)</t>
        </is>
      </c>
      <c r="D349" s="18" t="inlineStr">
        <is>
          <t>S4</t>
        </is>
      </c>
      <c r="E349" s="19" t="n">
        <v>18</v>
      </c>
      <c r="F349" s="6" t="inlineStr">
        <is>
          <t>CB400-V</t>
        </is>
      </c>
      <c r="G349" s="7" t="inlineStr"/>
      <c r="H349" s="20" t="n">
        <v>2.1</v>
      </c>
      <c r="I349" s="21" t="n">
        <v>216</v>
      </c>
      <c r="J349" s="22" t="n">
        <v>1.998</v>
      </c>
      <c r="K349" s="9">
        <f>ROUND(H349*I349*J349, 2)</f>
        <v/>
      </c>
      <c r="L349" s="23">
        <f>ROUND(K349/1000, 3)</f>
        <v/>
      </c>
      <c r="M349" s="8">
        <f>IF(AO349="","",IF(INDEX(Theo_Doi_Tan_Suat_Be_Tong!$C:$C,AO349)="","",INDEX(Theo_Doi_Tan_Suat_Be_Tong!$C:$C,AO349)-VLOOKUP(AN349,$AQ$2:$AR$7,2,FALSE)))</f>
        <v/>
      </c>
      <c r="N349" s="6" t="n"/>
      <c r="O349" s="24">
        <f>IF(ROUNDUP(T349/20,0)&gt;ROUNDUP(T348/20,0),"TN Ø18 (Lần " &amp; ROUNDUP(T349/20,0) &amp; ")","")</f>
        <v/>
      </c>
      <c r="P349" s="20">
        <f>ROUND(P348+IF(AND(E349&lt;=10,F349&lt;&gt;"ASTM A416"),L349,0),3)</f>
        <v/>
      </c>
      <c r="Q349" s="20">
        <f>ROUND(Q348+IF(AND(E349=12,F349&lt;&gt;"ASTM A416"),L349,0),3)</f>
        <v/>
      </c>
      <c r="R349" s="20">
        <f>ROUND(R348+IF(AND(E349=14,F349&lt;&gt;"ASTM A416"),L349,0),3)</f>
        <v/>
      </c>
      <c r="S349" s="20">
        <f>ROUND(S348+IF(AND(E349=16,F349&lt;&gt;"ASTM A416"),L349,0),3)</f>
        <v/>
      </c>
      <c r="T349" s="20">
        <f>ROUND(T348+IF(AND(E349=18,F349&lt;&gt;"ASTM A416"),L349,0),3)</f>
        <v/>
      </c>
      <c r="U349" s="20">
        <f>ROUND(U348+IF(AND(E349=20,F349&lt;&gt;"ASTM A416"),L349,0),3)</f>
        <v/>
      </c>
      <c r="V349" s="20">
        <f>ROUND(V348+IF(AND(E349=22,F349&lt;&gt;"ASTM A416"),L349,0),3)</f>
        <v/>
      </c>
      <c r="W349" s="20">
        <f>ROUND(W348+IF(AND(E349=25,F349&lt;&gt;"ASTM A416"),L349,0),3)</f>
        <v/>
      </c>
      <c r="X349" s="20">
        <f>ROUND(X348+IF(AND(E349=28,F349&lt;&gt;"ASTM A416"),L349,0),3)</f>
        <v/>
      </c>
      <c r="Y349" s="20">
        <f>ROUND(Y348+IF(AND(E349=32,F349&lt;&gt;"ASTM A416"),L349,0),3)</f>
        <v/>
      </c>
      <c r="Z349" s="20">
        <f>ROUND(Z348+IF(F349="ASTM A416",L349,0),3)</f>
        <v/>
      </c>
      <c r="AA349" s="11">
        <f>IF(ROUNDUP(P349/20,0)&gt;ROUNDUP(P348/20,0),"Lần " &amp; ROUNDUP(P349/20,0),"")</f>
        <v/>
      </c>
      <c r="AB349" s="11">
        <f>IF(ROUNDUP(Q349/20,0)&gt;ROUNDUP(Q348/20,0),"Lần " &amp; ROUNDUP(Q349/20,0),"")</f>
        <v/>
      </c>
      <c r="AC349" s="11">
        <f>IF(ROUNDUP(R349/20,0)&gt;ROUNDUP(R348/20,0),"Lần " &amp; ROUNDUP(R349/20,0),"")</f>
        <v/>
      </c>
      <c r="AD349" s="11">
        <f>IF(ROUNDUP(S349/20,0)&gt;ROUNDUP(S348/20,0),"Lần " &amp; ROUNDUP(S349/20,0),"")</f>
        <v/>
      </c>
      <c r="AE349" s="11">
        <f>IF(ROUNDUP(T349/20,0)&gt;ROUNDUP(T348/20,0),"Lần " &amp; ROUNDUP(T349/20,0),"")</f>
        <v/>
      </c>
      <c r="AF349" s="11">
        <f>IF(ROUNDUP(U349/20,0)&gt;ROUNDUP(U348/20,0),"Lần " &amp; ROUNDUP(U349/20,0),"")</f>
        <v/>
      </c>
      <c r="AG349" s="11">
        <f>IF(ROUNDUP(V349/20,0)&gt;ROUNDUP(V348/20,0),"Lần " &amp; ROUNDUP(V349/20,0),"")</f>
        <v/>
      </c>
      <c r="AH349" s="11">
        <f>IF(ROUNDUP(W349/20,0)&gt;ROUNDUP(W348/20,0),"Lần " &amp; ROUNDUP(W349/20,0),"")</f>
        <v/>
      </c>
      <c r="AI349" s="11">
        <f>IF(ROUNDUP(X349/20,0)&gt;ROUNDUP(X348/20,0),"Lần " &amp; ROUNDUP(X349/20,0),"")</f>
        <v/>
      </c>
      <c r="AJ349" s="11">
        <f>IF(ROUNDUP(Y349/20,0)&gt;ROUNDUP(Y348/20,0),"Lần " &amp; ROUNDUP(Y349/20,0),"")</f>
        <v/>
      </c>
      <c r="AK349" s="11">
        <f>IF(ROUNDUP(Z349/20,0)&gt;ROUNDUP(Z348/20,0),"Lần " &amp; ROUNDUP(Z349/20,0),"")</f>
        <v/>
      </c>
      <c r="AL349" s="6" t="n"/>
      <c r="AN349" t="inlineStr">
        <is>
          <t>HoanThien</t>
        </is>
      </c>
      <c r="AO349" t="n">
        <v>78</v>
      </c>
    </row>
    <row r="350" ht="19" customHeight="1">
      <c r="A350" s="17" t="inlineStr">
        <is>
          <t>--- BẢN QUÁ ĐỘ MỐ M1 ---</t>
        </is>
      </c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  <c r="AG350" s="35" t="n"/>
      <c r="AH350" s="35" t="n"/>
      <c r="AI350" s="35" t="n"/>
      <c r="AJ350" s="35" t="n"/>
      <c r="AK350" s="35" t="n"/>
      <c r="AL350" s="34" t="n"/>
    </row>
    <row r="351" ht="19" customHeight="1">
      <c r="A351" s="6" t="n">
        <v>338</v>
      </c>
      <c r="B351" s="7" t="inlineStr">
        <is>
          <t>Bản quá độ Mố M1</t>
        </is>
      </c>
      <c r="C351" s="7" t="inlineStr">
        <is>
          <t>Bản quá độ tiếp giáp mố</t>
        </is>
      </c>
      <c r="D351" s="18" t="inlineStr">
        <is>
          <t>A1</t>
        </is>
      </c>
      <c r="E351" s="19" t="n">
        <v>16</v>
      </c>
      <c r="F351" s="6" t="inlineStr">
        <is>
          <t>CB400-V</t>
        </is>
      </c>
      <c r="G351" s="7" t="inlineStr">
        <is>
          <t>S06</t>
        </is>
      </c>
      <c r="H351" s="20" t="n">
        <v>6.332</v>
      </c>
      <c r="I351" s="21" t="n">
        <v>57</v>
      </c>
      <c r="J351" s="22" t="n">
        <v>1.578</v>
      </c>
      <c r="K351" s="9">
        <f>ROUND(H351*I351*J351, 2)</f>
        <v/>
      </c>
      <c r="L351" s="23">
        <f>ROUND(K351/1000, 3)</f>
        <v/>
      </c>
      <c r="M351" s="8">
        <f>IF(AO351="","",IF(INDEX(Theo_Doi_Tan_Suat_Be_Tong!$C:$C,AO351)="","",INDEX(Theo_Doi_Tan_Suat_Be_Tong!$C:$C,AO351)-VLOOKUP(AN351,$AQ$2:$AR$7,2,FALSE)))</f>
        <v/>
      </c>
      <c r="N351" s="6" t="n"/>
      <c r="O351" s="24">
        <f>IF(ROUNDUP(S351/20,0)&gt;ROUNDUP(S349/20,0),"TN Ø16 (Lần " &amp; ROUNDUP(S351/20,0) &amp; ")","")</f>
        <v/>
      </c>
      <c r="P351" s="20">
        <f>ROUND(P349+IF(AND(E351&lt;=10,F351&lt;&gt;"ASTM A416"),L351,0),3)</f>
        <v/>
      </c>
      <c r="Q351" s="20">
        <f>ROUND(Q349+IF(AND(E351=12,F351&lt;&gt;"ASTM A416"),L351,0),3)</f>
        <v/>
      </c>
      <c r="R351" s="20">
        <f>ROUND(R349+IF(AND(E351=14,F351&lt;&gt;"ASTM A416"),L351,0),3)</f>
        <v/>
      </c>
      <c r="S351" s="20">
        <f>ROUND(S349+IF(AND(E351=16,F351&lt;&gt;"ASTM A416"),L351,0),3)</f>
        <v/>
      </c>
      <c r="T351" s="20">
        <f>ROUND(T349+IF(AND(E351=18,F351&lt;&gt;"ASTM A416"),L351,0),3)</f>
        <v/>
      </c>
      <c r="U351" s="20">
        <f>ROUND(U349+IF(AND(E351=20,F351&lt;&gt;"ASTM A416"),L351,0),3)</f>
        <v/>
      </c>
      <c r="V351" s="20">
        <f>ROUND(V349+IF(AND(E351=22,F351&lt;&gt;"ASTM A416"),L351,0),3)</f>
        <v/>
      </c>
      <c r="W351" s="20">
        <f>ROUND(W349+IF(AND(E351=25,F351&lt;&gt;"ASTM A416"),L351,0),3)</f>
        <v/>
      </c>
      <c r="X351" s="20">
        <f>ROUND(X349+IF(AND(E351=28,F351&lt;&gt;"ASTM A416"),L351,0),3)</f>
        <v/>
      </c>
      <c r="Y351" s="20">
        <f>ROUND(Y349+IF(AND(E351=32,F351&lt;&gt;"ASTM A416"),L351,0),3)</f>
        <v/>
      </c>
      <c r="Z351" s="20">
        <f>ROUND(Z349+IF(F351="ASTM A416",L351,0),3)</f>
        <v/>
      </c>
      <c r="AA351" s="11">
        <f>IF(ROUNDUP(P351/20,0)&gt;ROUNDUP(P349/20,0),"Lần " &amp; ROUNDUP(P351/20,0),"")</f>
        <v/>
      </c>
      <c r="AB351" s="11">
        <f>IF(ROUNDUP(Q351/20,0)&gt;ROUNDUP(Q349/20,0),"Lần " &amp; ROUNDUP(Q351/20,0),"")</f>
        <v/>
      </c>
      <c r="AC351" s="11">
        <f>IF(ROUNDUP(R351/20,0)&gt;ROUNDUP(R349/20,0),"Lần " &amp; ROUNDUP(R351/20,0),"")</f>
        <v/>
      </c>
      <c r="AD351" s="11">
        <f>IF(ROUNDUP(S351/20,0)&gt;ROUNDUP(S349/20,0),"Lần " &amp; ROUNDUP(S351/20,0),"")</f>
        <v/>
      </c>
      <c r="AE351" s="11">
        <f>IF(ROUNDUP(T351/20,0)&gt;ROUNDUP(T349/20,0),"Lần " &amp; ROUNDUP(T351/20,0),"")</f>
        <v/>
      </c>
      <c r="AF351" s="11">
        <f>IF(ROUNDUP(U351/20,0)&gt;ROUNDUP(U349/20,0),"Lần " &amp; ROUNDUP(U351/20,0),"")</f>
        <v/>
      </c>
      <c r="AG351" s="11">
        <f>IF(ROUNDUP(V351/20,0)&gt;ROUNDUP(V349/20,0),"Lần " &amp; ROUNDUP(V351/20,0),"")</f>
        <v/>
      </c>
      <c r="AH351" s="11">
        <f>IF(ROUNDUP(W351/20,0)&gt;ROUNDUP(W349/20,0),"Lần " &amp; ROUNDUP(W351/20,0),"")</f>
        <v/>
      </c>
      <c r="AI351" s="11">
        <f>IF(ROUNDUP(X351/20,0)&gt;ROUNDUP(X349/20,0),"Lần " &amp; ROUNDUP(X351/20,0),"")</f>
        <v/>
      </c>
      <c r="AJ351" s="11">
        <f>IF(ROUNDUP(Y351/20,0)&gt;ROUNDUP(Y349/20,0),"Lần " &amp; ROUNDUP(Y351/20,0),"")</f>
        <v/>
      </c>
      <c r="AK351" s="11">
        <f>IF(ROUNDUP(Z351/20,0)&gt;ROUNDUP(Z349/20,0),"Lần " &amp; ROUNDUP(Z351/20,0),"")</f>
        <v/>
      </c>
      <c r="AL351" s="6" t="n"/>
      <c r="AN351" t="inlineStr">
        <is>
          <t>Than</t>
        </is>
      </c>
      <c r="AO351" t="n">
        <v>50</v>
      </c>
    </row>
    <row r="352" ht="19" customHeight="1">
      <c r="A352" s="6" t="n">
        <v>339</v>
      </c>
      <c r="B352" s="7" t="inlineStr">
        <is>
          <t>Bản quá độ Mố M1</t>
        </is>
      </c>
      <c r="C352" s="7" t="inlineStr">
        <is>
          <t>Bản quá độ tiếp giáp mố</t>
        </is>
      </c>
      <c r="D352" s="18" t="inlineStr">
        <is>
          <t>A2</t>
        </is>
      </c>
      <c r="E352" s="19" t="n">
        <v>16</v>
      </c>
      <c r="F352" s="6" t="inlineStr">
        <is>
          <t>CB400-V</t>
        </is>
      </c>
      <c r="G352" s="7" t="inlineStr">
        <is>
          <t>S06</t>
        </is>
      </c>
      <c r="H352" s="20" t="n">
        <v>12.447</v>
      </c>
      <c r="I352" s="21" t="n">
        <v>30</v>
      </c>
      <c r="J352" s="22" t="n">
        <v>1.578</v>
      </c>
      <c r="K352" s="9">
        <f>ROUND(H352*I352*J352, 2)</f>
        <v/>
      </c>
      <c r="L352" s="23">
        <f>ROUND(K352/1000, 3)</f>
        <v/>
      </c>
      <c r="M352" s="8">
        <f>IF(AO352="","",IF(INDEX(Theo_Doi_Tan_Suat_Be_Tong!$C:$C,AO352)="","",INDEX(Theo_Doi_Tan_Suat_Be_Tong!$C:$C,AO352)-VLOOKUP(AN352,$AQ$2:$AR$7,2,FALSE)))</f>
        <v/>
      </c>
      <c r="N352" s="6" t="n"/>
      <c r="O352" s="24">
        <f>IF(ROUNDUP(S352/20,0)&gt;ROUNDUP(S351/20,0),"TN Ø16 (Lần " &amp; ROUNDUP(S352/20,0) &amp; ")","")</f>
        <v/>
      </c>
      <c r="P352" s="20">
        <f>ROUND(P351+IF(AND(E352&lt;=10,F352&lt;&gt;"ASTM A416"),L352,0),3)</f>
        <v/>
      </c>
      <c r="Q352" s="20">
        <f>ROUND(Q351+IF(AND(E352=12,F352&lt;&gt;"ASTM A416"),L352,0),3)</f>
        <v/>
      </c>
      <c r="R352" s="20">
        <f>ROUND(R351+IF(AND(E352=14,F352&lt;&gt;"ASTM A416"),L352,0),3)</f>
        <v/>
      </c>
      <c r="S352" s="20">
        <f>ROUND(S351+IF(AND(E352=16,F352&lt;&gt;"ASTM A416"),L352,0),3)</f>
        <v/>
      </c>
      <c r="T352" s="20">
        <f>ROUND(T351+IF(AND(E352=18,F352&lt;&gt;"ASTM A416"),L352,0),3)</f>
        <v/>
      </c>
      <c r="U352" s="20">
        <f>ROUND(U351+IF(AND(E352=20,F352&lt;&gt;"ASTM A416"),L352,0),3)</f>
        <v/>
      </c>
      <c r="V352" s="20">
        <f>ROUND(V351+IF(AND(E352=22,F352&lt;&gt;"ASTM A416"),L352,0),3)</f>
        <v/>
      </c>
      <c r="W352" s="20">
        <f>ROUND(W351+IF(AND(E352=25,F352&lt;&gt;"ASTM A416"),L352,0),3)</f>
        <v/>
      </c>
      <c r="X352" s="20">
        <f>ROUND(X351+IF(AND(E352=28,F352&lt;&gt;"ASTM A416"),L352,0),3)</f>
        <v/>
      </c>
      <c r="Y352" s="20">
        <f>ROUND(Y351+IF(AND(E352=32,F352&lt;&gt;"ASTM A416"),L352,0),3)</f>
        <v/>
      </c>
      <c r="Z352" s="20">
        <f>ROUND(Z351+IF(F352="ASTM A416",L352,0),3)</f>
        <v/>
      </c>
      <c r="AA352" s="11">
        <f>IF(ROUNDUP(P352/20,0)&gt;ROUNDUP(P351/20,0),"Lần " &amp; ROUNDUP(P352/20,0),"")</f>
        <v/>
      </c>
      <c r="AB352" s="11">
        <f>IF(ROUNDUP(Q352/20,0)&gt;ROUNDUP(Q351/20,0),"Lần " &amp; ROUNDUP(Q352/20,0),"")</f>
        <v/>
      </c>
      <c r="AC352" s="11">
        <f>IF(ROUNDUP(R352/20,0)&gt;ROUNDUP(R351/20,0),"Lần " &amp; ROUNDUP(R352/20,0),"")</f>
        <v/>
      </c>
      <c r="AD352" s="11">
        <f>IF(ROUNDUP(S352/20,0)&gt;ROUNDUP(S351/20,0),"Lần " &amp; ROUNDUP(S352/20,0),"")</f>
        <v/>
      </c>
      <c r="AE352" s="11">
        <f>IF(ROUNDUP(T352/20,0)&gt;ROUNDUP(T351/20,0),"Lần " &amp; ROUNDUP(T352/20,0),"")</f>
        <v/>
      </c>
      <c r="AF352" s="11">
        <f>IF(ROUNDUP(U352/20,0)&gt;ROUNDUP(U351/20,0),"Lần " &amp; ROUNDUP(U352/20,0),"")</f>
        <v/>
      </c>
      <c r="AG352" s="11">
        <f>IF(ROUNDUP(V352/20,0)&gt;ROUNDUP(V351/20,0),"Lần " &amp; ROUNDUP(V352/20,0),"")</f>
        <v/>
      </c>
      <c r="AH352" s="11">
        <f>IF(ROUNDUP(W352/20,0)&gt;ROUNDUP(W351/20,0),"Lần " &amp; ROUNDUP(W352/20,0),"")</f>
        <v/>
      </c>
      <c r="AI352" s="11">
        <f>IF(ROUNDUP(X352/20,0)&gt;ROUNDUP(X351/20,0),"Lần " &amp; ROUNDUP(X352/20,0),"")</f>
        <v/>
      </c>
      <c r="AJ352" s="11">
        <f>IF(ROUNDUP(Y352/20,0)&gt;ROUNDUP(Y351/20,0),"Lần " &amp; ROUNDUP(Y352/20,0),"")</f>
        <v/>
      </c>
      <c r="AK352" s="11">
        <f>IF(ROUNDUP(Z352/20,0)&gt;ROUNDUP(Z351/20,0),"Lần " &amp; ROUNDUP(Z352/20,0),"")</f>
        <v/>
      </c>
      <c r="AL352" s="6" t="n"/>
      <c r="AN352" t="inlineStr">
        <is>
          <t>Than</t>
        </is>
      </c>
      <c r="AO352" t="n">
        <v>50</v>
      </c>
    </row>
    <row r="353" ht="19" customHeight="1">
      <c r="A353" s="6" t="n">
        <v>340</v>
      </c>
      <c r="B353" s="7" t="inlineStr">
        <is>
          <t>Bản quá độ Mố M1</t>
        </is>
      </c>
      <c r="C353" s="7" t="inlineStr">
        <is>
          <t>Bản quá độ tiếp giáp mố</t>
        </is>
      </c>
      <c r="D353" s="18" t="inlineStr">
        <is>
          <t>A3</t>
        </is>
      </c>
      <c r="E353" s="19" t="n">
        <v>20</v>
      </c>
      <c r="F353" s="6" t="inlineStr">
        <is>
          <t>CB400-V</t>
        </is>
      </c>
      <c r="G353" s="7" t="inlineStr">
        <is>
          <t>S06</t>
        </is>
      </c>
      <c r="H353" s="20" t="n">
        <v>6.3</v>
      </c>
      <c r="I353" s="21" t="n">
        <v>113</v>
      </c>
      <c r="J353" s="22" t="n">
        <v>2.466</v>
      </c>
      <c r="K353" s="9">
        <f>ROUND(H353*I353*J353, 2)</f>
        <v/>
      </c>
      <c r="L353" s="23">
        <f>ROUND(K353/1000, 3)</f>
        <v/>
      </c>
      <c r="M353" s="8">
        <f>IF(AO353="","",IF(INDEX(Theo_Doi_Tan_Suat_Be_Tong!$C:$C,AO353)="","",INDEX(Theo_Doi_Tan_Suat_Be_Tong!$C:$C,AO353)-VLOOKUP(AN353,$AQ$2:$AR$7,2,FALSE)))</f>
        <v/>
      </c>
      <c r="N353" s="6" t="n"/>
      <c r="O353" s="24">
        <f>IF(ROUNDUP(U353/20,0)&gt;ROUNDUP(U352/20,0),"TN Ø20 (Lần " &amp; ROUNDUP(U353/20,0) &amp; ")","")</f>
        <v/>
      </c>
      <c r="P353" s="20">
        <f>ROUND(P352+IF(AND(E353&lt;=10,F353&lt;&gt;"ASTM A416"),L353,0),3)</f>
        <v/>
      </c>
      <c r="Q353" s="20">
        <f>ROUND(Q352+IF(AND(E353=12,F353&lt;&gt;"ASTM A416"),L353,0),3)</f>
        <v/>
      </c>
      <c r="R353" s="20">
        <f>ROUND(R352+IF(AND(E353=14,F353&lt;&gt;"ASTM A416"),L353,0),3)</f>
        <v/>
      </c>
      <c r="S353" s="20">
        <f>ROUND(S352+IF(AND(E353=16,F353&lt;&gt;"ASTM A416"),L353,0),3)</f>
        <v/>
      </c>
      <c r="T353" s="20">
        <f>ROUND(T352+IF(AND(E353=18,F353&lt;&gt;"ASTM A416"),L353,0),3)</f>
        <v/>
      </c>
      <c r="U353" s="20">
        <f>ROUND(U352+IF(AND(E353=20,F353&lt;&gt;"ASTM A416"),L353,0),3)</f>
        <v/>
      </c>
      <c r="V353" s="20">
        <f>ROUND(V352+IF(AND(E353=22,F353&lt;&gt;"ASTM A416"),L353,0),3)</f>
        <v/>
      </c>
      <c r="W353" s="20">
        <f>ROUND(W352+IF(AND(E353=25,F353&lt;&gt;"ASTM A416"),L353,0),3)</f>
        <v/>
      </c>
      <c r="X353" s="20">
        <f>ROUND(X352+IF(AND(E353=28,F353&lt;&gt;"ASTM A416"),L353,0),3)</f>
        <v/>
      </c>
      <c r="Y353" s="20">
        <f>ROUND(Y352+IF(AND(E353=32,F353&lt;&gt;"ASTM A416"),L353,0),3)</f>
        <v/>
      </c>
      <c r="Z353" s="20">
        <f>ROUND(Z352+IF(F353="ASTM A416",L353,0),3)</f>
        <v/>
      </c>
      <c r="AA353" s="11">
        <f>IF(ROUNDUP(P353/20,0)&gt;ROUNDUP(P352/20,0),"Lần " &amp; ROUNDUP(P353/20,0),"")</f>
        <v/>
      </c>
      <c r="AB353" s="11">
        <f>IF(ROUNDUP(Q353/20,0)&gt;ROUNDUP(Q352/20,0),"Lần " &amp; ROUNDUP(Q353/20,0),"")</f>
        <v/>
      </c>
      <c r="AC353" s="11">
        <f>IF(ROUNDUP(R353/20,0)&gt;ROUNDUP(R352/20,0),"Lần " &amp; ROUNDUP(R353/20,0),"")</f>
        <v/>
      </c>
      <c r="AD353" s="11">
        <f>IF(ROUNDUP(S353/20,0)&gt;ROUNDUP(S352/20,0),"Lần " &amp; ROUNDUP(S353/20,0),"")</f>
        <v/>
      </c>
      <c r="AE353" s="11">
        <f>IF(ROUNDUP(T353/20,0)&gt;ROUNDUP(T352/20,0),"Lần " &amp; ROUNDUP(T353/20,0),"")</f>
        <v/>
      </c>
      <c r="AF353" s="11">
        <f>IF(ROUNDUP(U353/20,0)&gt;ROUNDUP(U352/20,0),"Lần " &amp; ROUNDUP(U353/20,0),"")</f>
        <v/>
      </c>
      <c r="AG353" s="11">
        <f>IF(ROUNDUP(V353/20,0)&gt;ROUNDUP(V352/20,0),"Lần " &amp; ROUNDUP(V353/20,0),"")</f>
        <v/>
      </c>
      <c r="AH353" s="11">
        <f>IF(ROUNDUP(W353/20,0)&gt;ROUNDUP(W352/20,0),"Lần " &amp; ROUNDUP(W353/20,0),"")</f>
        <v/>
      </c>
      <c r="AI353" s="11">
        <f>IF(ROUNDUP(X353/20,0)&gt;ROUNDUP(X352/20,0),"Lần " &amp; ROUNDUP(X353/20,0),"")</f>
        <v/>
      </c>
      <c r="AJ353" s="11">
        <f>IF(ROUNDUP(Y353/20,0)&gt;ROUNDUP(Y352/20,0),"Lần " &amp; ROUNDUP(Y353/20,0),"")</f>
        <v/>
      </c>
      <c r="AK353" s="11">
        <f>IF(ROUNDUP(Z353/20,0)&gt;ROUNDUP(Z352/20,0),"Lần " &amp; ROUNDUP(Z353/20,0),"")</f>
        <v/>
      </c>
      <c r="AL353" s="6" t="n"/>
      <c r="AN353" t="inlineStr">
        <is>
          <t>Than</t>
        </is>
      </c>
      <c r="AO353" t="n">
        <v>50</v>
      </c>
    </row>
    <row r="354" ht="19" customHeight="1">
      <c r="A354" s="6" t="n">
        <v>341</v>
      </c>
      <c r="B354" s="7" t="inlineStr">
        <is>
          <t>Bản quá độ Mố M1</t>
        </is>
      </c>
      <c r="C354" s="7" t="inlineStr">
        <is>
          <t>Bản quá độ tiếp giáp mố</t>
        </is>
      </c>
      <c r="D354" s="18" t="inlineStr">
        <is>
          <t>A4</t>
        </is>
      </c>
      <c r="E354" s="19" t="n">
        <v>16</v>
      </c>
      <c r="F354" s="6" t="inlineStr">
        <is>
          <t>CB400-V</t>
        </is>
      </c>
      <c r="G354" s="7" t="inlineStr">
        <is>
          <t>S06</t>
        </is>
      </c>
      <c r="H354" s="20" t="n">
        <v>12.447</v>
      </c>
      <c r="I354" s="21" t="n">
        <v>30</v>
      </c>
      <c r="J354" s="22" t="n">
        <v>1.578</v>
      </c>
      <c r="K354" s="9">
        <f>ROUND(H354*I354*J354, 2)</f>
        <v/>
      </c>
      <c r="L354" s="23">
        <f>ROUND(K354/1000, 3)</f>
        <v/>
      </c>
      <c r="M354" s="8">
        <f>IF(AO354="","",IF(INDEX(Theo_Doi_Tan_Suat_Be_Tong!$C:$C,AO354)="","",INDEX(Theo_Doi_Tan_Suat_Be_Tong!$C:$C,AO354)-VLOOKUP(AN354,$AQ$2:$AR$7,2,FALSE)))</f>
        <v/>
      </c>
      <c r="N354" s="6" t="n"/>
      <c r="O354" s="24">
        <f>IF(ROUNDUP(S354/20,0)&gt;ROUNDUP(S353/20,0),"TN Ø16 (Lần " &amp; ROUNDUP(S354/20,0) &amp; ")","")</f>
        <v/>
      </c>
      <c r="P354" s="20">
        <f>ROUND(P353+IF(AND(E354&lt;=10,F354&lt;&gt;"ASTM A416"),L354,0),3)</f>
        <v/>
      </c>
      <c r="Q354" s="20">
        <f>ROUND(Q353+IF(AND(E354=12,F354&lt;&gt;"ASTM A416"),L354,0),3)</f>
        <v/>
      </c>
      <c r="R354" s="20">
        <f>ROUND(R353+IF(AND(E354=14,F354&lt;&gt;"ASTM A416"),L354,0),3)</f>
        <v/>
      </c>
      <c r="S354" s="20">
        <f>ROUND(S353+IF(AND(E354=16,F354&lt;&gt;"ASTM A416"),L354,0),3)</f>
        <v/>
      </c>
      <c r="T354" s="20">
        <f>ROUND(T353+IF(AND(E354=18,F354&lt;&gt;"ASTM A416"),L354,0),3)</f>
        <v/>
      </c>
      <c r="U354" s="20">
        <f>ROUND(U353+IF(AND(E354=20,F354&lt;&gt;"ASTM A416"),L354,0),3)</f>
        <v/>
      </c>
      <c r="V354" s="20">
        <f>ROUND(V353+IF(AND(E354=22,F354&lt;&gt;"ASTM A416"),L354,0),3)</f>
        <v/>
      </c>
      <c r="W354" s="20">
        <f>ROUND(W353+IF(AND(E354=25,F354&lt;&gt;"ASTM A416"),L354,0),3)</f>
        <v/>
      </c>
      <c r="X354" s="20">
        <f>ROUND(X353+IF(AND(E354=28,F354&lt;&gt;"ASTM A416"),L354,0),3)</f>
        <v/>
      </c>
      <c r="Y354" s="20">
        <f>ROUND(Y353+IF(AND(E354=32,F354&lt;&gt;"ASTM A416"),L354,0),3)</f>
        <v/>
      </c>
      <c r="Z354" s="20">
        <f>ROUND(Z353+IF(F354="ASTM A416",L354,0),3)</f>
        <v/>
      </c>
      <c r="AA354" s="11">
        <f>IF(ROUNDUP(P354/20,0)&gt;ROUNDUP(P353/20,0),"Lần " &amp; ROUNDUP(P354/20,0),"")</f>
        <v/>
      </c>
      <c r="AB354" s="11">
        <f>IF(ROUNDUP(Q354/20,0)&gt;ROUNDUP(Q353/20,0),"Lần " &amp; ROUNDUP(Q354/20,0),"")</f>
        <v/>
      </c>
      <c r="AC354" s="11">
        <f>IF(ROUNDUP(R354/20,0)&gt;ROUNDUP(R353/20,0),"Lần " &amp; ROUNDUP(R354/20,0),"")</f>
        <v/>
      </c>
      <c r="AD354" s="11">
        <f>IF(ROUNDUP(S354/20,0)&gt;ROUNDUP(S353/20,0),"Lần " &amp; ROUNDUP(S354/20,0),"")</f>
        <v/>
      </c>
      <c r="AE354" s="11">
        <f>IF(ROUNDUP(T354/20,0)&gt;ROUNDUP(T353/20,0),"Lần " &amp; ROUNDUP(T354/20,0),"")</f>
        <v/>
      </c>
      <c r="AF354" s="11">
        <f>IF(ROUNDUP(U354/20,0)&gt;ROUNDUP(U353/20,0),"Lần " &amp; ROUNDUP(U354/20,0),"")</f>
        <v/>
      </c>
      <c r="AG354" s="11">
        <f>IF(ROUNDUP(V354/20,0)&gt;ROUNDUP(V353/20,0),"Lần " &amp; ROUNDUP(V354/20,0),"")</f>
        <v/>
      </c>
      <c r="AH354" s="11">
        <f>IF(ROUNDUP(W354/20,0)&gt;ROUNDUP(W353/20,0),"Lần " &amp; ROUNDUP(W354/20,0),"")</f>
        <v/>
      </c>
      <c r="AI354" s="11">
        <f>IF(ROUNDUP(X354/20,0)&gt;ROUNDUP(X353/20,0),"Lần " &amp; ROUNDUP(X354/20,0),"")</f>
        <v/>
      </c>
      <c r="AJ354" s="11">
        <f>IF(ROUNDUP(Y354/20,0)&gt;ROUNDUP(Y353/20,0),"Lần " &amp; ROUNDUP(Y354/20,0),"")</f>
        <v/>
      </c>
      <c r="AK354" s="11">
        <f>IF(ROUNDUP(Z354/20,0)&gt;ROUNDUP(Z353/20,0),"Lần " &amp; ROUNDUP(Z354/20,0),"")</f>
        <v/>
      </c>
      <c r="AL354" s="6" t="n"/>
      <c r="AN354" t="inlineStr">
        <is>
          <t>Than</t>
        </is>
      </c>
      <c r="AO354" t="n">
        <v>50</v>
      </c>
    </row>
    <row r="355" ht="19" customHeight="1">
      <c r="A355" s="6" t="n">
        <v>342</v>
      </c>
      <c r="B355" s="7" t="inlineStr">
        <is>
          <t>Bản quá độ Mố M1</t>
        </is>
      </c>
      <c r="C355" s="7" t="inlineStr">
        <is>
          <t>Bản quá độ tiếp giáp mố</t>
        </is>
      </c>
      <c r="D355" s="18" t="inlineStr">
        <is>
          <t>A5</t>
        </is>
      </c>
      <c r="E355" s="19" t="n">
        <v>18</v>
      </c>
      <c r="F355" s="6" t="inlineStr">
        <is>
          <t>CB400-V</t>
        </is>
      </c>
      <c r="G355" s="7" t="inlineStr">
        <is>
          <t>S29</t>
        </is>
      </c>
      <c r="H355" s="20" t="n">
        <v>1.629</v>
      </c>
      <c r="I355" s="21" t="n">
        <v>113</v>
      </c>
      <c r="J355" s="22" t="n">
        <v>1.998</v>
      </c>
      <c r="K355" s="9">
        <f>ROUND(H355*I355*J355, 2)</f>
        <v/>
      </c>
      <c r="L355" s="23">
        <f>ROUND(K355/1000, 3)</f>
        <v/>
      </c>
      <c r="M355" s="8">
        <f>IF(AO355="","",IF(INDEX(Theo_Doi_Tan_Suat_Be_Tong!$C:$C,AO355)="","",INDEX(Theo_Doi_Tan_Suat_Be_Tong!$C:$C,AO355)-VLOOKUP(AN355,$AQ$2:$AR$7,2,FALSE)))</f>
        <v/>
      </c>
      <c r="N355" s="6" t="n"/>
      <c r="O355" s="24">
        <f>IF(ROUNDUP(T355/20,0)&gt;ROUNDUP(T354/20,0),"TN Ø18 (Lần " &amp; ROUNDUP(T355/20,0) &amp; ")","")</f>
        <v/>
      </c>
      <c r="P355" s="20">
        <f>ROUND(P354+IF(AND(E355&lt;=10,F355&lt;&gt;"ASTM A416"),L355,0),3)</f>
        <v/>
      </c>
      <c r="Q355" s="20">
        <f>ROUND(Q354+IF(AND(E355=12,F355&lt;&gt;"ASTM A416"),L355,0),3)</f>
        <v/>
      </c>
      <c r="R355" s="20">
        <f>ROUND(R354+IF(AND(E355=14,F355&lt;&gt;"ASTM A416"),L355,0),3)</f>
        <v/>
      </c>
      <c r="S355" s="20">
        <f>ROUND(S354+IF(AND(E355=16,F355&lt;&gt;"ASTM A416"),L355,0),3)</f>
        <v/>
      </c>
      <c r="T355" s="20">
        <f>ROUND(T354+IF(AND(E355=18,F355&lt;&gt;"ASTM A416"),L355,0),3)</f>
        <v/>
      </c>
      <c r="U355" s="20">
        <f>ROUND(U354+IF(AND(E355=20,F355&lt;&gt;"ASTM A416"),L355,0),3)</f>
        <v/>
      </c>
      <c r="V355" s="20">
        <f>ROUND(V354+IF(AND(E355=22,F355&lt;&gt;"ASTM A416"),L355,0),3)</f>
        <v/>
      </c>
      <c r="W355" s="20">
        <f>ROUND(W354+IF(AND(E355=25,F355&lt;&gt;"ASTM A416"),L355,0),3)</f>
        <v/>
      </c>
      <c r="X355" s="20">
        <f>ROUND(X354+IF(AND(E355=28,F355&lt;&gt;"ASTM A416"),L355,0),3)</f>
        <v/>
      </c>
      <c r="Y355" s="20">
        <f>ROUND(Y354+IF(AND(E355=32,F355&lt;&gt;"ASTM A416"),L355,0),3)</f>
        <v/>
      </c>
      <c r="Z355" s="20">
        <f>ROUND(Z354+IF(F355="ASTM A416",L355,0),3)</f>
        <v/>
      </c>
      <c r="AA355" s="11">
        <f>IF(ROUNDUP(P355/20,0)&gt;ROUNDUP(P354/20,0),"Lần " &amp; ROUNDUP(P355/20,0),"")</f>
        <v/>
      </c>
      <c r="AB355" s="11">
        <f>IF(ROUNDUP(Q355/20,0)&gt;ROUNDUP(Q354/20,0),"Lần " &amp; ROUNDUP(Q355/20,0),"")</f>
        <v/>
      </c>
      <c r="AC355" s="11">
        <f>IF(ROUNDUP(R355/20,0)&gt;ROUNDUP(R354/20,0),"Lần " &amp; ROUNDUP(R355/20,0),"")</f>
        <v/>
      </c>
      <c r="AD355" s="11">
        <f>IF(ROUNDUP(S355/20,0)&gt;ROUNDUP(S354/20,0),"Lần " &amp; ROUNDUP(S355/20,0),"")</f>
        <v/>
      </c>
      <c r="AE355" s="11">
        <f>IF(ROUNDUP(T355/20,0)&gt;ROUNDUP(T354/20,0),"Lần " &amp; ROUNDUP(T355/20,0),"")</f>
        <v/>
      </c>
      <c r="AF355" s="11">
        <f>IF(ROUNDUP(U355/20,0)&gt;ROUNDUP(U354/20,0),"Lần " &amp; ROUNDUP(U355/20,0),"")</f>
        <v/>
      </c>
      <c r="AG355" s="11">
        <f>IF(ROUNDUP(V355/20,0)&gt;ROUNDUP(V354/20,0),"Lần " &amp; ROUNDUP(V355/20,0),"")</f>
        <v/>
      </c>
      <c r="AH355" s="11">
        <f>IF(ROUNDUP(W355/20,0)&gt;ROUNDUP(W354/20,0),"Lần " &amp; ROUNDUP(W355/20,0),"")</f>
        <v/>
      </c>
      <c r="AI355" s="11">
        <f>IF(ROUNDUP(X355/20,0)&gt;ROUNDUP(X354/20,0),"Lần " &amp; ROUNDUP(X355/20,0),"")</f>
        <v/>
      </c>
      <c r="AJ355" s="11">
        <f>IF(ROUNDUP(Y355/20,0)&gt;ROUNDUP(Y354/20,0),"Lần " &amp; ROUNDUP(Y355/20,0),"")</f>
        <v/>
      </c>
      <c r="AK355" s="11">
        <f>IF(ROUNDUP(Z355/20,0)&gt;ROUNDUP(Z354/20,0),"Lần " &amp; ROUNDUP(Z355/20,0),"")</f>
        <v/>
      </c>
      <c r="AL355" s="6" t="n"/>
      <c r="AN355" t="inlineStr">
        <is>
          <t>Than</t>
        </is>
      </c>
      <c r="AO355" t="n">
        <v>50</v>
      </c>
    </row>
    <row r="356" ht="19" customHeight="1">
      <c r="A356" s="6" t="n">
        <v>343</v>
      </c>
      <c r="B356" s="7" t="inlineStr">
        <is>
          <t>Bản quá độ Mố M1</t>
        </is>
      </c>
      <c r="C356" s="7" t="inlineStr">
        <is>
          <t>Bản quá độ tiếp giáp mố</t>
        </is>
      </c>
      <c r="D356" s="18" t="inlineStr">
        <is>
          <t>A6</t>
        </is>
      </c>
      <c r="E356" s="19" t="n">
        <v>12</v>
      </c>
      <c r="F356" s="6" t="inlineStr">
        <is>
          <t>CB400-V</t>
        </is>
      </c>
      <c r="G356" s="7" t="inlineStr">
        <is>
          <t>S06</t>
        </is>
      </c>
      <c r="H356" s="20" t="n">
        <v>0.396</v>
      </c>
      <c r="I356" s="21" t="n">
        <v>222</v>
      </c>
      <c r="J356" s="22" t="n">
        <v>0.888</v>
      </c>
      <c r="K356" s="9">
        <f>ROUND(H356*I356*J356, 2)</f>
        <v/>
      </c>
      <c r="L356" s="23">
        <f>ROUND(K356/1000, 3)</f>
        <v/>
      </c>
      <c r="M356" s="8">
        <f>IF(AO356="","",IF(INDEX(Theo_Doi_Tan_Suat_Be_Tong!$C:$C,AO356)="","",INDEX(Theo_Doi_Tan_Suat_Be_Tong!$C:$C,AO356)-VLOOKUP(AN356,$AQ$2:$AR$7,2,FALSE)))</f>
        <v/>
      </c>
      <c r="N356" s="6" t="n"/>
      <c r="O356" s="24">
        <f>IF(ROUNDUP(Q356/20,0)&gt;ROUNDUP(Q355/20,0),"TN Ø12 (Lần " &amp; ROUNDUP(Q356/20,0) &amp; ")","")</f>
        <v/>
      </c>
      <c r="P356" s="20">
        <f>ROUND(P355+IF(AND(E356&lt;=10,F356&lt;&gt;"ASTM A416"),L356,0),3)</f>
        <v/>
      </c>
      <c r="Q356" s="20">
        <f>ROUND(Q355+IF(AND(E356=12,F356&lt;&gt;"ASTM A416"),L356,0),3)</f>
        <v/>
      </c>
      <c r="R356" s="20">
        <f>ROUND(R355+IF(AND(E356=14,F356&lt;&gt;"ASTM A416"),L356,0),3)</f>
        <v/>
      </c>
      <c r="S356" s="20">
        <f>ROUND(S355+IF(AND(E356=16,F356&lt;&gt;"ASTM A416"),L356,0),3)</f>
        <v/>
      </c>
      <c r="T356" s="20">
        <f>ROUND(T355+IF(AND(E356=18,F356&lt;&gt;"ASTM A416"),L356,0),3)</f>
        <v/>
      </c>
      <c r="U356" s="20">
        <f>ROUND(U355+IF(AND(E356=20,F356&lt;&gt;"ASTM A416"),L356,0),3)</f>
        <v/>
      </c>
      <c r="V356" s="20">
        <f>ROUND(V355+IF(AND(E356=22,F356&lt;&gt;"ASTM A416"),L356,0),3)</f>
        <v/>
      </c>
      <c r="W356" s="20">
        <f>ROUND(W355+IF(AND(E356=25,F356&lt;&gt;"ASTM A416"),L356,0),3)</f>
        <v/>
      </c>
      <c r="X356" s="20">
        <f>ROUND(X355+IF(AND(E356=28,F356&lt;&gt;"ASTM A416"),L356,0),3)</f>
        <v/>
      </c>
      <c r="Y356" s="20">
        <f>ROUND(Y355+IF(AND(E356=32,F356&lt;&gt;"ASTM A416"),L356,0),3)</f>
        <v/>
      </c>
      <c r="Z356" s="20">
        <f>ROUND(Z355+IF(F356="ASTM A416",L356,0),3)</f>
        <v/>
      </c>
      <c r="AA356" s="11">
        <f>IF(ROUNDUP(P356/20,0)&gt;ROUNDUP(P355/20,0),"Lần " &amp; ROUNDUP(P356/20,0),"")</f>
        <v/>
      </c>
      <c r="AB356" s="11">
        <f>IF(ROUNDUP(Q356/20,0)&gt;ROUNDUP(Q355/20,0),"Lần " &amp; ROUNDUP(Q356/20,0),"")</f>
        <v/>
      </c>
      <c r="AC356" s="11">
        <f>IF(ROUNDUP(R356/20,0)&gt;ROUNDUP(R355/20,0),"Lần " &amp; ROUNDUP(R356/20,0),"")</f>
        <v/>
      </c>
      <c r="AD356" s="11">
        <f>IF(ROUNDUP(S356/20,0)&gt;ROUNDUP(S355/20,0),"Lần " &amp; ROUNDUP(S356/20,0),"")</f>
        <v/>
      </c>
      <c r="AE356" s="11">
        <f>IF(ROUNDUP(T356/20,0)&gt;ROUNDUP(T355/20,0),"Lần " &amp; ROUNDUP(T356/20,0),"")</f>
        <v/>
      </c>
      <c r="AF356" s="11">
        <f>IF(ROUNDUP(U356/20,0)&gt;ROUNDUP(U355/20,0),"Lần " &amp; ROUNDUP(U356/20,0),"")</f>
        <v/>
      </c>
      <c r="AG356" s="11">
        <f>IF(ROUNDUP(V356/20,0)&gt;ROUNDUP(V355/20,0),"Lần " &amp; ROUNDUP(V356/20,0),"")</f>
        <v/>
      </c>
      <c r="AH356" s="11">
        <f>IF(ROUNDUP(W356/20,0)&gt;ROUNDUP(W355/20,0),"Lần " &amp; ROUNDUP(W356/20,0),"")</f>
        <v/>
      </c>
      <c r="AI356" s="11">
        <f>IF(ROUNDUP(X356/20,0)&gt;ROUNDUP(X355/20,0),"Lần " &amp; ROUNDUP(X356/20,0),"")</f>
        <v/>
      </c>
      <c r="AJ356" s="11">
        <f>IF(ROUNDUP(Y356/20,0)&gt;ROUNDUP(Y355/20,0),"Lần " &amp; ROUNDUP(Y356/20,0),"")</f>
        <v/>
      </c>
      <c r="AK356" s="11">
        <f>IF(ROUNDUP(Z356/20,0)&gt;ROUNDUP(Z355/20,0),"Lần " &amp; ROUNDUP(Z356/20,0),"")</f>
        <v/>
      </c>
      <c r="AL356" s="6" t="n"/>
      <c r="AN356" t="inlineStr">
        <is>
          <t>Than</t>
        </is>
      </c>
      <c r="AO356" t="n">
        <v>50</v>
      </c>
    </row>
    <row r="357" ht="19" customHeight="1">
      <c r="A357" s="6" t="n">
        <v>344</v>
      </c>
      <c r="B357" s="7" t="inlineStr">
        <is>
          <t>Bản quá độ Mố M1</t>
        </is>
      </c>
      <c r="C357" s="7" t="inlineStr">
        <is>
          <t>Bản quá độ tiếp giáp mố</t>
        </is>
      </c>
      <c r="D357" s="18" t="inlineStr">
        <is>
          <t>A7</t>
        </is>
      </c>
      <c r="E357" s="19" t="n">
        <v>10</v>
      </c>
      <c r="F357" s="6" t="inlineStr">
        <is>
          <t>CB240-T</t>
        </is>
      </c>
      <c r="G357" s="7" t="inlineStr">
        <is>
          <t>S32</t>
        </is>
      </c>
      <c r="H357" s="20" t="n">
        <v>0.676</v>
      </c>
      <c r="I357" s="21" t="n">
        <v>23</v>
      </c>
      <c r="J357" s="22" t="n">
        <v>0.617</v>
      </c>
      <c r="K357" s="9">
        <f>ROUND(H357*I357*J357, 2)</f>
        <v/>
      </c>
      <c r="L357" s="23">
        <f>ROUND(K357/1000, 3)</f>
        <v/>
      </c>
      <c r="M357" s="8">
        <f>IF(AO357="","",IF(INDEX(Theo_Doi_Tan_Suat_Be_Tong!$C:$C,AO357)="","",INDEX(Theo_Doi_Tan_Suat_Be_Tong!$C:$C,AO357)-VLOOKUP(AN357,$AQ$2:$AR$7,2,FALSE)))</f>
        <v/>
      </c>
      <c r="N357" s="6" t="n"/>
      <c r="O357" s="24">
        <f>IF(ROUNDUP(P357/20,0)&gt;ROUNDUP(P356/20,0),"TN Ø10 (Lần " &amp; ROUNDUP(P357/20,0) &amp; ")","")</f>
        <v/>
      </c>
      <c r="P357" s="20">
        <f>ROUND(P356+IF(AND(E357&lt;=10,F357&lt;&gt;"ASTM A416"),L357,0),3)</f>
        <v/>
      </c>
      <c r="Q357" s="20">
        <f>ROUND(Q356+IF(AND(E357=12,F357&lt;&gt;"ASTM A416"),L357,0),3)</f>
        <v/>
      </c>
      <c r="R357" s="20">
        <f>ROUND(R356+IF(AND(E357=14,F357&lt;&gt;"ASTM A416"),L357,0),3)</f>
        <v/>
      </c>
      <c r="S357" s="20">
        <f>ROUND(S356+IF(AND(E357=16,F357&lt;&gt;"ASTM A416"),L357,0),3)</f>
        <v/>
      </c>
      <c r="T357" s="20">
        <f>ROUND(T356+IF(AND(E357=18,F357&lt;&gt;"ASTM A416"),L357,0),3)</f>
        <v/>
      </c>
      <c r="U357" s="20">
        <f>ROUND(U356+IF(AND(E357=20,F357&lt;&gt;"ASTM A416"),L357,0),3)</f>
        <v/>
      </c>
      <c r="V357" s="20">
        <f>ROUND(V356+IF(AND(E357=22,F357&lt;&gt;"ASTM A416"),L357,0),3)</f>
        <v/>
      </c>
      <c r="W357" s="20">
        <f>ROUND(W356+IF(AND(E357=25,F357&lt;&gt;"ASTM A416"),L357,0),3)</f>
        <v/>
      </c>
      <c r="X357" s="20">
        <f>ROUND(X356+IF(AND(E357=28,F357&lt;&gt;"ASTM A416"),L357,0),3)</f>
        <v/>
      </c>
      <c r="Y357" s="20">
        <f>ROUND(Y356+IF(AND(E357=32,F357&lt;&gt;"ASTM A416"),L357,0),3)</f>
        <v/>
      </c>
      <c r="Z357" s="20">
        <f>ROUND(Z356+IF(F357="ASTM A416",L357,0),3)</f>
        <v/>
      </c>
      <c r="AA357" s="11">
        <f>IF(ROUNDUP(P357/20,0)&gt;ROUNDUP(P356/20,0),"Lần " &amp; ROUNDUP(P357/20,0),"")</f>
        <v/>
      </c>
      <c r="AB357" s="11">
        <f>IF(ROUNDUP(Q357/20,0)&gt;ROUNDUP(Q356/20,0),"Lần " &amp; ROUNDUP(Q357/20,0),"")</f>
        <v/>
      </c>
      <c r="AC357" s="11">
        <f>IF(ROUNDUP(R357/20,0)&gt;ROUNDUP(R356/20,0),"Lần " &amp; ROUNDUP(R357/20,0),"")</f>
        <v/>
      </c>
      <c r="AD357" s="11">
        <f>IF(ROUNDUP(S357/20,0)&gt;ROUNDUP(S356/20,0),"Lần " &amp; ROUNDUP(S357/20,0),"")</f>
        <v/>
      </c>
      <c r="AE357" s="11">
        <f>IF(ROUNDUP(T357/20,0)&gt;ROUNDUP(T356/20,0),"Lần " &amp; ROUNDUP(T357/20,0),"")</f>
        <v/>
      </c>
      <c r="AF357" s="11">
        <f>IF(ROUNDUP(U357/20,0)&gt;ROUNDUP(U356/20,0),"Lần " &amp; ROUNDUP(U357/20,0),"")</f>
        <v/>
      </c>
      <c r="AG357" s="11">
        <f>IF(ROUNDUP(V357/20,0)&gt;ROUNDUP(V356/20,0),"Lần " &amp; ROUNDUP(V357/20,0),"")</f>
        <v/>
      </c>
      <c r="AH357" s="11">
        <f>IF(ROUNDUP(W357/20,0)&gt;ROUNDUP(W356/20,0),"Lần " &amp; ROUNDUP(W357/20,0),"")</f>
        <v/>
      </c>
      <c r="AI357" s="11">
        <f>IF(ROUNDUP(X357/20,0)&gt;ROUNDUP(X356/20,0),"Lần " &amp; ROUNDUP(X357/20,0),"")</f>
        <v/>
      </c>
      <c r="AJ357" s="11">
        <f>IF(ROUNDUP(Y357/20,0)&gt;ROUNDUP(Y356/20,0),"Lần " &amp; ROUNDUP(Y357/20,0),"")</f>
        <v/>
      </c>
      <c r="AK357" s="11">
        <f>IF(ROUNDUP(Z357/20,0)&gt;ROUNDUP(Z356/20,0),"Lần " &amp; ROUNDUP(Z357/20,0),"")</f>
        <v/>
      </c>
      <c r="AL357" s="6" t="n"/>
      <c r="AN357" t="inlineStr">
        <is>
          <t>Than</t>
        </is>
      </c>
      <c r="AO357" t="n">
        <v>50</v>
      </c>
    </row>
    <row r="358" ht="19" customHeight="1">
      <c r="A358" s="17" t="inlineStr">
        <is>
          <t>--- BẢN QUÁ ĐỘ MỐ M2 ---</t>
        </is>
      </c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  <c r="AG358" s="35" t="n"/>
      <c r="AH358" s="35" t="n"/>
      <c r="AI358" s="35" t="n"/>
      <c r="AJ358" s="35" t="n"/>
      <c r="AK358" s="35" t="n"/>
      <c r="AL358" s="34" t="n"/>
    </row>
    <row r="359" ht="20" customHeight="1">
      <c r="A359" s="6" t="n">
        <v>345</v>
      </c>
      <c r="B359" s="7" t="inlineStr">
        <is>
          <t>Bản quá độ Mố M2</t>
        </is>
      </c>
      <c r="C359" s="7" t="inlineStr">
        <is>
          <t>Bản quá độ tiếp giáp mố</t>
        </is>
      </c>
      <c r="D359" s="18" t="inlineStr">
        <is>
          <t>A1</t>
        </is>
      </c>
      <c r="E359" s="19" t="n">
        <v>16</v>
      </c>
      <c r="F359" s="6" t="inlineStr">
        <is>
          <t>CB400-V</t>
        </is>
      </c>
      <c r="G359" s="7" t="inlineStr">
        <is>
          <t>S06</t>
        </is>
      </c>
      <c r="H359" s="20" t="n">
        <v>8.332000000000001</v>
      </c>
      <c r="I359" s="21" t="n">
        <v>57</v>
      </c>
      <c r="J359" s="22" t="n">
        <v>1.578</v>
      </c>
      <c r="K359" s="9">
        <f>ROUND(H359*I359*J359, 2)</f>
        <v/>
      </c>
      <c r="L359" s="23">
        <f>ROUND(K359/1000, 3)</f>
        <v/>
      </c>
      <c r="M359" s="8">
        <f>IF(AO359="","",IF(INDEX(Theo_Doi_Tan_Suat_Be_Tong!$C:$C,AO359)="","",INDEX(Theo_Doi_Tan_Suat_Be_Tong!$C:$C,AO359)-VLOOKUP(AN359,$AQ$2:$AR$7,2,FALSE)))</f>
        <v/>
      </c>
      <c r="N359" s="6" t="n"/>
      <c r="O359" s="24">
        <f>IF(ROUNDUP(S359/20,0)&gt;ROUNDUP(S357/20,0),"TN Ø16 (Lần " &amp; ROUNDUP(S359/20,0) &amp; ")","")</f>
        <v/>
      </c>
      <c r="P359" s="20">
        <f>ROUND(P357+IF(AND(E359&lt;=10,F359&lt;&gt;"ASTM A416"),L359,0),3)</f>
        <v/>
      </c>
      <c r="Q359" s="20">
        <f>ROUND(Q357+IF(AND(E359=12,F359&lt;&gt;"ASTM A416"),L359,0),3)</f>
        <v/>
      </c>
      <c r="R359" s="20">
        <f>ROUND(R357+IF(AND(E359=14,F359&lt;&gt;"ASTM A416"),L359,0),3)</f>
        <v/>
      </c>
      <c r="S359" s="20">
        <f>ROUND(S357+IF(AND(E359=16,F359&lt;&gt;"ASTM A416"),L359,0),3)</f>
        <v/>
      </c>
      <c r="T359" s="20">
        <f>ROUND(T357+IF(AND(E359=18,F359&lt;&gt;"ASTM A416"),L359,0),3)</f>
        <v/>
      </c>
      <c r="U359" s="20">
        <f>ROUND(U357+IF(AND(E359=20,F359&lt;&gt;"ASTM A416"),L359,0),3)</f>
        <v/>
      </c>
      <c r="V359" s="20">
        <f>ROUND(V357+IF(AND(E359=22,F359&lt;&gt;"ASTM A416"),L359,0),3)</f>
        <v/>
      </c>
      <c r="W359" s="20">
        <f>ROUND(W357+IF(AND(E359=25,F359&lt;&gt;"ASTM A416"),L359,0),3)</f>
        <v/>
      </c>
      <c r="X359" s="20">
        <f>ROUND(X357+IF(AND(E359=28,F359&lt;&gt;"ASTM A416"),L359,0),3)</f>
        <v/>
      </c>
      <c r="Y359" s="20">
        <f>ROUND(Y357+IF(AND(E359=32,F359&lt;&gt;"ASTM A416"),L359,0),3)</f>
        <v/>
      </c>
      <c r="Z359" s="20">
        <f>ROUND(Z357+IF(F359="ASTM A416",L359,0),3)</f>
        <v/>
      </c>
      <c r="AA359" s="11">
        <f>IF(ROUNDUP(P359/20,0)&gt;ROUNDUP(P357/20,0),"Lần " &amp; ROUNDUP(P359/20,0),"")</f>
        <v/>
      </c>
      <c r="AB359" s="11">
        <f>IF(ROUNDUP(Q359/20,0)&gt;ROUNDUP(Q357/20,0),"Lần " &amp; ROUNDUP(Q359/20,0),"")</f>
        <v/>
      </c>
      <c r="AC359" s="11">
        <f>IF(ROUNDUP(R359/20,0)&gt;ROUNDUP(R357/20,0),"Lần " &amp; ROUNDUP(R359/20,0),"")</f>
        <v/>
      </c>
      <c r="AD359" s="11">
        <f>IF(ROUNDUP(S359/20,0)&gt;ROUNDUP(S357/20,0),"Lần " &amp; ROUNDUP(S359/20,0),"")</f>
        <v/>
      </c>
      <c r="AE359" s="11">
        <f>IF(ROUNDUP(T359/20,0)&gt;ROUNDUP(T357/20,0),"Lần " &amp; ROUNDUP(T359/20,0),"")</f>
        <v/>
      </c>
      <c r="AF359" s="11">
        <f>IF(ROUNDUP(U359/20,0)&gt;ROUNDUP(U357/20,0),"Lần " &amp; ROUNDUP(U359/20,0),"")</f>
        <v/>
      </c>
      <c r="AG359" s="11">
        <f>IF(ROUNDUP(V359/20,0)&gt;ROUNDUP(V357/20,0),"Lần " &amp; ROUNDUP(V359/20,0),"")</f>
        <v/>
      </c>
      <c r="AH359" s="11">
        <f>IF(ROUNDUP(W359/20,0)&gt;ROUNDUP(W357/20,0),"Lần " &amp; ROUNDUP(W359/20,0),"")</f>
        <v/>
      </c>
      <c r="AI359" s="11">
        <f>IF(ROUNDUP(X359/20,0)&gt;ROUNDUP(X357/20,0),"Lần " &amp; ROUNDUP(X359/20,0),"")</f>
        <v/>
      </c>
      <c r="AJ359" s="11">
        <f>IF(ROUNDUP(Y359/20,0)&gt;ROUNDUP(Y357/20,0),"Lần " &amp; ROUNDUP(Y359/20,0),"")</f>
        <v/>
      </c>
      <c r="AK359" s="11">
        <f>IF(ROUNDUP(Z359/20,0)&gt;ROUNDUP(Z357/20,0),"Lần " &amp; ROUNDUP(Z359/20,0),"")</f>
        <v/>
      </c>
      <c r="AL359" s="6" t="n"/>
      <c r="AN359" t="inlineStr">
        <is>
          <t>Than</t>
        </is>
      </c>
      <c r="AO359" t="n">
        <v>54</v>
      </c>
    </row>
    <row r="360" ht="19" customHeight="1">
      <c r="A360" s="6" t="n">
        <v>346</v>
      </c>
      <c r="B360" s="7" t="inlineStr">
        <is>
          <t>Bản quá độ Mố M2</t>
        </is>
      </c>
      <c r="C360" s="7" t="inlineStr">
        <is>
          <t>Bản quá độ tiếp giáp mố</t>
        </is>
      </c>
      <c r="D360" s="18" t="inlineStr">
        <is>
          <t>A2</t>
        </is>
      </c>
      <c r="E360" s="19" t="n">
        <v>16</v>
      </c>
      <c r="F360" s="6" t="inlineStr">
        <is>
          <t>CB400-V</t>
        </is>
      </c>
      <c r="G360" s="7" t="inlineStr">
        <is>
          <t>S06</t>
        </is>
      </c>
      <c r="H360" s="20" t="n">
        <v>12.447</v>
      </c>
      <c r="I360" s="21" t="n">
        <v>40</v>
      </c>
      <c r="J360" s="22" t="n">
        <v>1.578</v>
      </c>
      <c r="K360" s="9">
        <f>ROUND(H360*I360*J360, 2)</f>
        <v/>
      </c>
      <c r="L360" s="23">
        <f>ROUND(K360/1000, 3)</f>
        <v/>
      </c>
      <c r="M360" s="8">
        <f>IF(AO360="","",IF(INDEX(Theo_Doi_Tan_Suat_Be_Tong!$C:$C,AO360)="","",INDEX(Theo_Doi_Tan_Suat_Be_Tong!$C:$C,AO360)-VLOOKUP(AN360,$AQ$2:$AR$7,2,FALSE)))</f>
        <v/>
      </c>
      <c r="N360" s="6" t="n"/>
      <c r="O360" s="24">
        <f>IF(ROUNDUP(S360/20,0)&gt;ROUNDUP(S359/20,0),"TN Ø16 (Lần " &amp; ROUNDUP(S360/20,0) &amp; ")","")</f>
        <v/>
      </c>
      <c r="P360" s="20">
        <f>ROUND(P359+IF(AND(E360&lt;=10,F360&lt;&gt;"ASTM A416"),L360,0),3)</f>
        <v/>
      </c>
      <c r="Q360" s="20">
        <f>ROUND(Q359+IF(AND(E360=12,F360&lt;&gt;"ASTM A416"),L360,0),3)</f>
        <v/>
      </c>
      <c r="R360" s="20">
        <f>ROUND(R359+IF(AND(E360=14,F360&lt;&gt;"ASTM A416"),L360,0),3)</f>
        <v/>
      </c>
      <c r="S360" s="20">
        <f>ROUND(S359+IF(AND(E360=16,F360&lt;&gt;"ASTM A416"),L360,0),3)</f>
        <v/>
      </c>
      <c r="T360" s="20">
        <f>ROUND(T359+IF(AND(E360=18,F360&lt;&gt;"ASTM A416"),L360,0),3)</f>
        <v/>
      </c>
      <c r="U360" s="20">
        <f>ROUND(U359+IF(AND(E360=20,F360&lt;&gt;"ASTM A416"),L360,0),3)</f>
        <v/>
      </c>
      <c r="V360" s="20">
        <f>ROUND(V359+IF(AND(E360=22,F360&lt;&gt;"ASTM A416"),L360,0),3)</f>
        <v/>
      </c>
      <c r="W360" s="20">
        <f>ROUND(W359+IF(AND(E360=25,F360&lt;&gt;"ASTM A416"),L360,0),3)</f>
        <v/>
      </c>
      <c r="X360" s="20">
        <f>ROUND(X359+IF(AND(E360=28,F360&lt;&gt;"ASTM A416"),L360,0),3)</f>
        <v/>
      </c>
      <c r="Y360" s="20">
        <f>ROUND(Y359+IF(AND(E360=32,F360&lt;&gt;"ASTM A416"),L360,0),3)</f>
        <v/>
      </c>
      <c r="Z360" s="20">
        <f>ROUND(Z359+IF(F360="ASTM A416",L360,0),3)</f>
        <v/>
      </c>
      <c r="AA360" s="11">
        <f>IF(ROUNDUP(P360/20,0)&gt;ROUNDUP(P359/20,0),"Lần " &amp; ROUNDUP(P360/20,0),"")</f>
        <v/>
      </c>
      <c r="AB360" s="11">
        <f>IF(ROUNDUP(Q360/20,0)&gt;ROUNDUP(Q359/20,0),"Lần " &amp; ROUNDUP(Q360/20,0),"")</f>
        <v/>
      </c>
      <c r="AC360" s="11">
        <f>IF(ROUNDUP(R360/20,0)&gt;ROUNDUP(R359/20,0),"Lần " &amp; ROUNDUP(R360/20,0),"")</f>
        <v/>
      </c>
      <c r="AD360" s="11">
        <f>IF(ROUNDUP(S360/20,0)&gt;ROUNDUP(S359/20,0),"Lần " &amp; ROUNDUP(S360/20,0),"")</f>
        <v/>
      </c>
      <c r="AE360" s="11">
        <f>IF(ROUNDUP(T360/20,0)&gt;ROUNDUP(T359/20,0),"Lần " &amp; ROUNDUP(T360/20,0),"")</f>
        <v/>
      </c>
      <c r="AF360" s="11">
        <f>IF(ROUNDUP(U360/20,0)&gt;ROUNDUP(U359/20,0),"Lần " &amp; ROUNDUP(U360/20,0),"")</f>
        <v/>
      </c>
      <c r="AG360" s="11">
        <f>IF(ROUNDUP(V360/20,0)&gt;ROUNDUP(V359/20,0),"Lần " &amp; ROUNDUP(V360/20,0),"")</f>
        <v/>
      </c>
      <c r="AH360" s="11">
        <f>IF(ROUNDUP(W360/20,0)&gt;ROUNDUP(W359/20,0),"Lần " &amp; ROUNDUP(W360/20,0),"")</f>
        <v/>
      </c>
      <c r="AI360" s="11">
        <f>IF(ROUNDUP(X360/20,0)&gt;ROUNDUP(X359/20,0),"Lần " &amp; ROUNDUP(X360/20,0),"")</f>
        <v/>
      </c>
      <c r="AJ360" s="11">
        <f>IF(ROUNDUP(Y360/20,0)&gt;ROUNDUP(Y359/20,0),"Lần " &amp; ROUNDUP(Y360/20,0),"")</f>
        <v/>
      </c>
      <c r="AK360" s="11">
        <f>IF(ROUNDUP(Z360/20,0)&gt;ROUNDUP(Z359/20,0),"Lần " &amp; ROUNDUP(Z360/20,0),"")</f>
        <v/>
      </c>
      <c r="AL360" s="6" t="n"/>
      <c r="AN360" t="inlineStr">
        <is>
          <t>Than</t>
        </is>
      </c>
      <c r="AO360" t="n">
        <v>54</v>
      </c>
    </row>
    <row r="361" ht="19" customHeight="1">
      <c r="A361" s="6" t="n">
        <v>347</v>
      </c>
      <c r="B361" s="7" t="inlineStr">
        <is>
          <t>Bản quá độ Mố M2</t>
        </is>
      </c>
      <c r="C361" s="7" t="inlineStr">
        <is>
          <t>Bản quá độ tiếp giáp mố</t>
        </is>
      </c>
      <c r="D361" s="18" t="inlineStr">
        <is>
          <t>A3</t>
        </is>
      </c>
      <c r="E361" s="19" t="n">
        <v>22</v>
      </c>
      <c r="F361" s="6" t="inlineStr">
        <is>
          <t>CB400-V</t>
        </is>
      </c>
      <c r="G361" s="7" t="inlineStr">
        <is>
          <t>S06</t>
        </is>
      </c>
      <c r="H361" s="20" t="n">
        <v>8.289999999999999</v>
      </c>
      <c r="I361" s="21" t="n">
        <v>113</v>
      </c>
      <c r="J361" s="22" t="n">
        <v>2.984</v>
      </c>
      <c r="K361" s="9">
        <f>ROUND(H361*I361*J361, 2)</f>
        <v/>
      </c>
      <c r="L361" s="23">
        <f>ROUND(K361/1000, 3)</f>
        <v/>
      </c>
      <c r="M361" s="8">
        <f>IF(AO361="","",IF(INDEX(Theo_Doi_Tan_Suat_Be_Tong!$C:$C,AO361)="","",INDEX(Theo_Doi_Tan_Suat_Be_Tong!$C:$C,AO361)-VLOOKUP(AN361,$AQ$2:$AR$7,2,FALSE)))</f>
        <v/>
      </c>
      <c r="N361" s="6" t="n"/>
      <c r="O361" s="24">
        <f>IF(ROUNDUP(V361/20,0)&gt;ROUNDUP(V360/20,0),"TN Ø22 (Lần " &amp; ROUNDUP(V361/20,0) &amp; ")","")</f>
        <v/>
      </c>
      <c r="P361" s="20">
        <f>ROUND(P360+IF(AND(E361&lt;=10,F361&lt;&gt;"ASTM A416"),L361,0),3)</f>
        <v/>
      </c>
      <c r="Q361" s="20">
        <f>ROUND(Q360+IF(AND(E361=12,F361&lt;&gt;"ASTM A416"),L361,0),3)</f>
        <v/>
      </c>
      <c r="R361" s="20">
        <f>ROUND(R360+IF(AND(E361=14,F361&lt;&gt;"ASTM A416"),L361,0),3)</f>
        <v/>
      </c>
      <c r="S361" s="20">
        <f>ROUND(S360+IF(AND(E361=16,F361&lt;&gt;"ASTM A416"),L361,0),3)</f>
        <v/>
      </c>
      <c r="T361" s="20">
        <f>ROUND(T360+IF(AND(E361=18,F361&lt;&gt;"ASTM A416"),L361,0),3)</f>
        <v/>
      </c>
      <c r="U361" s="20">
        <f>ROUND(U360+IF(AND(E361=20,F361&lt;&gt;"ASTM A416"),L361,0),3)</f>
        <v/>
      </c>
      <c r="V361" s="20">
        <f>ROUND(V360+IF(AND(E361=22,F361&lt;&gt;"ASTM A416"),L361,0),3)</f>
        <v/>
      </c>
      <c r="W361" s="20">
        <f>ROUND(W360+IF(AND(E361=25,F361&lt;&gt;"ASTM A416"),L361,0),3)</f>
        <v/>
      </c>
      <c r="X361" s="20">
        <f>ROUND(X360+IF(AND(E361=28,F361&lt;&gt;"ASTM A416"),L361,0),3)</f>
        <v/>
      </c>
      <c r="Y361" s="20">
        <f>ROUND(Y360+IF(AND(E361=32,F361&lt;&gt;"ASTM A416"),L361,0),3)</f>
        <v/>
      </c>
      <c r="Z361" s="20">
        <f>ROUND(Z360+IF(F361="ASTM A416",L361,0),3)</f>
        <v/>
      </c>
      <c r="AA361" s="11">
        <f>IF(ROUNDUP(P361/20,0)&gt;ROUNDUP(P360/20,0),"Lần " &amp; ROUNDUP(P361/20,0),"")</f>
        <v/>
      </c>
      <c r="AB361" s="11">
        <f>IF(ROUNDUP(Q361/20,0)&gt;ROUNDUP(Q360/20,0),"Lần " &amp; ROUNDUP(Q361/20,0),"")</f>
        <v/>
      </c>
      <c r="AC361" s="11">
        <f>IF(ROUNDUP(R361/20,0)&gt;ROUNDUP(R360/20,0),"Lần " &amp; ROUNDUP(R361/20,0),"")</f>
        <v/>
      </c>
      <c r="AD361" s="11">
        <f>IF(ROUNDUP(S361/20,0)&gt;ROUNDUP(S360/20,0),"Lần " &amp; ROUNDUP(S361/20,0),"")</f>
        <v/>
      </c>
      <c r="AE361" s="11">
        <f>IF(ROUNDUP(T361/20,0)&gt;ROUNDUP(T360/20,0),"Lần " &amp; ROUNDUP(T361/20,0),"")</f>
        <v/>
      </c>
      <c r="AF361" s="11">
        <f>IF(ROUNDUP(U361/20,0)&gt;ROUNDUP(U360/20,0),"Lần " &amp; ROUNDUP(U361/20,0),"")</f>
        <v/>
      </c>
      <c r="AG361" s="11">
        <f>IF(ROUNDUP(V361/20,0)&gt;ROUNDUP(V360/20,0),"Lần " &amp; ROUNDUP(V361/20,0),"")</f>
        <v/>
      </c>
      <c r="AH361" s="11">
        <f>IF(ROUNDUP(W361/20,0)&gt;ROUNDUP(W360/20,0),"Lần " &amp; ROUNDUP(W361/20,0),"")</f>
        <v/>
      </c>
      <c r="AI361" s="11">
        <f>IF(ROUNDUP(X361/20,0)&gt;ROUNDUP(X360/20,0),"Lần " &amp; ROUNDUP(X361/20,0),"")</f>
        <v/>
      </c>
      <c r="AJ361" s="11">
        <f>IF(ROUNDUP(Y361/20,0)&gt;ROUNDUP(Y360/20,0),"Lần " &amp; ROUNDUP(Y361/20,0),"")</f>
        <v/>
      </c>
      <c r="AK361" s="11">
        <f>IF(ROUNDUP(Z361/20,0)&gt;ROUNDUP(Z360/20,0),"Lần " &amp; ROUNDUP(Z361/20,0),"")</f>
        <v/>
      </c>
      <c r="AL361" s="6" t="n"/>
      <c r="AN361" t="inlineStr">
        <is>
          <t>Than</t>
        </is>
      </c>
      <c r="AO361" t="n">
        <v>54</v>
      </c>
    </row>
    <row r="362" ht="19" customHeight="1">
      <c r="A362" s="6" t="n">
        <v>348</v>
      </c>
      <c r="B362" s="7" t="inlineStr">
        <is>
          <t>Bản quá độ Mố M2</t>
        </is>
      </c>
      <c r="C362" s="7" t="inlineStr">
        <is>
          <t>Bản quá độ tiếp giáp mố</t>
        </is>
      </c>
      <c r="D362" s="18" t="inlineStr">
        <is>
          <t>A4</t>
        </is>
      </c>
      <c r="E362" s="19" t="n">
        <v>16</v>
      </c>
      <c r="F362" s="6" t="inlineStr">
        <is>
          <t>CB400-V</t>
        </is>
      </c>
      <c r="G362" s="7" t="inlineStr">
        <is>
          <t>S06</t>
        </is>
      </c>
      <c r="H362" s="20" t="n">
        <v>12.447</v>
      </c>
      <c r="I362" s="21" t="n">
        <v>40</v>
      </c>
      <c r="J362" s="22" t="n">
        <v>1.578</v>
      </c>
      <c r="K362" s="9">
        <f>ROUND(H362*I362*J362, 2)</f>
        <v/>
      </c>
      <c r="L362" s="23">
        <f>ROUND(K362/1000, 3)</f>
        <v/>
      </c>
      <c r="M362" s="8">
        <f>IF(AO362="","",IF(INDEX(Theo_Doi_Tan_Suat_Be_Tong!$C:$C,AO362)="","",INDEX(Theo_Doi_Tan_Suat_Be_Tong!$C:$C,AO362)-VLOOKUP(AN362,$AQ$2:$AR$7,2,FALSE)))</f>
        <v/>
      </c>
      <c r="N362" s="6" t="n"/>
      <c r="O362" s="24">
        <f>IF(ROUNDUP(S362/20,0)&gt;ROUNDUP(S361/20,0),"TN Ø16 (Lần " &amp; ROUNDUP(S362/20,0) &amp; ")","")</f>
        <v/>
      </c>
      <c r="P362" s="20">
        <f>ROUND(P361+IF(AND(E362&lt;=10,F362&lt;&gt;"ASTM A416"),L362,0),3)</f>
        <v/>
      </c>
      <c r="Q362" s="20">
        <f>ROUND(Q361+IF(AND(E362=12,F362&lt;&gt;"ASTM A416"),L362,0),3)</f>
        <v/>
      </c>
      <c r="R362" s="20">
        <f>ROUND(R361+IF(AND(E362=14,F362&lt;&gt;"ASTM A416"),L362,0),3)</f>
        <v/>
      </c>
      <c r="S362" s="20">
        <f>ROUND(S361+IF(AND(E362=16,F362&lt;&gt;"ASTM A416"),L362,0),3)</f>
        <v/>
      </c>
      <c r="T362" s="20">
        <f>ROUND(T361+IF(AND(E362=18,F362&lt;&gt;"ASTM A416"),L362,0),3)</f>
        <v/>
      </c>
      <c r="U362" s="20">
        <f>ROUND(U361+IF(AND(E362=20,F362&lt;&gt;"ASTM A416"),L362,0),3)</f>
        <v/>
      </c>
      <c r="V362" s="20">
        <f>ROUND(V361+IF(AND(E362=22,F362&lt;&gt;"ASTM A416"),L362,0),3)</f>
        <v/>
      </c>
      <c r="W362" s="20">
        <f>ROUND(W361+IF(AND(E362=25,F362&lt;&gt;"ASTM A416"),L362,0),3)</f>
        <v/>
      </c>
      <c r="X362" s="20">
        <f>ROUND(X361+IF(AND(E362=28,F362&lt;&gt;"ASTM A416"),L362,0),3)</f>
        <v/>
      </c>
      <c r="Y362" s="20">
        <f>ROUND(Y361+IF(AND(E362=32,F362&lt;&gt;"ASTM A416"),L362,0),3)</f>
        <v/>
      </c>
      <c r="Z362" s="20">
        <f>ROUND(Z361+IF(F362="ASTM A416",L362,0),3)</f>
        <v/>
      </c>
      <c r="AA362" s="11">
        <f>IF(ROUNDUP(P362/20,0)&gt;ROUNDUP(P361/20,0),"Lần " &amp; ROUNDUP(P362/20,0),"")</f>
        <v/>
      </c>
      <c r="AB362" s="11">
        <f>IF(ROUNDUP(Q362/20,0)&gt;ROUNDUP(Q361/20,0),"Lần " &amp; ROUNDUP(Q362/20,0),"")</f>
        <v/>
      </c>
      <c r="AC362" s="11">
        <f>IF(ROUNDUP(R362/20,0)&gt;ROUNDUP(R361/20,0),"Lần " &amp; ROUNDUP(R362/20,0),"")</f>
        <v/>
      </c>
      <c r="AD362" s="11">
        <f>IF(ROUNDUP(S362/20,0)&gt;ROUNDUP(S361/20,0),"Lần " &amp; ROUNDUP(S362/20,0),"")</f>
        <v/>
      </c>
      <c r="AE362" s="11">
        <f>IF(ROUNDUP(T362/20,0)&gt;ROUNDUP(T361/20,0),"Lần " &amp; ROUNDUP(T362/20,0),"")</f>
        <v/>
      </c>
      <c r="AF362" s="11">
        <f>IF(ROUNDUP(U362/20,0)&gt;ROUNDUP(U361/20,0),"Lần " &amp; ROUNDUP(U362/20,0),"")</f>
        <v/>
      </c>
      <c r="AG362" s="11">
        <f>IF(ROUNDUP(V362/20,0)&gt;ROUNDUP(V361/20,0),"Lần " &amp; ROUNDUP(V362/20,0),"")</f>
        <v/>
      </c>
      <c r="AH362" s="11">
        <f>IF(ROUNDUP(W362/20,0)&gt;ROUNDUP(W361/20,0),"Lần " &amp; ROUNDUP(W362/20,0),"")</f>
        <v/>
      </c>
      <c r="AI362" s="11">
        <f>IF(ROUNDUP(X362/20,0)&gt;ROUNDUP(X361/20,0),"Lần " &amp; ROUNDUP(X362/20,0),"")</f>
        <v/>
      </c>
      <c r="AJ362" s="11">
        <f>IF(ROUNDUP(Y362/20,0)&gt;ROUNDUP(Y361/20,0),"Lần " &amp; ROUNDUP(Y362/20,0),"")</f>
        <v/>
      </c>
      <c r="AK362" s="11">
        <f>IF(ROUNDUP(Z362/20,0)&gt;ROUNDUP(Z361/20,0),"Lần " &amp; ROUNDUP(Z362/20,0),"")</f>
        <v/>
      </c>
      <c r="AL362" s="6" t="n"/>
      <c r="AN362" t="inlineStr">
        <is>
          <t>Than</t>
        </is>
      </c>
      <c r="AO362" t="n">
        <v>54</v>
      </c>
    </row>
    <row r="363" ht="19" customHeight="1">
      <c r="A363" s="6" t="n">
        <v>349</v>
      </c>
      <c r="B363" s="7" t="inlineStr">
        <is>
          <t>Bản quá độ Mố M2</t>
        </is>
      </c>
      <c r="C363" s="7" t="inlineStr">
        <is>
          <t>Bản quá độ tiếp giáp mố</t>
        </is>
      </c>
      <c r="D363" s="18" t="inlineStr">
        <is>
          <t>A5</t>
        </is>
      </c>
      <c r="E363" s="19" t="n">
        <v>18</v>
      </c>
      <c r="F363" s="6" t="inlineStr">
        <is>
          <t>CB400-V</t>
        </is>
      </c>
      <c r="G363" s="7" t="inlineStr">
        <is>
          <t>S29</t>
        </is>
      </c>
      <c r="H363" s="20" t="n">
        <v>1.629</v>
      </c>
      <c r="I363" s="21" t="n">
        <v>113</v>
      </c>
      <c r="J363" s="22" t="n">
        <v>1.998</v>
      </c>
      <c r="K363" s="9">
        <f>ROUND(H363*I363*J363, 2)</f>
        <v/>
      </c>
      <c r="L363" s="23">
        <f>ROUND(K363/1000, 3)</f>
        <v/>
      </c>
      <c r="M363" s="8">
        <f>IF(AO363="","",IF(INDEX(Theo_Doi_Tan_Suat_Be_Tong!$C:$C,AO363)="","",INDEX(Theo_Doi_Tan_Suat_Be_Tong!$C:$C,AO363)-VLOOKUP(AN363,$AQ$2:$AR$7,2,FALSE)))</f>
        <v/>
      </c>
      <c r="N363" s="6" t="n"/>
      <c r="O363" s="24">
        <f>IF(ROUNDUP(T363/20,0)&gt;ROUNDUP(T362/20,0),"TN Ø18 (Lần " &amp; ROUNDUP(T363/20,0) &amp; ")","")</f>
        <v/>
      </c>
      <c r="P363" s="20">
        <f>ROUND(P362+IF(AND(E363&lt;=10,F363&lt;&gt;"ASTM A416"),L363,0),3)</f>
        <v/>
      </c>
      <c r="Q363" s="20">
        <f>ROUND(Q362+IF(AND(E363=12,F363&lt;&gt;"ASTM A416"),L363,0),3)</f>
        <v/>
      </c>
      <c r="R363" s="20">
        <f>ROUND(R362+IF(AND(E363=14,F363&lt;&gt;"ASTM A416"),L363,0),3)</f>
        <v/>
      </c>
      <c r="S363" s="20">
        <f>ROUND(S362+IF(AND(E363=16,F363&lt;&gt;"ASTM A416"),L363,0),3)</f>
        <v/>
      </c>
      <c r="T363" s="20">
        <f>ROUND(T362+IF(AND(E363=18,F363&lt;&gt;"ASTM A416"),L363,0),3)</f>
        <v/>
      </c>
      <c r="U363" s="20">
        <f>ROUND(U362+IF(AND(E363=20,F363&lt;&gt;"ASTM A416"),L363,0),3)</f>
        <v/>
      </c>
      <c r="V363" s="20">
        <f>ROUND(V362+IF(AND(E363=22,F363&lt;&gt;"ASTM A416"),L363,0),3)</f>
        <v/>
      </c>
      <c r="W363" s="20">
        <f>ROUND(W362+IF(AND(E363=25,F363&lt;&gt;"ASTM A416"),L363,0),3)</f>
        <v/>
      </c>
      <c r="X363" s="20">
        <f>ROUND(X362+IF(AND(E363=28,F363&lt;&gt;"ASTM A416"),L363,0),3)</f>
        <v/>
      </c>
      <c r="Y363" s="20">
        <f>ROUND(Y362+IF(AND(E363=32,F363&lt;&gt;"ASTM A416"),L363,0),3)</f>
        <v/>
      </c>
      <c r="Z363" s="20">
        <f>ROUND(Z362+IF(F363="ASTM A416",L363,0),3)</f>
        <v/>
      </c>
      <c r="AA363" s="11">
        <f>IF(ROUNDUP(P363/20,0)&gt;ROUNDUP(P362/20,0),"Lần " &amp; ROUNDUP(P363/20,0),"")</f>
        <v/>
      </c>
      <c r="AB363" s="11">
        <f>IF(ROUNDUP(Q363/20,0)&gt;ROUNDUP(Q362/20,0),"Lần " &amp; ROUNDUP(Q363/20,0),"")</f>
        <v/>
      </c>
      <c r="AC363" s="11">
        <f>IF(ROUNDUP(R363/20,0)&gt;ROUNDUP(R362/20,0),"Lần " &amp; ROUNDUP(R363/20,0),"")</f>
        <v/>
      </c>
      <c r="AD363" s="11">
        <f>IF(ROUNDUP(S363/20,0)&gt;ROUNDUP(S362/20,0),"Lần " &amp; ROUNDUP(S363/20,0),"")</f>
        <v/>
      </c>
      <c r="AE363" s="11">
        <f>IF(ROUNDUP(T363/20,0)&gt;ROUNDUP(T362/20,0),"Lần " &amp; ROUNDUP(T363/20,0),"")</f>
        <v/>
      </c>
      <c r="AF363" s="11">
        <f>IF(ROUNDUP(U363/20,0)&gt;ROUNDUP(U362/20,0),"Lần " &amp; ROUNDUP(U363/20,0),"")</f>
        <v/>
      </c>
      <c r="AG363" s="11">
        <f>IF(ROUNDUP(V363/20,0)&gt;ROUNDUP(V362/20,0),"Lần " &amp; ROUNDUP(V363/20,0),"")</f>
        <v/>
      </c>
      <c r="AH363" s="11">
        <f>IF(ROUNDUP(W363/20,0)&gt;ROUNDUP(W362/20,0),"Lần " &amp; ROUNDUP(W363/20,0),"")</f>
        <v/>
      </c>
      <c r="AI363" s="11">
        <f>IF(ROUNDUP(X363/20,0)&gt;ROUNDUP(X362/20,0),"Lần " &amp; ROUNDUP(X363/20,0),"")</f>
        <v/>
      </c>
      <c r="AJ363" s="11">
        <f>IF(ROUNDUP(Y363/20,0)&gt;ROUNDUP(Y362/20,0),"Lần " &amp; ROUNDUP(Y363/20,0),"")</f>
        <v/>
      </c>
      <c r="AK363" s="11">
        <f>IF(ROUNDUP(Z363/20,0)&gt;ROUNDUP(Z362/20,0),"Lần " &amp; ROUNDUP(Z363/20,0),"")</f>
        <v/>
      </c>
      <c r="AL363" s="6" t="n"/>
      <c r="AN363" t="inlineStr">
        <is>
          <t>Than</t>
        </is>
      </c>
      <c r="AO363" t="n">
        <v>54</v>
      </c>
    </row>
    <row r="364" ht="19" customHeight="1">
      <c r="A364" s="6" t="n">
        <v>350</v>
      </c>
      <c r="B364" s="7" t="inlineStr">
        <is>
          <t>Bản quá độ Mố M2</t>
        </is>
      </c>
      <c r="C364" s="7" t="inlineStr">
        <is>
          <t>Bản quá độ tiếp giáp mố</t>
        </is>
      </c>
      <c r="D364" s="18" t="inlineStr">
        <is>
          <t>A6</t>
        </is>
      </c>
      <c r="E364" s="19" t="n">
        <v>12</v>
      </c>
      <c r="F364" s="6" t="inlineStr">
        <is>
          <t>CB400-V</t>
        </is>
      </c>
      <c r="G364" s="7" t="inlineStr">
        <is>
          <t>S06</t>
        </is>
      </c>
      <c r="H364" s="20" t="n">
        <v>0.396</v>
      </c>
      <c r="I364" s="21" t="n">
        <v>216</v>
      </c>
      <c r="J364" s="22" t="n">
        <v>0.888</v>
      </c>
      <c r="K364" s="9">
        <f>ROUND(H364*I364*J364, 2)</f>
        <v/>
      </c>
      <c r="L364" s="23">
        <f>ROUND(K364/1000, 3)</f>
        <v/>
      </c>
      <c r="M364" s="8">
        <f>IF(AO364="","",IF(INDEX(Theo_Doi_Tan_Suat_Be_Tong!$C:$C,AO364)="","",INDEX(Theo_Doi_Tan_Suat_Be_Tong!$C:$C,AO364)-VLOOKUP(AN364,$AQ$2:$AR$7,2,FALSE)))</f>
        <v/>
      </c>
      <c r="N364" s="6" t="n"/>
      <c r="O364" s="24">
        <f>IF(ROUNDUP(Q364/20,0)&gt;ROUNDUP(Q363/20,0),"TN Ø12 (Lần " &amp; ROUNDUP(Q364/20,0) &amp; ")","")</f>
        <v/>
      </c>
      <c r="P364" s="20">
        <f>ROUND(P363+IF(AND(E364&lt;=10,F364&lt;&gt;"ASTM A416"),L364,0),3)</f>
        <v/>
      </c>
      <c r="Q364" s="20">
        <f>ROUND(Q363+IF(AND(E364=12,F364&lt;&gt;"ASTM A416"),L364,0),3)</f>
        <v/>
      </c>
      <c r="R364" s="20">
        <f>ROUND(R363+IF(AND(E364=14,F364&lt;&gt;"ASTM A416"),L364,0),3)</f>
        <v/>
      </c>
      <c r="S364" s="20">
        <f>ROUND(S363+IF(AND(E364=16,F364&lt;&gt;"ASTM A416"),L364,0),3)</f>
        <v/>
      </c>
      <c r="T364" s="20">
        <f>ROUND(T363+IF(AND(E364=18,F364&lt;&gt;"ASTM A416"),L364,0),3)</f>
        <v/>
      </c>
      <c r="U364" s="20">
        <f>ROUND(U363+IF(AND(E364=20,F364&lt;&gt;"ASTM A416"),L364,0),3)</f>
        <v/>
      </c>
      <c r="V364" s="20">
        <f>ROUND(V363+IF(AND(E364=22,F364&lt;&gt;"ASTM A416"),L364,0),3)</f>
        <v/>
      </c>
      <c r="W364" s="20">
        <f>ROUND(W363+IF(AND(E364=25,F364&lt;&gt;"ASTM A416"),L364,0),3)</f>
        <v/>
      </c>
      <c r="X364" s="20">
        <f>ROUND(X363+IF(AND(E364=28,F364&lt;&gt;"ASTM A416"),L364,0),3)</f>
        <v/>
      </c>
      <c r="Y364" s="20">
        <f>ROUND(Y363+IF(AND(E364=32,F364&lt;&gt;"ASTM A416"),L364,0),3)</f>
        <v/>
      </c>
      <c r="Z364" s="20">
        <f>ROUND(Z363+IF(F364="ASTM A416",L364,0),3)</f>
        <v/>
      </c>
      <c r="AA364" s="11">
        <f>IF(ROUNDUP(P364/20,0)&gt;ROUNDUP(P363/20,0),"Lần " &amp; ROUNDUP(P364/20,0),"")</f>
        <v/>
      </c>
      <c r="AB364" s="11">
        <f>IF(ROUNDUP(Q364/20,0)&gt;ROUNDUP(Q363/20,0),"Lần " &amp; ROUNDUP(Q364/20,0),"")</f>
        <v/>
      </c>
      <c r="AC364" s="11">
        <f>IF(ROUNDUP(R364/20,0)&gt;ROUNDUP(R363/20,0),"Lần " &amp; ROUNDUP(R364/20,0),"")</f>
        <v/>
      </c>
      <c r="AD364" s="11">
        <f>IF(ROUNDUP(S364/20,0)&gt;ROUNDUP(S363/20,0),"Lần " &amp; ROUNDUP(S364/20,0),"")</f>
        <v/>
      </c>
      <c r="AE364" s="11">
        <f>IF(ROUNDUP(T364/20,0)&gt;ROUNDUP(T363/20,0),"Lần " &amp; ROUNDUP(T364/20,0),"")</f>
        <v/>
      </c>
      <c r="AF364" s="11">
        <f>IF(ROUNDUP(U364/20,0)&gt;ROUNDUP(U363/20,0),"Lần " &amp; ROUNDUP(U364/20,0),"")</f>
        <v/>
      </c>
      <c r="AG364" s="11">
        <f>IF(ROUNDUP(V364/20,0)&gt;ROUNDUP(V363/20,0),"Lần " &amp; ROUNDUP(V364/20,0),"")</f>
        <v/>
      </c>
      <c r="AH364" s="11">
        <f>IF(ROUNDUP(W364/20,0)&gt;ROUNDUP(W363/20,0),"Lần " &amp; ROUNDUP(W364/20,0),"")</f>
        <v/>
      </c>
      <c r="AI364" s="11">
        <f>IF(ROUNDUP(X364/20,0)&gt;ROUNDUP(X363/20,0),"Lần " &amp; ROUNDUP(X364/20,0),"")</f>
        <v/>
      </c>
      <c r="AJ364" s="11">
        <f>IF(ROUNDUP(Y364/20,0)&gt;ROUNDUP(Y363/20,0),"Lần " &amp; ROUNDUP(Y364/20,0),"")</f>
        <v/>
      </c>
      <c r="AK364" s="11">
        <f>IF(ROUNDUP(Z364/20,0)&gt;ROUNDUP(Z363/20,0),"Lần " &amp; ROUNDUP(Z364/20,0),"")</f>
        <v/>
      </c>
      <c r="AL364" s="6" t="n"/>
      <c r="AN364" t="inlineStr">
        <is>
          <t>Than</t>
        </is>
      </c>
      <c r="AO364" t="n">
        <v>54</v>
      </c>
    </row>
    <row r="365" ht="19" customHeight="1">
      <c r="A365" s="6" t="n">
        <v>351</v>
      </c>
      <c r="B365" s="7" t="inlineStr">
        <is>
          <t>Bản quá độ Mố M2</t>
        </is>
      </c>
      <c r="C365" s="7" t="inlineStr">
        <is>
          <t>Bản quá độ tiếp giáp mố</t>
        </is>
      </c>
      <c r="D365" s="18" t="inlineStr">
        <is>
          <t>A7</t>
        </is>
      </c>
      <c r="E365" s="19" t="n">
        <v>10</v>
      </c>
      <c r="F365" s="6" t="inlineStr">
        <is>
          <t>CB240-T</t>
        </is>
      </c>
      <c r="G365" s="7" t="inlineStr">
        <is>
          <t>S32</t>
        </is>
      </c>
      <c r="H365" s="20" t="n">
        <v>0.676</v>
      </c>
      <c r="I365" s="21" t="n">
        <v>23</v>
      </c>
      <c r="J365" s="22" t="n">
        <v>0.617</v>
      </c>
      <c r="K365" s="9">
        <f>ROUND(H365*I365*J365, 2)</f>
        <v/>
      </c>
      <c r="L365" s="23">
        <f>ROUND(K365/1000, 3)</f>
        <v/>
      </c>
      <c r="M365" s="8">
        <f>IF(AO365="","",IF(INDEX(Theo_Doi_Tan_Suat_Be_Tong!$C:$C,AO365)="","",INDEX(Theo_Doi_Tan_Suat_Be_Tong!$C:$C,AO365)-VLOOKUP(AN365,$AQ$2:$AR$7,2,FALSE)))</f>
        <v/>
      </c>
      <c r="N365" s="6" t="n"/>
      <c r="O365" s="24">
        <f>IF(ROUNDUP(P365/20,0)&gt;ROUNDUP(P364/20,0),"TN Ø10 (Lần " &amp; ROUNDUP(P365/20,0) &amp; ")","")</f>
        <v/>
      </c>
      <c r="P365" s="20">
        <f>ROUND(P364+IF(AND(E365&lt;=10,F365&lt;&gt;"ASTM A416"),L365,0),3)</f>
        <v/>
      </c>
      <c r="Q365" s="20">
        <f>ROUND(Q364+IF(AND(E365=12,F365&lt;&gt;"ASTM A416"),L365,0),3)</f>
        <v/>
      </c>
      <c r="R365" s="20">
        <f>ROUND(R364+IF(AND(E365=14,F365&lt;&gt;"ASTM A416"),L365,0),3)</f>
        <v/>
      </c>
      <c r="S365" s="20">
        <f>ROUND(S364+IF(AND(E365=16,F365&lt;&gt;"ASTM A416"),L365,0),3)</f>
        <v/>
      </c>
      <c r="T365" s="20">
        <f>ROUND(T364+IF(AND(E365=18,F365&lt;&gt;"ASTM A416"),L365,0),3)</f>
        <v/>
      </c>
      <c r="U365" s="20">
        <f>ROUND(U364+IF(AND(E365=20,F365&lt;&gt;"ASTM A416"),L365,0),3)</f>
        <v/>
      </c>
      <c r="V365" s="20">
        <f>ROUND(V364+IF(AND(E365=22,F365&lt;&gt;"ASTM A416"),L365,0),3)</f>
        <v/>
      </c>
      <c r="W365" s="20">
        <f>ROUND(W364+IF(AND(E365=25,F365&lt;&gt;"ASTM A416"),L365,0),3)</f>
        <v/>
      </c>
      <c r="X365" s="20">
        <f>ROUND(X364+IF(AND(E365=28,F365&lt;&gt;"ASTM A416"),L365,0),3)</f>
        <v/>
      </c>
      <c r="Y365" s="20">
        <f>ROUND(Y364+IF(AND(E365=32,F365&lt;&gt;"ASTM A416"),L365,0),3)</f>
        <v/>
      </c>
      <c r="Z365" s="20">
        <f>ROUND(Z364+IF(F365="ASTM A416",L365,0),3)</f>
        <v/>
      </c>
      <c r="AA365" s="11">
        <f>IF(ROUNDUP(P365/20,0)&gt;ROUNDUP(P364/20,0),"Lần " &amp; ROUNDUP(P365/20,0),"")</f>
        <v/>
      </c>
      <c r="AB365" s="11">
        <f>IF(ROUNDUP(Q365/20,0)&gt;ROUNDUP(Q364/20,0),"Lần " &amp; ROUNDUP(Q365/20,0),"")</f>
        <v/>
      </c>
      <c r="AC365" s="11">
        <f>IF(ROUNDUP(R365/20,0)&gt;ROUNDUP(R364/20,0),"Lần " &amp; ROUNDUP(R365/20,0),"")</f>
        <v/>
      </c>
      <c r="AD365" s="11">
        <f>IF(ROUNDUP(S365/20,0)&gt;ROUNDUP(S364/20,0),"Lần " &amp; ROUNDUP(S365/20,0),"")</f>
        <v/>
      </c>
      <c r="AE365" s="11">
        <f>IF(ROUNDUP(T365/20,0)&gt;ROUNDUP(T364/20,0),"Lần " &amp; ROUNDUP(T365/20,0),"")</f>
        <v/>
      </c>
      <c r="AF365" s="11">
        <f>IF(ROUNDUP(U365/20,0)&gt;ROUNDUP(U364/20,0),"Lần " &amp; ROUNDUP(U365/20,0),"")</f>
        <v/>
      </c>
      <c r="AG365" s="11">
        <f>IF(ROUNDUP(V365/20,0)&gt;ROUNDUP(V364/20,0),"Lần " &amp; ROUNDUP(V365/20,0),"")</f>
        <v/>
      </c>
      <c r="AH365" s="11">
        <f>IF(ROUNDUP(W365/20,0)&gt;ROUNDUP(W364/20,0),"Lần " &amp; ROUNDUP(W365/20,0),"")</f>
        <v/>
      </c>
      <c r="AI365" s="11">
        <f>IF(ROUNDUP(X365/20,0)&gt;ROUNDUP(X364/20,0),"Lần " &amp; ROUNDUP(X365/20,0),"")</f>
        <v/>
      </c>
      <c r="AJ365" s="11">
        <f>IF(ROUNDUP(Y365/20,0)&gt;ROUNDUP(Y364/20,0),"Lần " &amp; ROUNDUP(Y365/20,0),"")</f>
        <v/>
      </c>
      <c r="AK365" s="11">
        <f>IF(ROUNDUP(Z365/20,0)&gt;ROUNDUP(Z364/20,0),"Lần " &amp; ROUNDUP(Z365/20,0),"")</f>
        <v/>
      </c>
      <c r="AL365" s="6" t="n"/>
      <c r="AN365" t="inlineStr">
        <is>
          <t>Than</t>
        </is>
      </c>
      <c r="AO365" t="n">
        <v>54</v>
      </c>
    </row>
    <row r="366" ht="19" customHeight="1">
      <c r="A366" s="17" t="inlineStr">
        <is>
          <t>--- GỜ LAN CAN BTCT ---</t>
        </is>
      </c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  <c r="AG366" s="35" t="n"/>
      <c r="AH366" s="35" t="n"/>
      <c r="AI366" s="35" t="n"/>
      <c r="AJ366" s="35" t="n"/>
      <c r="AK366" s="35" t="n"/>
      <c r="AL366" s="34" t="n"/>
    </row>
    <row r="367" ht="19" customHeight="1">
      <c r="A367" s="6" t="n">
        <v>352</v>
      </c>
      <c r="B367" s="7" t="inlineStr">
        <is>
          <t>Gờ lan can BTCT</t>
        </is>
      </c>
      <c r="C367" s="7" t="inlineStr">
        <is>
          <t>Gờ lan can (tr.119)</t>
        </is>
      </c>
      <c r="D367" s="18" t="inlineStr">
        <is>
          <t>G1</t>
        </is>
      </c>
      <c r="E367" s="19" t="n">
        <v>14</v>
      </c>
      <c r="F367" s="6" t="inlineStr">
        <is>
          <t>CB400-V</t>
        </is>
      </c>
      <c r="G367" s="7" t="inlineStr">
        <is>
          <t>S01</t>
        </is>
      </c>
      <c r="H367" s="20" t="n">
        <v>5.91</v>
      </c>
      <c r="I367" s="21" t="n">
        <v>361</v>
      </c>
      <c r="J367" s="22" t="n">
        <v>1.208</v>
      </c>
      <c r="K367" s="9">
        <f>ROUND(H367*I367*J367, 2)</f>
        <v/>
      </c>
      <c r="L367" s="23">
        <f>ROUND(K367/1000, 3)</f>
        <v/>
      </c>
      <c r="M367" s="8">
        <f>IF(AO367="","",IF(INDEX(Theo_Doi_Tan_Suat_Be_Tong!$C:$C,AO367)="","",INDEX(Theo_Doi_Tan_Suat_Be_Tong!$C:$C,AO367)-VLOOKUP(AN367,$AQ$2:$AR$7,2,FALSE)))</f>
        <v/>
      </c>
      <c r="N367" s="6" t="n"/>
      <c r="O367" s="24">
        <f>IF(ROUNDUP(R367/20,0)&gt;ROUNDUP(R365/20,0),"TN Ø14 (Lần " &amp; ROUNDUP(R367/20,0) &amp; ")","")</f>
        <v/>
      </c>
      <c r="P367" s="20">
        <f>ROUND(P365+IF(AND(E367&lt;=10,F367&lt;&gt;"ASTM A416"),L367,0),3)</f>
        <v/>
      </c>
      <c r="Q367" s="20">
        <f>ROUND(Q365+IF(AND(E367=12,F367&lt;&gt;"ASTM A416"),L367,0),3)</f>
        <v/>
      </c>
      <c r="R367" s="20">
        <f>ROUND(R365+IF(AND(E367=14,F367&lt;&gt;"ASTM A416"),L367,0),3)</f>
        <v/>
      </c>
      <c r="S367" s="20">
        <f>ROUND(S365+IF(AND(E367=16,F367&lt;&gt;"ASTM A416"),L367,0),3)</f>
        <v/>
      </c>
      <c r="T367" s="20">
        <f>ROUND(T365+IF(AND(E367=18,F367&lt;&gt;"ASTM A416"),L367,0),3)</f>
        <v/>
      </c>
      <c r="U367" s="20">
        <f>ROUND(U365+IF(AND(E367=20,F367&lt;&gt;"ASTM A416"),L367,0),3)</f>
        <v/>
      </c>
      <c r="V367" s="20">
        <f>ROUND(V365+IF(AND(E367=22,F367&lt;&gt;"ASTM A416"),L367,0),3)</f>
        <v/>
      </c>
      <c r="W367" s="20">
        <f>ROUND(W365+IF(AND(E367=25,F367&lt;&gt;"ASTM A416"),L367,0),3)</f>
        <v/>
      </c>
      <c r="X367" s="20">
        <f>ROUND(X365+IF(AND(E367=28,F367&lt;&gt;"ASTM A416"),L367,0),3)</f>
        <v/>
      </c>
      <c r="Y367" s="20">
        <f>ROUND(Y365+IF(AND(E367=32,F367&lt;&gt;"ASTM A416"),L367,0),3)</f>
        <v/>
      </c>
      <c r="Z367" s="20">
        <f>ROUND(Z365+IF(F367="ASTM A416",L367,0),3)</f>
        <v/>
      </c>
      <c r="AA367" s="11">
        <f>IF(ROUNDUP(P367/20,0)&gt;ROUNDUP(P365/20,0),"Lần " &amp; ROUNDUP(P367/20,0),"")</f>
        <v/>
      </c>
      <c r="AB367" s="11">
        <f>IF(ROUNDUP(Q367/20,0)&gt;ROUNDUP(Q365/20,0),"Lần " &amp; ROUNDUP(Q367/20,0),"")</f>
        <v/>
      </c>
      <c r="AC367" s="11">
        <f>IF(ROUNDUP(R367/20,0)&gt;ROUNDUP(R365/20,0),"Lần " &amp; ROUNDUP(R367/20,0),"")</f>
        <v/>
      </c>
      <c r="AD367" s="11">
        <f>IF(ROUNDUP(S367/20,0)&gt;ROUNDUP(S365/20,0),"Lần " &amp; ROUNDUP(S367/20,0),"")</f>
        <v/>
      </c>
      <c r="AE367" s="11">
        <f>IF(ROUNDUP(T367/20,0)&gt;ROUNDUP(T365/20,0),"Lần " &amp; ROUNDUP(T367/20,0),"")</f>
        <v/>
      </c>
      <c r="AF367" s="11">
        <f>IF(ROUNDUP(U367/20,0)&gt;ROUNDUP(U365/20,0),"Lần " &amp; ROUNDUP(U367/20,0),"")</f>
        <v/>
      </c>
      <c r="AG367" s="11">
        <f>IF(ROUNDUP(V367/20,0)&gt;ROUNDUP(V365/20,0),"Lần " &amp; ROUNDUP(V367/20,0),"")</f>
        <v/>
      </c>
      <c r="AH367" s="11">
        <f>IF(ROUNDUP(W367/20,0)&gt;ROUNDUP(W365/20,0),"Lần " &amp; ROUNDUP(W367/20,0),"")</f>
        <v/>
      </c>
      <c r="AI367" s="11">
        <f>IF(ROUNDUP(X367/20,0)&gt;ROUNDUP(X365/20,0),"Lần " &amp; ROUNDUP(X367/20,0),"")</f>
        <v/>
      </c>
      <c r="AJ367" s="11">
        <f>IF(ROUNDUP(Y367/20,0)&gt;ROUNDUP(Y365/20,0),"Lần " &amp; ROUNDUP(Y367/20,0),"")</f>
        <v/>
      </c>
      <c r="AK367" s="11">
        <f>IF(ROUNDUP(Z367/20,0)&gt;ROUNDUP(Z365/20,0),"Lần " &amp; ROUNDUP(Z367/20,0),"")</f>
        <v/>
      </c>
      <c r="AL367" s="6" t="n"/>
      <c r="AN367" t="inlineStr">
        <is>
          <t>HoanThien</t>
        </is>
      </c>
      <c r="AO367" t="n">
        <v>53</v>
      </c>
    </row>
    <row r="368" ht="19" customHeight="1">
      <c r="A368" s="6" t="n">
        <v>353</v>
      </c>
      <c r="B368" s="7" t="inlineStr">
        <is>
          <t>Gờ lan can BTCT</t>
        </is>
      </c>
      <c r="C368" s="7" t="inlineStr">
        <is>
          <t>Gờ lan can (tr.119)</t>
        </is>
      </c>
      <c r="D368" s="18" t="inlineStr">
        <is>
          <t>G2</t>
        </is>
      </c>
      <c r="E368" s="19" t="n">
        <v>18</v>
      </c>
      <c r="F368" s="6" t="inlineStr">
        <is>
          <t>CB400-V</t>
        </is>
      </c>
      <c r="G368" s="7" t="inlineStr">
        <is>
          <t>S57</t>
        </is>
      </c>
      <c r="H368" s="20" t="n">
        <v>2.578</v>
      </c>
      <c r="I368" s="21" t="n">
        <v>779</v>
      </c>
      <c r="J368" s="22" t="n">
        <v>1.998</v>
      </c>
      <c r="K368" s="9">
        <f>ROUND(H368*I368*J368, 2)</f>
        <v/>
      </c>
      <c r="L368" s="23">
        <f>ROUND(K368/1000, 3)</f>
        <v/>
      </c>
      <c r="M368" s="8">
        <f>IF(AO368="","",IF(INDEX(Theo_Doi_Tan_Suat_Be_Tong!$C:$C,AO368)="","",INDEX(Theo_Doi_Tan_Suat_Be_Tong!$C:$C,AO368)-VLOOKUP(AN368,$AQ$2:$AR$7,2,FALSE)))</f>
        <v/>
      </c>
      <c r="N368" s="6" t="n"/>
      <c r="O368" s="24">
        <f>IF(ROUNDUP(T368/20,0)&gt;ROUNDUP(T367/20,0),"TN Ø18 (Lần " &amp; ROUNDUP(T368/20,0) &amp; ")","")</f>
        <v/>
      </c>
      <c r="P368" s="20">
        <f>ROUND(P367+IF(AND(E368&lt;=10,F368&lt;&gt;"ASTM A416"),L368,0),3)</f>
        <v/>
      </c>
      <c r="Q368" s="20">
        <f>ROUND(Q367+IF(AND(E368=12,F368&lt;&gt;"ASTM A416"),L368,0),3)</f>
        <v/>
      </c>
      <c r="R368" s="20">
        <f>ROUND(R367+IF(AND(E368=14,F368&lt;&gt;"ASTM A416"),L368,0),3)</f>
        <v/>
      </c>
      <c r="S368" s="20">
        <f>ROUND(S367+IF(AND(E368=16,F368&lt;&gt;"ASTM A416"),L368,0),3)</f>
        <v/>
      </c>
      <c r="T368" s="20">
        <f>ROUND(T367+IF(AND(E368=18,F368&lt;&gt;"ASTM A416"),L368,0),3)</f>
        <v/>
      </c>
      <c r="U368" s="20">
        <f>ROUND(U367+IF(AND(E368=20,F368&lt;&gt;"ASTM A416"),L368,0),3)</f>
        <v/>
      </c>
      <c r="V368" s="20">
        <f>ROUND(V367+IF(AND(E368=22,F368&lt;&gt;"ASTM A416"),L368,0),3)</f>
        <v/>
      </c>
      <c r="W368" s="20">
        <f>ROUND(W367+IF(AND(E368=25,F368&lt;&gt;"ASTM A416"),L368,0),3)</f>
        <v/>
      </c>
      <c r="X368" s="20">
        <f>ROUND(X367+IF(AND(E368=28,F368&lt;&gt;"ASTM A416"),L368,0),3)</f>
        <v/>
      </c>
      <c r="Y368" s="20">
        <f>ROUND(Y367+IF(AND(E368=32,F368&lt;&gt;"ASTM A416"),L368,0),3)</f>
        <v/>
      </c>
      <c r="Z368" s="20">
        <f>ROUND(Z367+IF(F368="ASTM A416",L368,0),3)</f>
        <v/>
      </c>
      <c r="AA368" s="11">
        <f>IF(ROUNDUP(P368/20,0)&gt;ROUNDUP(P367/20,0),"Lần " &amp; ROUNDUP(P368/20,0),"")</f>
        <v/>
      </c>
      <c r="AB368" s="11">
        <f>IF(ROUNDUP(Q368/20,0)&gt;ROUNDUP(Q367/20,0),"Lần " &amp; ROUNDUP(Q368/20,0),"")</f>
        <v/>
      </c>
      <c r="AC368" s="11">
        <f>IF(ROUNDUP(R368/20,0)&gt;ROUNDUP(R367/20,0),"Lần " &amp; ROUNDUP(R368/20,0),"")</f>
        <v/>
      </c>
      <c r="AD368" s="11">
        <f>IF(ROUNDUP(S368/20,0)&gt;ROUNDUP(S367/20,0),"Lần " &amp; ROUNDUP(S368/20,0),"")</f>
        <v/>
      </c>
      <c r="AE368" s="11">
        <f>IF(ROUNDUP(T368/20,0)&gt;ROUNDUP(T367/20,0),"Lần " &amp; ROUNDUP(T368/20,0),"")</f>
        <v/>
      </c>
      <c r="AF368" s="11">
        <f>IF(ROUNDUP(U368/20,0)&gt;ROUNDUP(U367/20,0),"Lần " &amp; ROUNDUP(U368/20,0),"")</f>
        <v/>
      </c>
      <c r="AG368" s="11">
        <f>IF(ROUNDUP(V368/20,0)&gt;ROUNDUP(V367/20,0),"Lần " &amp; ROUNDUP(V368/20,0),"")</f>
        <v/>
      </c>
      <c r="AH368" s="11">
        <f>IF(ROUNDUP(W368/20,0)&gt;ROUNDUP(W367/20,0),"Lần " &amp; ROUNDUP(W368/20,0),"")</f>
        <v/>
      </c>
      <c r="AI368" s="11">
        <f>IF(ROUNDUP(X368/20,0)&gt;ROUNDUP(X367/20,0),"Lần " &amp; ROUNDUP(X368/20,0),"")</f>
        <v/>
      </c>
      <c r="AJ368" s="11">
        <f>IF(ROUNDUP(Y368/20,0)&gt;ROUNDUP(Y367/20,0),"Lần " &amp; ROUNDUP(Y368/20,0),"")</f>
        <v/>
      </c>
      <c r="AK368" s="11">
        <f>IF(ROUNDUP(Z368/20,0)&gt;ROUNDUP(Z367/20,0),"Lần " &amp; ROUNDUP(Z368/20,0),"")</f>
        <v/>
      </c>
      <c r="AL368" s="6" t="n"/>
      <c r="AN368" t="inlineStr">
        <is>
          <t>HoanThien</t>
        </is>
      </c>
      <c r="AO368" t="n">
        <v>53</v>
      </c>
    </row>
    <row r="369" ht="19" customHeight="1">
      <c r="A369" s="6" t="n">
        <v>354</v>
      </c>
      <c r="B369" s="7" t="inlineStr">
        <is>
          <t>Gờ lan can BTCT</t>
        </is>
      </c>
      <c r="C369" s="7" t="inlineStr">
        <is>
          <t>Gờ lan can (tr.119)</t>
        </is>
      </c>
      <c r="D369" s="18" t="inlineStr">
        <is>
          <t>G3</t>
        </is>
      </c>
      <c r="E369" s="19" t="n">
        <v>14</v>
      </c>
      <c r="F369" s="6" t="inlineStr">
        <is>
          <t>CB400-V</t>
        </is>
      </c>
      <c r="G369" s="7" t="inlineStr">
        <is>
          <t>S29</t>
        </is>
      </c>
      <c r="H369" s="20" t="n">
        <v>2.344</v>
      </c>
      <c r="I369" s="21" t="n">
        <v>779</v>
      </c>
      <c r="J369" s="22" t="n">
        <v>1.208</v>
      </c>
      <c r="K369" s="9">
        <f>ROUND(H369*I369*J369, 2)</f>
        <v/>
      </c>
      <c r="L369" s="23">
        <f>ROUND(K369/1000, 3)</f>
        <v/>
      </c>
      <c r="M369" s="8">
        <f>IF(AO369="","",IF(INDEX(Theo_Doi_Tan_Suat_Be_Tong!$C:$C,AO369)="","",INDEX(Theo_Doi_Tan_Suat_Be_Tong!$C:$C,AO369)-VLOOKUP(AN369,$AQ$2:$AR$7,2,FALSE)))</f>
        <v/>
      </c>
      <c r="N369" s="6" t="n"/>
      <c r="O369" s="24">
        <f>IF(ROUNDUP(R369/20,0)&gt;ROUNDUP(R368/20,0),"TN Ø14 (Lần " &amp; ROUNDUP(R369/20,0) &amp; ")","")</f>
        <v/>
      </c>
      <c r="P369" s="20">
        <f>ROUND(P368+IF(AND(E369&lt;=10,F369&lt;&gt;"ASTM A416"),L369,0),3)</f>
        <v/>
      </c>
      <c r="Q369" s="20">
        <f>ROUND(Q368+IF(AND(E369=12,F369&lt;&gt;"ASTM A416"),L369,0),3)</f>
        <v/>
      </c>
      <c r="R369" s="20">
        <f>ROUND(R368+IF(AND(E369=14,F369&lt;&gt;"ASTM A416"),L369,0),3)</f>
        <v/>
      </c>
      <c r="S369" s="20">
        <f>ROUND(S368+IF(AND(E369=16,F369&lt;&gt;"ASTM A416"),L369,0),3)</f>
        <v/>
      </c>
      <c r="T369" s="20">
        <f>ROUND(T368+IF(AND(E369=18,F369&lt;&gt;"ASTM A416"),L369,0),3)</f>
        <v/>
      </c>
      <c r="U369" s="20">
        <f>ROUND(U368+IF(AND(E369=20,F369&lt;&gt;"ASTM A416"),L369,0),3)</f>
        <v/>
      </c>
      <c r="V369" s="20">
        <f>ROUND(V368+IF(AND(E369=22,F369&lt;&gt;"ASTM A416"),L369,0),3)</f>
        <v/>
      </c>
      <c r="W369" s="20">
        <f>ROUND(W368+IF(AND(E369=25,F369&lt;&gt;"ASTM A416"),L369,0),3)</f>
        <v/>
      </c>
      <c r="X369" s="20">
        <f>ROUND(X368+IF(AND(E369=28,F369&lt;&gt;"ASTM A416"),L369,0),3)</f>
        <v/>
      </c>
      <c r="Y369" s="20">
        <f>ROUND(Y368+IF(AND(E369=32,F369&lt;&gt;"ASTM A416"),L369,0),3)</f>
        <v/>
      </c>
      <c r="Z369" s="20">
        <f>ROUND(Z368+IF(F369="ASTM A416",L369,0),3)</f>
        <v/>
      </c>
      <c r="AA369" s="11">
        <f>IF(ROUNDUP(P369/20,0)&gt;ROUNDUP(P368/20,0),"Lần " &amp; ROUNDUP(P369/20,0),"")</f>
        <v/>
      </c>
      <c r="AB369" s="11">
        <f>IF(ROUNDUP(Q369/20,0)&gt;ROUNDUP(Q368/20,0),"Lần " &amp; ROUNDUP(Q369/20,0),"")</f>
        <v/>
      </c>
      <c r="AC369" s="11">
        <f>IF(ROUNDUP(R369/20,0)&gt;ROUNDUP(R368/20,0),"Lần " &amp; ROUNDUP(R369/20,0),"")</f>
        <v/>
      </c>
      <c r="AD369" s="11">
        <f>IF(ROUNDUP(S369/20,0)&gt;ROUNDUP(S368/20,0),"Lần " &amp; ROUNDUP(S369/20,0),"")</f>
        <v/>
      </c>
      <c r="AE369" s="11">
        <f>IF(ROUNDUP(T369/20,0)&gt;ROUNDUP(T368/20,0),"Lần " &amp; ROUNDUP(T369/20,0),"")</f>
        <v/>
      </c>
      <c r="AF369" s="11">
        <f>IF(ROUNDUP(U369/20,0)&gt;ROUNDUP(U368/20,0),"Lần " &amp; ROUNDUP(U369/20,0),"")</f>
        <v/>
      </c>
      <c r="AG369" s="11">
        <f>IF(ROUNDUP(V369/20,0)&gt;ROUNDUP(V368/20,0),"Lần " &amp; ROUNDUP(V369/20,0),"")</f>
        <v/>
      </c>
      <c r="AH369" s="11">
        <f>IF(ROUNDUP(W369/20,0)&gt;ROUNDUP(W368/20,0),"Lần " &amp; ROUNDUP(W369/20,0),"")</f>
        <v/>
      </c>
      <c r="AI369" s="11">
        <f>IF(ROUNDUP(X369/20,0)&gt;ROUNDUP(X368/20,0),"Lần " &amp; ROUNDUP(X369/20,0),"")</f>
        <v/>
      </c>
      <c r="AJ369" s="11">
        <f>IF(ROUNDUP(Y369/20,0)&gt;ROUNDUP(Y368/20,0),"Lần " &amp; ROUNDUP(Y369/20,0),"")</f>
        <v/>
      </c>
      <c r="AK369" s="11">
        <f>IF(ROUNDUP(Z369/20,0)&gt;ROUNDUP(Z368/20,0),"Lần " &amp; ROUNDUP(Z369/20,0),"")</f>
        <v/>
      </c>
      <c r="AL369" s="6" t="n"/>
      <c r="AN369" t="inlineStr">
        <is>
          <t>HoanThien</t>
        </is>
      </c>
      <c r="AO369" t="n">
        <v>53</v>
      </c>
    </row>
    <row r="370" ht="19" customHeight="1">
      <c r="A370" s="6" t="n">
        <v>355</v>
      </c>
      <c r="B370" s="7" t="inlineStr">
        <is>
          <t>Gờ lan can BTCT</t>
        </is>
      </c>
      <c r="C370" s="7" t="inlineStr">
        <is>
          <t>Gờ lan can (tr.119)</t>
        </is>
      </c>
      <c r="D370" s="18" t="inlineStr">
        <is>
          <t>G4A</t>
        </is>
      </c>
      <c r="E370" s="19" t="n">
        <v>12</v>
      </c>
      <c r="F370" s="6" t="inlineStr">
        <is>
          <t>CB400-V</t>
        </is>
      </c>
      <c r="G370" s="7" t="inlineStr">
        <is>
          <t>S06</t>
        </is>
      </c>
      <c r="H370" s="20" t="n">
        <v>0.342</v>
      </c>
      <c r="I370" s="21" t="n">
        <v>247</v>
      </c>
      <c r="J370" s="22" t="n">
        <v>0.888</v>
      </c>
      <c r="K370" s="9">
        <f>ROUND(H370*I370*J370, 2)</f>
        <v/>
      </c>
      <c r="L370" s="23">
        <f>ROUND(K370/1000, 3)</f>
        <v/>
      </c>
      <c r="M370" s="8">
        <f>IF(AO370="","",IF(INDEX(Theo_Doi_Tan_Suat_Be_Tong!$C:$C,AO370)="","",INDEX(Theo_Doi_Tan_Suat_Be_Tong!$C:$C,AO370)-VLOOKUP(AN370,$AQ$2:$AR$7,2,FALSE)))</f>
        <v/>
      </c>
      <c r="N370" s="6" t="n"/>
      <c r="O370" s="24">
        <f>IF(ROUNDUP(Q370/20,0)&gt;ROUNDUP(Q369/20,0),"TN Ø12 (Lần " &amp; ROUNDUP(Q370/20,0) &amp; ")","")</f>
        <v/>
      </c>
      <c r="P370" s="20">
        <f>ROUND(P369+IF(AND(E370&lt;=10,F370&lt;&gt;"ASTM A416"),L370,0),3)</f>
        <v/>
      </c>
      <c r="Q370" s="20">
        <f>ROUND(Q369+IF(AND(E370=12,F370&lt;&gt;"ASTM A416"),L370,0),3)</f>
        <v/>
      </c>
      <c r="R370" s="20">
        <f>ROUND(R369+IF(AND(E370=14,F370&lt;&gt;"ASTM A416"),L370,0),3)</f>
        <v/>
      </c>
      <c r="S370" s="20">
        <f>ROUND(S369+IF(AND(E370=16,F370&lt;&gt;"ASTM A416"),L370,0),3)</f>
        <v/>
      </c>
      <c r="T370" s="20">
        <f>ROUND(T369+IF(AND(E370=18,F370&lt;&gt;"ASTM A416"),L370,0),3)</f>
        <v/>
      </c>
      <c r="U370" s="20">
        <f>ROUND(U369+IF(AND(E370=20,F370&lt;&gt;"ASTM A416"),L370,0),3)</f>
        <v/>
      </c>
      <c r="V370" s="20">
        <f>ROUND(V369+IF(AND(E370=22,F370&lt;&gt;"ASTM A416"),L370,0),3)</f>
        <v/>
      </c>
      <c r="W370" s="20">
        <f>ROUND(W369+IF(AND(E370=25,F370&lt;&gt;"ASTM A416"),L370,0),3)</f>
        <v/>
      </c>
      <c r="X370" s="20">
        <f>ROUND(X369+IF(AND(E370=28,F370&lt;&gt;"ASTM A416"),L370,0),3)</f>
        <v/>
      </c>
      <c r="Y370" s="20">
        <f>ROUND(Y369+IF(AND(E370=32,F370&lt;&gt;"ASTM A416"),L370,0),3)</f>
        <v/>
      </c>
      <c r="Z370" s="20">
        <f>ROUND(Z369+IF(F370="ASTM A416",L370,0),3)</f>
        <v/>
      </c>
      <c r="AA370" s="11">
        <f>IF(ROUNDUP(P370/20,0)&gt;ROUNDUP(P369/20,0),"Lần " &amp; ROUNDUP(P370/20,0),"")</f>
        <v/>
      </c>
      <c r="AB370" s="11">
        <f>IF(ROUNDUP(Q370/20,0)&gt;ROUNDUP(Q369/20,0),"Lần " &amp; ROUNDUP(Q370/20,0),"")</f>
        <v/>
      </c>
      <c r="AC370" s="11">
        <f>IF(ROUNDUP(R370/20,0)&gt;ROUNDUP(R369/20,0),"Lần " &amp; ROUNDUP(R370/20,0),"")</f>
        <v/>
      </c>
      <c r="AD370" s="11">
        <f>IF(ROUNDUP(S370/20,0)&gt;ROUNDUP(S369/20,0),"Lần " &amp; ROUNDUP(S370/20,0),"")</f>
        <v/>
      </c>
      <c r="AE370" s="11">
        <f>IF(ROUNDUP(T370/20,0)&gt;ROUNDUP(T369/20,0),"Lần " &amp; ROUNDUP(T370/20,0),"")</f>
        <v/>
      </c>
      <c r="AF370" s="11">
        <f>IF(ROUNDUP(U370/20,0)&gt;ROUNDUP(U369/20,0),"Lần " &amp; ROUNDUP(U370/20,0),"")</f>
        <v/>
      </c>
      <c r="AG370" s="11">
        <f>IF(ROUNDUP(V370/20,0)&gt;ROUNDUP(V369/20,0),"Lần " &amp; ROUNDUP(V370/20,0),"")</f>
        <v/>
      </c>
      <c r="AH370" s="11">
        <f>IF(ROUNDUP(W370/20,0)&gt;ROUNDUP(W369/20,0),"Lần " &amp; ROUNDUP(W370/20,0),"")</f>
        <v/>
      </c>
      <c r="AI370" s="11">
        <f>IF(ROUNDUP(X370/20,0)&gt;ROUNDUP(X369/20,0),"Lần " &amp; ROUNDUP(X370/20,0),"")</f>
        <v/>
      </c>
      <c r="AJ370" s="11">
        <f>IF(ROUNDUP(Y370/20,0)&gt;ROUNDUP(Y369/20,0),"Lần " &amp; ROUNDUP(Y370/20,0),"")</f>
        <v/>
      </c>
      <c r="AK370" s="11">
        <f>IF(ROUNDUP(Z370/20,0)&gt;ROUNDUP(Z369/20,0),"Lần " &amp; ROUNDUP(Z370/20,0),"")</f>
        <v/>
      </c>
      <c r="AL370" s="6" t="n"/>
      <c r="AN370" t="inlineStr">
        <is>
          <t>HoanThien</t>
        </is>
      </c>
      <c r="AO370" t="n">
        <v>53</v>
      </c>
    </row>
    <row r="371" ht="19" customHeight="1">
      <c r="A371" s="6" t="n">
        <v>356</v>
      </c>
      <c r="B371" s="7" t="inlineStr">
        <is>
          <t>Gờ lan can BTCT</t>
        </is>
      </c>
      <c r="C371" s="7" t="inlineStr">
        <is>
          <t>Gờ lan can (tr.119)</t>
        </is>
      </c>
      <c r="D371" s="18" t="inlineStr">
        <is>
          <t>G4B</t>
        </is>
      </c>
      <c r="E371" s="19" t="n">
        <v>12</v>
      </c>
      <c r="F371" s="6" t="inlineStr">
        <is>
          <t>CB400-V</t>
        </is>
      </c>
      <c r="G371" s="7" t="inlineStr">
        <is>
          <t>S06</t>
        </is>
      </c>
      <c r="H371" s="20" t="n">
        <v>0.388</v>
      </c>
      <c r="I371" s="21" t="n">
        <v>247</v>
      </c>
      <c r="J371" s="22" t="n">
        <v>0.888</v>
      </c>
      <c r="K371" s="9">
        <f>ROUND(H371*I371*J371, 2)</f>
        <v/>
      </c>
      <c r="L371" s="23">
        <f>ROUND(K371/1000, 3)</f>
        <v/>
      </c>
      <c r="M371" s="8">
        <f>IF(AO371="","",IF(INDEX(Theo_Doi_Tan_Suat_Be_Tong!$C:$C,AO371)="","",INDEX(Theo_Doi_Tan_Suat_Be_Tong!$C:$C,AO371)-VLOOKUP(AN371,$AQ$2:$AR$7,2,FALSE)))</f>
        <v/>
      </c>
      <c r="N371" s="6" t="n"/>
      <c r="O371" s="24">
        <f>IF(ROUNDUP(Q371/20,0)&gt;ROUNDUP(Q370/20,0),"TN Ø12 (Lần " &amp; ROUNDUP(Q371/20,0) &amp; ")","")</f>
        <v/>
      </c>
      <c r="P371" s="20">
        <f>ROUND(P370+IF(AND(E371&lt;=10,F371&lt;&gt;"ASTM A416"),L371,0),3)</f>
        <v/>
      </c>
      <c r="Q371" s="20">
        <f>ROUND(Q370+IF(AND(E371=12,F371&lt;&gt;"ASTM A416"),L371,0),3)</f>
        <v/>
      </c>
      <c r="R371" s="20">
        <f>ROUND(R370+IF(AND(E371=14,F371&lt;&gt;"ASTM A416"),L371,0),3)</f>
        <v/>
      </c>
      <c r="S371" s="20">
        <f>ROUND(S370+IF(AND(E371=16,F371&lt;&gt;"ASTM A416"),L371,0),3)</f>
        <v/>
      </c>
      <c r="T371" s="20">
        <f>ROUND(T370+IF(AND(E371=18,F371&lt;&gt;"ASTM A416"),L371,0),3)</f>
        <v/>
      </c>
      <c r="U371" s="20">
        <f>ROUND(U370+IF(AND(E371=20,F371&lt;&gt;"ASTM A416"),L371,0),3)</f>
        <v/>
      </c>
      <c r="V371" s="20">
        <f>ROUND(V370+IF(AND(E371=22,F371&lt;&gt;"ASTM A416"),L371,0),3)</f>
        <v/>
      </c>
      <c r="W371" s="20">
        <f>ROUND(W370+IF(AND(E371=25,F371&lt;&gt;"ASTM A416"),L371,0),3)</f>
        <v/>
      </c>
      <c r="X371" s="20">
        <f>ROUND(X370+IF(AND(E371=28,F371&lt;&gt;"ASTM A416"),L371,0),3)</f>
        <v/>
      </c>
      <c r="Y371" s="20">
        <f>ROUND(Y370+IF(AND(E371=32,F371&lt;&gt;"ASTM A416"),L371,0),3)</f>
        <v/>
      </c>
      <c r="Z371" s="20">
        <f>ROUND(Z370+IF(F371="ASTM A416",L371,0),3)</f>
        <v/>
      </c>
      <c r="AA371" s="11">
        <f>IF(ROUNDUP(P371/20,0)&gt;ROUNDUP(P370/20,0),"Lần " &amp; ROUNDUP(P371/20,0),"")</f>
        <v/>
      </c>
      <c r="AB371" s="11">
        <f>IF(ROUNDUP(Q371/20,0)&gt;ROUNDUP(Q370/20,0),"Lần " &amp; ROUNDUP(Q371/20,0),"")</f>
        <v/>
      </c>
      <c r="AC371" s="11">
        <f>IF(ROUNDUP(R371/20,0)&gt;ROUNDUP(R370/20,0),"Lần " &amp; ROUNDUP(R371/20,0),"")</f>
        <v/>
      </c>
      <c r="AD371" s="11">
        <f>IF(ROUNDUP(S371/20,0)&gt;ROUNDUP(S370/20,0),"Lần " &amp; ROUNDUP(S371/20,0),"")</f>
        <v/>
      </c>
      <c r="AE371" s="11">
        <f>IF(ROUNDUP(T371/20,0)&gt;ROUNDUP(T370/20,0),"Lần " &amp; ROUNDUP(T371/20,0),"")</f>
        <v/>
      </c>
      <c r="AF371" s="11">
        <f>IF(ROUNDUP(U371/20,0)&gt;ROUNDUP(U370/20,0),"Lần " &amp; ROUNDUP(U371/20,0),"")</f>
        <v/>
      </c>
      <c r="AG371" s="11">
        <f>IF(ROUNDUP(V371/20,0)&gt;ROUNDUP(V370/20,0),"Lần " &amp; ROUNDUP(V371/20,0),"")</f>
        <v/>
      </c>
      <c r="AH371" s="11">
        <f>IF(ROUNDUP(W371/20,0)&gt;ROUNDUP(W370/20,0),"Lần " &amp; ROUNDUP(W371/20,0),"")</f>
        <v/>
      </c>
      <c r="AI371" s="11">
        <f>IF(ROUNDUP(X371/20,0)&gt;ROUNDUP(X370/20,0),"Lần " &amp; ROUNDUP(X371/20,0),"")</f>
        <v/>
      </c>
      <c r="AJ371" s="11">
        <f>IF(ROUNDUP(Y371/20,0)&gt;ROUNDUP(Y370/20,0),"Lần " &amp; ROUNDUP(Y371/20,0),"")</f>
        <v/>
      </c>
      <c r="AK371" s="11">
        <f>IF(ROUNDUP(Z371/20,0)&gt;ROUNDUP(Z370/20,0),"Lần " &amp; ROUNDUP(Z371/20,0),"")</f>
        <v/>
      </c>
      <c r="AL371" s="6" t="n"/>
      <c r="AN371" t="inlineStr">
        <is>
          <t>HoanThien</t>
        </is>
      </c>
      <c r="AO371" t="n">
        <v>53</v>
      </c>
    </row>
    <row r="372" ht="19" customHeight="1">
      <c r="A372" s="6" t="n">
        <v>357</v>
      </c>
      <c r="B372" s="7" t="inlineStr">
        <is>
          <t>Gờ lan can BTCT</t>
        </is>
      </c>
      <c r="C372" s="7" t="inlineStr">
        <is>
          <t>Gờ lan can (tr.119)</t>
        </is>
      </c>
      <c r="D372" s="18" t="inlineStr">
        <is>
          <t>G4C</t>
        </is>
      </c>
      <c r="E372" s="19" t="n">
        <v>12</v>
      </c>
      <c r="F372" s="6" t="inlineStr">
        <is>
          <t>CB400-V</t>
        </is>
      </c>
      <c r="G372" s="7" t="inlineStr">
        <is>
          <t>S06</t>
        </is>
      </c>
      <c r="H372" s="20" t="n">
        <v>0.634</v>
      </c>
      <c r="I372" s="21" t="n">
        <v>247</v>
      </c>
      <c r="J372" s="22" t="n">
        <v>0.888</v>
      </c>
      <c r="K372" s="9">
        <f>ROUND(H372*I372*J372, 2)</f>
        <v/>
      </c>
      <c r="L372" s="23">
        <f>ROUND(K372/1000, 3)</f>
        <v/>
      </c>
      <c r="M372" s="8">
        <f>IF(AO372="","",IF(INDEX(Theo_Doi_Tan_Suat_Be_Tong!$C:$C,AO372)="","",INDEX(Theo_Doi_Tan_Suat_Be_Tong!$C:$C,AO372)-VLOOKUP(AN372,$AQ$2:$AR$7,2,FALSE)))</f>
        <v/>
      </c>
      <c r="N372" s="6" t="n"/>
      <c r="O372" s="24">
        <f>IF(ROUNDUP(Q372/20,0)&gt;ROUNDUP(Q371/20,0),"TN Ø12 (Lần " &amp; ROUNDUP(Q372/20,0) &amp; ")","")</f>
        <v/>
      </c>
      <c r="P372" s="20">
        <f>ROUND(P371+IF(AND(E372&lt;=10,F372&lt;&gt;"ASTM A416"),L372,0),3)</f>
        <v/>
      </c>
      <c r="Q372" s="20">
        <f>ROUND(Q371+IF(AND(E372=12,F372&lt;&gt;"ASTM A416"),L372,0),3)</f>
        <v/>
      </c>
      <c r="R372" s="20">
        <f>ROUND(R371+IF(AND(E372=14,F372&lt;&gt;"ASTM A416"),L372,0),3)</f>
        <v/>
      </c>
      <c r="S372" s="20">
        <f>ROUND(S371+IF(AND(E372=16,F372&lt;&gt;"ASTM A416"),L372,0),3)</f>
        <v/>
      </c>
      <c r="T372" s="20">
        <f>ROUND(T371+IF(AND(E372=18,F372&lt;&gt;"ASTM A416"),L372,0),3)</f>
        <v/>
      </c>
      <c r="U372" s="20">
        <f>ROUND(U371+IF(AND(E372=20,F372&lt;&gt;"ASTM A416"),L372,0),3)</f>
        <v/>
      </c>
      <c r="V372" s="20">
        <f>ROUND(V371+IF(AND(E372=22,F372&lt;&gt;"ASTM A416"),L372,0),3)</f>
        <v/>
      </c>
      <c r="W372" s="20">
        <f>ROUND(W371+IF(AND(E372=25,F372&lt;&gt;"ASTM A416"),L372,0),3)</f>
        <v/>
      </c>
      <c r="X372" s="20">
        <f>ROUND(X371+IF(AND(E372=28,F372&lt;&gt;"ASTM A416"),L372,0),3)</f>
        <v/>
      </c>
      <c r="Y372" s="20">
        <f>ROUND(Y371+IF(AND(E372=32,F372&lt;&gt;"ASTM A416"),L372,0),3)</f>
        <v/>
      </c>
      <c r="Z372" s="20">
        <f>ROUND(Z371+IF(F372="ASTM A416",L372,0),3)</f>
        <v/>
      </c>
      <c r="AA372" s="11">
        <f>IF(ROUNDUP(P372/20,0)&gt;ROUNDUP(P371/20,0),"Lần " &amp; ROUNDUP(P372/20,0),"")</f>
        <v/>
      </c>
      <c r="AB372" s="11">
        <f>IF(ROUNDUP(Q372/20,0)&gt;ROUNDUP(Q371/20,0),"Lần " &amp; ROUNDUP(Q372/20,0),"")</f>
        <v/>
      </c>
      <c r="AC372" s="11">
        <f>IF(ROUNDUP(R372/20,0)&gt;ROUNDUP(R371/20,0),"Lần " &amp; ROUNDUP(R372/20,0),"")</f>
        <v/>
      </c>
      <c r="AD372" s="11">
        <f>IF(ROUNDUP(S372/20,0)&gt;ROUNDUP(S371/20,0),"Lần " &amp; ROUNDUP(S372/20,0),"")</f>
        <v/>
      </c>
      <c r="AE372" s="11">
        <f>IF(ROUNDUP(T372/20,0)&gt;ROUNDUP(T371/20,0),"Lần " &amp; ROUNDUP(T372/20,0),"")</f>
        <v/>
      </c>
      <c r="AF372" s="11">
        <f>IF(ROUNDUP(U372/20,0)&gt;ROUNDUP(U371/20,0),"Lần " &amp; ROUNDUP(U372/20,0),"")</f>
        <v/>
      </c>
      <c r="AG372" s="11">
        <f>IF(ROUNDUP(V372/20,0)&gt;ROUNDUP(V371/20,0),"Lần " &amp; ROUNDUP(V372/20,0),"")</f>
        <v/>
      </c>
      <c r="AH372" s="11">
        <f>IF(ROUNDUP(W372/20,0)&gt;ROUNDUP(W371/20,0),"Lần " &amp; ROUNDUP(W372/20,0),"")</f>
        <v/>
      </c>
      <c r="AI372" s="11">
        <f>IF(ROUNDUP(X372/20,0)&gt;ROUNDUP(X371/20,0),"Lần " &amp; ROUNDUP(X372/20,0),"")</f>
        <v/>
      </c>
      <c r="AJ372" s="11">
        <f>IF(ROUNDUP(Y372/20,0)&gt;ROUNDUP(Y371/20,0),"Lần " &amp; ROUNDUP(Y372/20,0),"")</f>
        <v/>
      </c>
      <c r="AK372" s="11">
        <f>IF(ROUNDUP(Z372/20,0)&gt;ROUNDUP(Z371/20,0),"Lần " &amp; ROUNDUP(Z372/20,0),"")</f>
        <v/>
      </c>
      <c r="AL372" s="6" t="n"/>
      <c r="AN372" t="inlineStr">
        <is>
          <t>HoanThien</t>
        </is>
      </c>
      <c r="AO372" t="n">
        <v>53</v>
      </c>
    </row>
    <row r="373" ht="19" customHeight="1">
      <c r="A373" s="6" t="n">
        <v>358</v>
      </c>
      <c r="B373" s="7" t="inlineStr">
        <is>
          <t>Gờ lan can BTCT</t>
        </is>
      </c>
      <c r="C373" s="7" t="inlineStr">
        <is>
          <t>Gờ lan can (tr.119)</t>
        </is>
      </c>
      <c r="D373" s="18" t="inlineStr">
        <is>
          <t>G1A</t>
        </is>
      </c>
      <c r="E373" s="19" t="n">
        <v>14</v>
      </c>
      <c r="F373" s="6" t="inlineStr">
        <is>
          <t>CB400-V</t>
        </is>
      </c>
      <c r="G373" s="7" t="inlineStr">
        <is>
          <t>S01</t>
        </is>
      </c>
      <c r="H373" s="20" t="n">
        <v>4.12</v>
      </c>
      <c r="I373" s="21" t="n">
        <v>19</v>
      </c>
      <c r="J373" s="22" t="n">
        <v>1.208</v>
      </c>
      <c r="K373" s="9">
        <f>ROUND(H373*I373*J373, 2)</f>
        <v/>
      </c>
      <c r="L373" s="23">
        <f>ROUND(K373/1000, 3)</f>
        <v/>
      </c>
      <c r="M373" s="8">
        <f>IF(AO373="","",IF(INDEX(Theo_Doi_Tan_Suat_Be_Tong!$C:$C,AO373)="","",INDEX(Theo_Doi_Tan_Suat_Be_Tong!$C:$C,AO373)-VLOOKUP(AN373,$AQ$2:$AR$7,2,FALSE)))</f>
        <v/>
      </c>
      <c r="N373" s="6" t="n"/>
      <c r="O373" s="24">
        <f>IF(ROUNDUP(R373/20,0)&gt;ROUNDUP(R372/20,0),"TN Ø14 (Lần " &amp; ROUNDUP(R373/20,0) &amp; ")","")</f>
        <v/>
      </c>
      <c r="P373" s="20">
        <f>ROUND(P372+IF(AND(E373&lt;=10,F373&lt;&gt;"ASTM A416"),L373,0),3)</f>
        <v/>
      </c>
      <c r="Q373" s="20">
        <f>ROUND(Q372+IF(AND(E373=12,F373&lt;&gt;"ASTM A416"),L373,0),3)</f>
        <v/>
      </c>
      <c r="R373" s="20">
        <f>ROUND(R372+IF(AND(E373=14,F373&lt;&gt;"ASTM A416"),L373,0),3)</f>
        <v/>
      </c>
      <c r="S373" s="20">
        <f>ROUND(S372+IF(AND(E373=16,F373&lt;&gt;"ASTM A416"),L373,0),3)</f>
        <v/>
      </c>
      <c r="T373" s="20">
        <f>ROUND(T372+IF(AND(E373=18,F373&lt;&gt;"ASTM A416"),L373,0),3)</f>
        <v/>
      </c>
      <c r="U373" s="20">
        <f>ROUND(U372+IF(AND(E373=20,F373&lt;&gt;"ASTM A416"),L373,0),3)</f>
        <v/>
      </c>
      <c r="V373" s="20">
        <f>ROUND(V372+IF(AND(E373=22,F373&lt;&gt;"ASTM A416"),L373,0),3)</f>
        <v/>
      </c>
      <c r="W373" s="20">
        <f>ROUND(W372+IF(AND(E373=25,F373&lt;&gt;"ASTM A416"),L373,0),3)</f>
        <v/>
      </c>
      <c r="X373" s="20">
        <f>ROUND(X372+IF(AND(E373=28,F373&lt;&gt;"ASTM A416"),L373,0),3)</f>
        <v/>
      </c>
      <c r="Y373" s="20">
        <f>ROUND(Y372+IF(AND(E373=32,F373&lt;&gt;"ASTM A416"),L373,0),3)</f>
        <v/>
      </c>
      <c r="Z373" s="20">
        <f>ROUND(Z372+IF(F373="ASTM A416",L373,0),3)</f>
        <v/>
      </c>
      <c r="AA373" s="11">
        <f>IF(ROUNDUP(P373/20,0)&gt;ROUNDUP(P372/20,0),"Lần " &amp; ROUNDUP(P373/20,0),"")</f>
        <v/>
      </c>
      <c r="AB373" s="11">
        <f>IF(ROUNDUP(Q373/20,0)&gt;ROUNDUP(Q372/20,0),"Lần " &amp; ROUNDUP(Q373/20,0),"")</f>
        <v/>
      </c>
      <c r="AC373" s="11">
        <f>IF(ROUNDUP(R373/20,0)&gt;ROUNDUP(R372/20,0),"Lần " &amp; ROUNDUP(R373/20,0),"")</f>
        <v/>
      </c>
      <c r="AD373" s="11">
        <f>IF(ROUNDUP(S373/20,0)&gt;ROUNDUP(S372/20,0),"Lần " &amp; ROUNDUP(S373/20,0),"")</f>
        <v/>
      </c>
      <c r="AE373" s="11">
        <f>IF(ROUNDUP(T373/20,0)&gt;ROUNDUP(T372/20,0),"Lần " &amp; ROUNDUP(T373/20,0),"")</f>
        <v/>
      </c>
      <c r="AF373" s="11">
        <f>IF(ROUNDUP(U373/20,0)&gt;ROUNDUP(U372/20,0),"Lần " &amp; ROUNDUP(U373/20,0),"")</f>
        <v/>
      </c>
      <c r="AG373" s="11">
        <f>IF(ROUNDUP(V373/20,0)&gt;ROUNDUP(V372/20,0),"Lần " &amp; ROUNDUP(V373/20,0),"")</f>
        <v/>
      </c>
      <c r="AH373" s="11">
        <f>IF(ROUNDUP(W373/20,0)&gt;ROUNDUP(W372/20,0),"Lần " &amp; ROUNDUP(W373/20,0),"")</f>
        <v/>
      </c>
      <c r="AI373" s="11">
        <f>IF(ROUNDUP(X373/20,0)&gt;ROUNDUP(X372/20,0),"Lần " &amp; ROUNDUP(X373/20,0),"")</f>
        <v/>
      </c>
      <c r="AJ373" s="11">
        <f>IF(ROUNDUP(Y373/20,0)&gt;ROUNDUP(Y372/20,0),"Lần " &amp; ROUNDUP(Y373/20,0),"")</f>
        <v/>
      </c>
      <c r="AK373" s="11">
        <f>IF(ROUNDUP(Z373/20,0)&gt;ROUNDUP(Z372/20,0),"Lần " &amp; ROUNDUP(Z373/20,0),"")</f>
        <v/>
      </c>
      <c r="AL373" s="6" t="n"/>
      <c r="AN373" t="inlineStr">
        <is>
          <t>HoanThien</t>
        </is>
      </c>
      <c r="AO373" t="n">
        <v>53</v>
      </c>
    </row>
    <row r="374" ht="19" customHeight="1">
      <c r="A374" s="6" t="n">
        <v>359</v>
      </c>
      <c r="B374" s="7" t="inlineStr">
        <is>
          <t>Gờ lan can BTCT</t>
        </is>
      </c>
      <c r="C374" s="7" t="inlineStr">
        <is>
          <t>Gờ lan can (tr.119)</t>
        </is>
      </c>
      <c r="D374" s="18" t="inlineStr">
        <is>
          <t>G2</t>
        </is>
      </c>
      <c r="E374" s="19" t="n">
        <v>18</v>
      </c>
      <c r="F374" s="6" t="inlineStr">
        <is>
          <t>CB400-V</t>
        </is>
      </c>
      <c r="G374" s="7" t="inlineStr">
        <is>
          <t>S57</t>
        </is>
      </c>
      <c r="H374" s="20" t="n">
        <v>2.578</v>
      </c>
      <c r="I374" s="21" t="n">
        <v>28</v>
      </c>
      <c r="J374" s="22" t="n">
        <v>1.998</v>
      </c>
      <c r="K374" s="9">
        <f>ROUND(H374*I374*J374, 2)</f>
        <v/>
      </c>
      <c r="L374" s="23">
        <f>ROUND(K374/1000, 3)</f>
        <v/>
      </c>
      <c r="M374" s="8">
        <f>IF(AO374="","",IF(INDEX(Theo_Doi_Tan_Suat_Be_Tong!$C:$C,AO374)="","",INDEX(Theo_Doi_Tan_Suat_Be_Tong!$C:$C,AO374)-VLOOKUP(AN374,$AQ$2:$AR$7,2,FALSE)))</f>
        <v/>
      </c>
      <c r="N374" s="6" t="n"/>
      <c r="O374" s="24">
        <f>IF(ROUNDUP(T374/20,0)&gt;ROUNDUP(T373/20,0),"TN Ø18 (Lần " &amp; ROUNDUP(T374/20,0) &amp; ")","")</f>
        <v/>
      </c>
      <c r="P374" s="20">
        <f>ROUND(P373+IF(AND(E374&lt;=10,F374&lt;&gt;"ASTM A416"),L374,0),3)</f>
        <v/>
      </c>
      <c r="Q374" s="20">
        <f>ROUND(Q373+IF(AND(E374=12,F374&lt;&gt;"ASTM A416"),L374,0),3)</f>
        <v/>
      </c>
      <c r="R374" s="20">
        <f>ROUND(R373+IF(AND(E374=14,F374&lt;&gt;"ASTM A416"),L374,0),3)</f>
        <v/>
      </c>
      <c r="S374" s="20">
        <f>ROUND(S373+IF(AND(E374=16,F374&lt;&gt;"ASTM A416"),L374,0),3)</f>
        <v/>
      </c>
      <c r="T374" s="20">
        <f>ROUND(T373+IF(AND(E374=18,F374&lt;&gt;"ASTM A416"),L374,0),3)</f>
        <v/>
      </c>
      <c r="U374" s="20">
        <f>ROUND(U373+IF(AND(E374=20,F374&lt;&gt;"ASTM A416"),L374,0),3)</f>
        <v/>
      </c>
      <c r="V374" s="20">
        <f>ROUND(V373+IF(AND(E374=22,F374&lt;&gt;"ASTM A416"),L374,0),3)</f>
        <v/>
      </c>
      <c r="W374" s="20">
        <f>ROUND(W373+IF(AND(E374=25,F374&lt;&gt;"ASTM A416"),L374,0),3)</f>
        <v/>
      </c>
      <c r="X374" s="20">
        <f>ROUND(X373+IF(AND(E374=28,F374&lt;&gt;"ASTM A416"),L374,0),3)</f>
        <v/>
      </c>
      <c r="Y374" s="20">
        <f>ROUND(Y373+IF(AND(E374=32,F374&lt;&gt;"ASTM A416"),L374,0),3)</f>
        <v/>
      </c>
      <c r="Z374" s="20">
        <f>ROUND(Z373+IF(F374="ASTM A416",L374,0),3)</f>
        <v/>
      </c>
      <c r="AA374" s="11">
        <f>IF(ROUNDUP(P374/20,0)&gt;ROUNDUP(P373/20,0),"Lần " &amp; ROUNDUP(P374/20,0),"")</f>
        <v/>
      </c>
      <c r="AB374" s="11">
        <f>IF(ROUNDUP(Q374/20,0)&gt;ROUNDUP(Q373/20,0),"Lần " &amp; ROUNDUP(Q374/20,0),"")</f>
        <v/>
      </c>
      <c r="AC374" s="11">
        <f>IF(ROUNDUP(R374/20,0)&gt;ROUNDUP(R373/20,0),"Lần " &amp; ROUNDUP(R374/20,0),"")</f>
        <v/>
      </c>
      <c r="AD374" s="11">
        <f>IF(ROUNDUP(S374/20,0)&gt;ROUNDUP(S373/20,0),"Lần " &amp; ROUNDUP(S374/20,0),"")</f>
        <v/>
      </c>
      <c r="AE374" s="11">
        <f>IF(ROUNDUP(T374/20,0)&gt;ROUNDUP(T373/20,0),"Lần " &amp; ROUNDUP(T374/20,0),"")</f>
        <v/>
      </c>
      <c r="AF374" s="11">
        <f>IF(ROUNDUP(U374/20,0)&gt;ROUNDUP(U373/20,0),"Lần " &amp; ROUNDUP(U374/20,0),"")</f>
        <v/>
      </c>
      <c r="AG374" s="11">
        <f>IF(ROUNDUP(V374/20,0)&gt;ROUNDUP(V373/20,0),"Lần " &amp; ROUNDUP(V374/20,0),"")</f>
        <v/>
      </c>
      <c r="AH374" s="11">
        <f>IF(ROUNDUP(W374/20,0)&gt;ROUNDUP(W373/20,0),"Lần " &amp; ROUNDUP(W374/20,0),"")</f>
        <v/>
      </c>
      <c r="AI374" s="11">
        <f>IF(ROUNDUP(X374/20,0)&gt;ROUNDUP(X373/20,0),"Lần " &amp; ROUNDUP(X374/20,0),"")</f>
        <v/>
      </c>
      <c r="AJ374" s="11">
        <f>IF(ROUNDUP(Y374/20,0)&gt;ROUNDUP(Y373/20,0),"Lần " &amp; ROUNDUP(Y374/20,0),"")</f>
        <v/>
      </c>
      <c r="AK374" s="11">
        <f>IF(ROUNDUP(Z374/20,0)&gt;ROUNDUP(Z373/20,0),"Lần " &amp; ROUNDUP(Z374/20,0),"")</f>
        <v/>
      </c>
      <c r="AL374" s="6" t="n"/>
      <c r="AN374" t="inlineStr">
        <is>
          <t>HoanThien</t>
        </is>
      </c>
      <c r="AO374" t="n">
        <v>53</v>
      </c>
    </row>
    <row r="375" ht="19" customHeight="1">
      <c r="A375" s="6" t="n">
        <v>360</v>
      </c>
      <c r="B375" s="7" t="inlineStr">
        <is>
          <t>Gờ lan can BTCT</t>
        </is>
      </c>
      <c r="C375" s="7" t="inlineStr">
        <is>
          <t>Gờ lan can (tr.119)</t>
        </is>
      </c>
      <c r="D375" s="18" t="inlineStr">
        <is>
          <t>G3</t>
        </is>
      </c>
      <c r="E375" s="19" t="n">
        <v>14</v>
      </c>
      <c r="F375" s="6" t="inlineStr">
        <is>
          <t>CB400-V</t>
        </is>
      </c>
      <c r="G375" s="7" t="inlineStr">
        <is>
          <t>S29</t>
        </is>
      </c>
      <c r="H375" s="20" t="n">
        <v>2.344</v>
      </c>
      <c r="I375" s="21" t="n">
        <v>28</v>
      </c>
      <c r="J375" s="22" t="n">
        <v>1.208</v>
      </c>
      <c r="K375" s="9">
        <f>ROUND(H375*I375*J375, 2)</f>
        <v/>
      </c>
      <c r="L375" s="23">
        <f>ROUND(K375/1000, 3)</f>
        <v/>
      </c>
      <c r="M375" s="8">
        <f>IF(AO375="","",IF(INDEX(Theo_Doi_Tan_Suat_Be_Tong!$C:$C,AO375)="","",INDEX(Theo_Doi_Tan_Suat_Be_Tong!$C:$C,AO375)-VLOOKUP(AN375,$AQ$2:$AR$7,2,FALSE)))</f>
        <v/>
      </c>
      <c r="N375" s="6" t="n"/>
      <c r="O375" s="24">
        <f>IF(ROUNDUP(R375/20,0)&gt;ROUNDUP(R374/20,0),"TN Ø14 (Lần " &amp; ROUNDUP(R375/20,0) &amp; ")","")</f>
        <v/>
      </c>
      <c r="P375" s="20">
        <f>ROUND(P374+IF(AND(E375&lt;=10,F375&lt;&gt;"ASTM A416"),L375,0),3)</f>
        <v/>
      </c>
      <c r="Q375" s="20">
        <f>ROUND(Q374+IF(AND(E375=12,F375&lt;&gt;"ASTM A416"),L375,0),3)</f>
        <v/>
      </c>
      <c r="R375" s="20">
        <f>ROUND(R374+IF(AND(E375=14,F375&lt;&gt;"ASTM A416"),L375,0),3)</f>
        <v/>
      </c>
      <c r="S375" s="20">
        <f>ROUND(S374+IF(AND(E375=16,F375&lt;&gt;"ASTM A416"),L375,0),3)</f>
        <v/>
      </c>
      <c r="T375" s="20">
        <f>ROUND(T374+IF(AND(E375=18,F375&lt;&gt;"ASTM A416"),L375,0),3)</f>
        <v/>
      </c>
      <c r="U375" s="20">
        <f>ROUND(U374+IF(AND(E375=20,F375&lt;&gt;"ASTM A416"),L375,0),3)</f>
        <v/>
      </c>
      <c r="V375" s="20">
        <f>ROUND(V374+IF(AND(E375=22,F375&lt;&gt;"ASTM A416"),L375,0),3)</f>
        <v/>
      </c>
      <c r="W375" s="20">
        <f>ROUND(W374+IF(AND(E375=25,F375&lt;&gt;"ASTM A416"),L375,0),3)</f>
        <v/>
      </c>
      <c r="X375" s="20">
        <f>ROUND(X374+IF(AND(E375=28,F375&lt;&gt;"ASTM A416"),L375,0),3)</f>
        <v/>
      </c>
      <c r="Y375" s="20">
        <f>ROUND(Y374+IF(AND(E375=32,F375&lt;&gt;"ASTM A416"),L375,0),3)</f>
        <v/>
      </c>
      <c r="Z375" s="20">
        <f>ROUND(Z374+IF(F375="ASTM A416",L375,0),3)</f>
        <v/>
      </c>
      <c r="AA375" s="11">
        <f>IF(ROUNDUP(P375/20,0)&gt;ROUNDUP(P374/20,0),"Lần " &amp; ROUNDUP(P375/20,0),"")</f>
        <v/>
      </c>
      <c r="AB375" s="11">
        <f>IF(ROUNDUP(Q375/20,0)&gt;ROUNDUP(Q374/20,0),"Lần " &amp; ROUNDUP(Q375/20,0),"")</f>
        <v/>
      </c>
      <c r="AC375" s="11">
        <f>IF(ROUNDUP(R375/20,0)&gt;ROUNDUP(R374/20,0),"Lần " &amp; ROUNDUP(R375/20,0),"")</f>
        <v/>
      </c>
      <c r="AD375" s="11">
        <f>IF(ROUNDUP(S375/20,0)&gt;ROUNDUP(S374/20,0),"Lần " &amp; ROUNDUP(S375/20,0),"")</f>
        <v/>
      </c>
      <c r="AE375" s="11">
        <f>IF(ROUNDUP(T375/20,0)&gt;ROUNDUP(T374/20,0),"Lần " &amp; ROUNDUP(T375/20,0),"")</f>
        <v/>
      </c>
      <c r="AF375" s="11">
        <f>IF(ROUNDUP(U375/20,0)&gt;ROUNDUP(U374/20,0),"Lần " &amp; ROUNDUP(U375/20,0),"")</f>
        <v/>
      </c>
      <c r="AG375" s="11">
        <f>IF(ROUNDUP(V375/20,0)&gt;ROUNDUP(V374/20,0),"Lần " &amp; ROUNDUP(V375/20,0),"")</f>
        <v/>
      </c>
      <c r="AH375" s="11">
        <f>IF(ROUNDUP(W375/20,0)&gt;ROUNDUP(W374/20,0),"Lần " &amp; ROUNDUP(W375/20,0),"")</f>
        <v/>
      </c>
      <c r="AI375" s="11">
        <f>IF(ROUNDUP(X375/20,0)&gt;ROUNDUP(X374/20,0),"Lần " &amp; ROUNDUP(X375/20,0),"")</f>
        <v/>
      </c>
      <c r="AJ375" s="11">
        <f>IF(ROUNDUP(Y375/20,0)&gt;ROUNDUP(Y374/20,0),"Lần " &amp; ROUNDUP(Y375/20,0),"")</f>
        <v/>
      </c>
      <c r="AK375" s="11">
        <f>IF(ROUNDUP(Z375/20,0)&gt;ROUNDUP(Z374/20,0),"Lần " &amp; ROUNDUP(Z375/20,0),"")</f>
        <v/>
      </c>
      <c r="AL375" s="6" t="n"/>
      <c r="AN375" t="inlineStr">
        <is>
          <t>HoanThien</t>
        </is>
      </c>
      <c r="AO375" t="n">
        <v>53</v>
      </c>
    </row>
    <row r="376" ht="19" customHeight="1">
      <c r="A376" s="6" t="n">
        <v>361</v>
      </c>
      <c r="B376" s="7" t="inlineStr">
        <is>
          <t>Gờ lan can BTCT</t>
        </is>
      </c>
      <c r="C376" s="7" t="inlineStr">
        <is>
          <t>Gờ lan can (tr.119)</t>
        </is>
      </c>
      <c r="D376" s="18" t="inlineStr">
        <is>
          <t>G4A</t>
        </is>
      </c>
      <c r="E376" s="19" t="n">
        <v>12</v>
      </c>
      <c r="F376" s="6" t="inlineStr">
        <is>
          <t>CB400-V</t>
        </is>
      </c>
      <c r="G376" s="7" t="inlineStr">
        <is>
          <t>S06</t>
        </is>
      </c>
      <c r="H376" s="20" t="n">
        <v>0.342</v>
      </c>
      <c r="I376" s="21" t="n">
        <v>9</v>
      </c>
      <c r="J376" s="22" t="n">
        <v>0.888</v>
      </c>
      <c r="K376" s="9">
        <f>ROUND(H376*I376*J376, 2)</f>
        <v/>
      </c>
      <c r="L376" s="23">
        <f>ROUND(K376/1000, 3)</f>
        <v/>
      </c>
      <c r="M376" s="8">
        <f>IF(AO376="","",IF(INDEX(Theo_Doi_Tan_Suat_Be_Tong!$C:$C,AO376)="","",INDEX(Theo_Doi_Tan_Suat_Be_Tong!$C:$C,AO376)-VLOOKUP(AN376,$AQ$2:$AR$7,2,FALSE)))</f>
        <v/>
      </c>
      <c r="N376" s="6" t="n"/>
      <c r="O376" s="24">
        <f>IF(ROUNDUP(Q376/20,0)&gt;ROUNDUP(Q375/20,0),"TN Ø12 (Lần " &amp; ROUNDUP(Q376/20,0) &amp; ")","")</f>
        <v/>
      </c>
      <c r="P376" s="20">
        <f>ROUND(P375+IF(AND(E376&lt;=10,F376&lt;&gt;"ASTM A416"),L376,0),3)</f>
        <v/>
      </c>
      <c r="Q376" s="20">
        <f>ROUND(Q375+IF(AND(E376=12,F376&lt;&gt;"ASTM A416"),L376,0),3)</f>
        <v/>
      </c>
      <c r="R376" s="20">
        <f>ROUND(R375+IF(AND(E376=14,F376&lt;&gt;"ASTM A416"),L376,0),3)</f>
        <v/>
      </c>
      <c r="S376" s="20">
        <f>ROUND(S375+IF(AND(E376=16,F376&lt;&gt;"ASTM A416"),L376,0),3)</f>
        <v/>
      </c>
      <c r="T376" s="20">
        <f>ROUND(T375+IF(AND(E376=18,F376&lt;&gt;"ASTM A416"),L376,0),3)</f>
        <v/>
      </c>
      <c r="U376" s="20">
        <f>ROUND(U375+IF(AND(E376=20,F376&lt;&gt;"ASTM A416"),L376,0),3)</f>
        <v/>
      </c>
      <c r="V376" s="20">
        <f>ROUND(V375+IF(AND(E376=22,F376&lt;&gt;"ASTM A416"),L376,0),3)</f>
        <v/>
      </c>
      <c r="W376" s="20">
        <f>ROUND(W375+IF(AND(E376=25,F376&lt;&gt;"ASTM A416"),L376,0),3)</f>
        <v/>
      </c>
      <c r="X376" s="20">
        <f>ROUND(X375+IF(AND(E376=28,F376&lt;&gt;"ASTM A416"),L376,0),3)</f>
        <v/>
      </c>
      <c r="Y376" s="20">
        <f>ROUND(Y375+IF(AND(E376=32,F376&lt;&gt;"ASTM A416"),L376,0),3)</f>
        <v/>
      </c>
      <c r="Z376" s="20">
        <f>ROUND(Z375+IF(F376="ASTM A416",L376,0),3)</f>
        <v/>
      </c>
      <c r="AA376" s="11">
        <f>IF(ROUNDUP(P376/20,0)&gt;ROUNDUP(P375/20,0),"Lần " &amp; ROUNDUP(P376/20,0),"")</f>
        <v/>
      </c>
      <c r="AB376" s="11">
        <f>IF(ROUNDUP(Q376/20,0)&gt;ROUNDUP(Q375/20,0),"Lần " &amp; ROUNDUP(Q376/20,0),"")</f>
        <v/>
      </c>
      <c r="AC376" s="11">
        <f>IF(ROUNDUP(R376/20,0)&gt;ROUNDUP(R375/20,0),"Lần " &amp; ROUNDUP(R376/20,0),"")</f>
        <v/>
      </c>
      <c r="AD376" s="11">
        <f>IF(ROUNDUP(S376/20,0)&gt;ROUNDUP(S375/20,0),"Lần " &amp; ROUNDUP(S376/20,0),"")</f>
        <v/>
      </c>
      <c r="AE376" s="11">
        <f>IF(ROUNDUP(T376/20,0)&gt;ROUNDUP(T375/20,0),"Lần " &amp; ROUNDUP(T376/20,0),"")</f>
        <v/>
      </c>
      <c r="AF376" s="11">
        <f>IF(ROUNDUP(U376/20,0)&gt;ROUNDUP(U375/20,0),"Lần " &amp; ROUNDUP(U376/20,0),"")</f>
        <v/>
      </c>
      <c r="AG376" s="11">
        <f>IF(ROUNDUP(V376/20,0)&gt;ROUNDUP(V375/20,0),"Lần " &amp; ROUNDUP(V376/20,0),"")</f>
        <v/>
      </c>
      <c r="AH376" s="11">
        <f>IF(ROUNDUP(W376/20,0)&gt;ROUNDUP(W375/20,0),"Lần " &amp; ROUNDUP(W376/20,0),"")</f>
        <v/>
      </c>
      <c r="AI376" s="11">
        <f>IF(ROUNDUP(X376/20,0)&gt;ROUNDUP(X375/20,0),"Lần " &amp; ROUNDUP(X376/20,0),"")</f>
        <v/>
      </c>
      <c r="AJ376" s="11">
        <f>IF(ROUNDUP(Y376/20,0)&gt;ROUNDUP(Y375/20,0),"Lần " &amp; ROUNDUP(Y376/20,0),"")</f>
        <v/>
      </c>
      <c r="AK376" s="11">
        <f>IF(ROUNDUP(Z376/20,0)&gt;ROUNDUP(Z375/20,0),"Lần " &amp; ROUNDUP(Z376/20,0),"")</f>
        <v/>
      </c>
      <c r="AL376" s="6" t="n"/>
      <c r="AN376" t="inlineStr">
        <is>
          <t>HoanThien</t>
        </is>
      </c>
      <c r="AO376" t="n">
        <v>53</v>
      </c>
    </row>
    <row r="377" ht="20" customHeight="1">
      <c r="A377" s="6" t="n">
        <v>362</v>
      </c>
      <c r="B377" s="7" t="inlineStr">
        <is>
          <t>Gờ lan can BTCT</t>
        </is>
      </c>
      <c r="C377" s="7" t="inlineStr">
        <is>
          <t>Gờ lan can (tr.119)</t>
        </is>
      </c>
      <c r="D377" s="18" t="inlineStr">
        <is>
          <t>G4B</t>
        </is>
      </c>
      <c r="E377" s="19" t="n">
        <v>12</v>
      </c>
      <c r="F377" s="6" t="inlineStr">
        <is>
          <t>CB400-V</t>
        </is>
      </c>
      <c r="G377" s="7" t="inlineStr">
        <is>
          <t>S06</t>
        </is>
      </c>
      <c r="H377" s="20" t="n">
        <v>0.388</v>
      </c>
      <c r="I377" s="21" t="n">
        <v>9</v>
      </c>
      <c r="J377" s="22" t="n">
        <v>0.888</v>
      </c>
      <c r="K377" s="9">
        <f>ROUND(H377*I377*J377, 2)</f>
        <v/>
      </c>
      <c r="L377" s="23">
        <f>ROUND(K377/1000, 3)</f>
        <v/>
      </c>
      <c r="M377" s="8">
        <f>IF(AO377="","",IF(INDEX(Theo_Doi_Tan_Suat_Be_Tong!$C:$C,AO377)="","",INDEX(Theo_Doi_Tan_Suat_Be_Tong!$C:$C,AO377)-VLOOKUP(AN377,$AQ$2:$AR$7,2,FALSE)))</f>
        <v/>
      </c>
      <c r="N377" s="6" t="n"/>
      <c r="O377" s="24">
        <f>IF(ROUNDUP(Q377/20,0)&gt;ROUNDUP(Q376/20,0),"TN Ø12 (Lần " &amp; ROUNDUP(Q377/20,0) &amp; ")","")</f>
        <v/>
      </c>
      <c r="P377" s="20">
        <f>ROUND(P376+IF(AND(E377&lt;=10,F377&lt;&gt;"ASTM A416"),L377,0),3)</f>
        <v/>
      </c>
      <c r="Q377" s="20">
        <f>ROUND(Q376+IF(AND(E377=12,F377&lt;&gt;"ASTM A416"),L377,0),3)</f>
        <v/>
      </c>
      <c r="R377" s="20">
        <f>ROUND(R376+IF(AND(E377=14,F377&lt;&gt;"ASTM A416"),L377,0),3)</f>
        <v/>
      </c>
      <c r="S377" s="20">
        <f>ROUND(S376+IF(AND(E377=16,F377&lt;&gt;"ASTM A416"),L377,0),3)</f>
        <v/>
      </c>
      <c r="T377" s="20">
        <f>ROUND(T376+IF(AND(E377=18,F377&lt;&gt;"ASTM A416"),L377,0),3)</f>
        <v/>
      </c>
      <c r="U377" s="20">
        <f>ROUND(U376+IF(AND(E377=20,F377&lt;&gt;"ASTM A416"),L377,0),3)</f>
        <v/>
      </c>
      <c r="V377" s="20">
        <f>ROUND(V376+IF(AND(E377=22,F377&lt;&gt;"ASTM A416"),L377,0),3)</f>
        <v/>
      </c>
      <c r="W377" s="20">
        <f>ROUND(W376+IF(AND(E377=25,F377&lt;&gt;"ASTM A416"),L377,0),3)</f>
        <v/>
      </c>
      <c r="X377" s="20">
        <f>ROUND(X376+IF(AND(E377=28,F377&lt;&gt;"ASTM A416"),L377,0),3)</f>
        <v/>
      </c>
      <c r="Y377" s="20">
        <f>ROUND(Y376+IF(AND(E377=32,F377&lt;&gt;"ASTM A416"),L377,0),3)</f>
        <v/>
      </c>
      <c r="Z377" s="20">
        <f>ROUND(Z376+IF(F377="ASTM A416",L377,0),3)</f>
        <v/>
      </c>
      <c r="AA377" s="11">
        <f>IF(ROUNDUP(P377/20,0)&gt;ROUNDUP(P376/20,0),"Lần " &amp; ROUNDUP(P377/20,0),"")</f>
        <v/>
      </c>
      <c r="AB377" s="11">
        <f>IF(ROUNDUP(Q377/20,0)&gt;ROUNDUP(Q376/20,0),"Lần " &amp; ROUNDUP(Q377/20,0),"")</f>
        <v/>
      </c>
      <c r="AC377" s="11">
        <f>IF(ROUNDUP(R377/20,0)&gt;ROUNDUP(R376/20,0),"Lần " &amp; ROUNDUP(R377/20,0),"")</f>
        <v/>
      </c>
      <c r="AD377" s="11">
        <f>IF(ROUNDUP(S377/20,0)&gt;ROUNDUP(S376/20,0),"Lần " &amp; ROUNDUP(S377/20,0),"")</f>
        <v/>
      </c>
      <c r="AE377" s="11">
        <f>IF(ROUNDUP(T377/20,0)&gt;ROUNDUP(T376/20,0),"Lần " &amp; ROUNDUP(T377/20,0),"")</f>
        <v/>
      </c>
      <c r="AF377" s="11">
        <f>IF(ROUNDUP(U377/20,0)&gt;ROUNDUP(U376/20,0),"Lần " &amp; ROUNDUP(U377/20,0),"")</f>
        <v/>
      </c>
      <c r="AG377" s="11">
        <f>IF(ROUNDUP(V377/20,0)&gt;ROUNDUP(V376/20,0),"Lần " &amp; ROUNDUP(V377/20,0),"")</f>
        <v/>
      </c>
      <c r="AH377" s="11">
        <f>IF(ROUNDUP(W377/20,0)&gt;ROUNDUP(W376/20,0),"Lần " &amp; ROUNDUP(W377/20,0),"")</f>
        <v/>
      </c>
      <c r="AI377" s="11">
        <f>IF(ROUNDUP(X377/20,0)&gt;ROUNDUP(X376/20,0),"Lần " &amp; ROUNDUP(X377/20,0),"")</f>
        <v/>
      </c>
      <c r="AJ377" s="11">
        <f>IF(ROUNDUP(Y377/20,0)&gt;ROUNDUP(Y376/20,0),"Lần " &amp; ROUNDUP(Y377/20,0),"")</f>
        <v/>
      </c>
      <c r="AK377" s="11">
        <f>IF(ROUNDUP(Z377/20,0)&gt;ROUNDUP(Z376/20,0),"Lần " &amp; ROUNDUP(Z377/20,0),"")</f>
        <v/>
      </c>
      <c r="AL377" s="6" t="n"/>
      <c r="AN377" t="inlineStr">
        <is>
          <t>HoanThien</t>
        </is>
      </c>
      <c r="AO377" t="n">
        <v>53</v>
      </c>
    </row>
    <row r="378" ht="19" customHeight="1">
      <c r="A378" s="6" t="n">
        <v>363</v>
      </c>
      <c r="B378" s="7" t="inlineStr">
        <is>
          <t>Gờ lan can BTCT</t>
        </is>
      </c>
      <c r="C378" s="7" t="inlineStr">
        <is>
          <t>Gờ lan can (tr.119)</t>
        </is>
      </c>
      <c r="D378" s="18" t="inlineStr">
        <is>
          <t>G4C</t>
        </is>
      </c>
      <c r="E378" s="19" t="n">
        <v>12</v>
      </c>
      <c r="F378" s="6" t="inlineStr">
        <is>
          <t>CB400-V</t>
        </is>
      </c>
      <c r="G378" s="7" t="inlineStr">
        <is>
          <t>S06</t>
        </is>
      </c>
      <c r="H378" s="20" t="n">
        <v>0.634</v>
      </c>
      <c r="I378" s="21" t="n">
        <v>9</v>
      </c>
      <c r="J378" s="22" t="n">
        <v>0.888</v>
      </c>
      <c r="K378" s="9">
        <f>ROUND(H378*I378*J378, 2)</f>
        <v/>
      </c>
      <c r="L378" s="23">
        <f>ROUND(K378/1000, 3)</f>
        <v/>
      </c>
      <c r="M378" s="8">
        <f>IF(AO378="","",IF(INDEX(Theo_Doi_Tan_Suat_Be_Tong!$C:$C,AO378)="","",INDEX(Theo_Doi_Tan_Suat_Be_Tong!$C:$C,AO378)-VLOOKUP(AN378,$AQ$2:$AR$7,2,FALSE)))</f>
        <v/>
      </c>
      <c r="N378" s="6" t="n"/>
      <c r="O378" s="24">
        <f>IF(ROUNDUP(Q378/20,0)&gt;ROUNDUP(Q377/20,0),"TN Ø12 (Lần " &amp; ROUNDUP(Q378/20,0) &amp; ")","")</f>
        <v/>
      </c>
      <c r="P378" s="20">
        <f>ROUND(P377+IF(AND(E378&lt;=10,F378&lt;&gt;"ASTM A416"),L378,0),3)</f>
        <v/>
      </c>
      <c r="Q378" s="20">
        <f>ROUND(Q377+IF(AND(E378=12,F378&lt;&gt;"ASTM A416"),L378,0),3)</f>
        <v/>
      </c>
      <c r="R378" s="20">
        <f>ROUND(R377+IF(AND(E378=14,F378&lt;&gt;"ASTM A416"),L378,0),3)</f>
        <v/>
      </c>
      <c r="S378" s="20">
        <f>ROUND(S377+IF(AND(E378=16,F378&lt;&gt;"ASTM A416"),L378,0),3)</f>
        <v/>
      </c>
      <c r="T378" s="20">
        <f>ROUND(T377+IF(AND(E378=18,F378&lt;&gt;"ASTM A416"),L378,0),3)</f>
        <v/>
      </c>
      <c r="U378" s="20">
        <f>ROUND(U377+IF(AND(E378=20,F378&lt;&gt;"ASTM A416"),L378,0),3)</f>
        <v/>
      </c>
      <c r="V378" s="20">
        <f>ROUND(V377+IF(AND(E378=22,F378&lt;&gt;"ASTM A416"),L378,0),3)</f>
        <v/>
      </c>
      <c r="W378" s="20">
        <f>ROUND(W377+IF(AND(E378=25,F378&lt;&gt;"ASTM A416"),L378,0),3)</f>
        <v/>
      </c>
      <c r="X378" s="20">
        <f>ROUND(X377+IF(AND(E378=28,F378&lt;&gt;"ASTM A416"),L378,0),3)</f>
        <v/>
      </c>
      <c r="Y378" s="20">
        <f>ROUND(Y377+IF(AND(E378=32,F378&lt;&gt;"ASTM A416"),L378,0),3)</f>
        <v/>
      </c>
      <c r="Z378" s="20">
        <f>ROUND(Z377+IF(F378="ASTM A416",L378,0),3)</f>
        <v/>
      </c>
      <c r="AA378" s="11">
        <f>IF(ROUNDUP(P378/20,0)&gt;ROUNDUP(P377/20,0),"Lần " &amp; ROUNDUP(P378/20,0),"")</f>
        <v/>
      </c>
      <c r="AB378" s="11">
        <f>IF(ROUNDUP(Q378/20,0)&gt;ROUNDUP(Q377/20,0),"Lần " &amp; ROUNDUP(Q378/20,0),"")</f>
        <v/>
      </c>
      <c r="AC378" s="11">
        <f>IF(ROUNDUP(R378/20,0)&gt;ROUNDUP(R377/20,0),"Lần " &amp; ROUNDUP(R378/20,0),"")</f>
        <v/>
      </c>
      <c r="AD378" s="11">
        <f>IF(ROUNDUP(S378/20,0)&gt;ROUNDUP(S377/20,0),"Lần " &amp; ROUNDUP(S378/20,0),"")</f>
        <v/>
      </c>
      <c r="AE378" s="11">
        <f>IF(ROUNDUP(T378/20,0)&gt;ROUNDUP(T377/20,0),"Lần " &amp; ROUNDUP(T378/20,0),"")</f>
        <v/>
      </c>
      <c r="AF378" s="11">
        <f>IF(ROUNDUP(U378/20,0)&gt;ROUNDUP(U377/20,0),"Lần " &amp; ROUNDUP(U378/20,0),"")</f>
        <v/>
      </c>
      <c r="AG378" s="11">
        <f>IF(ROUNDUP(V378/20,0)&gt;ROUNDUP(V377/20,0),"Lần " &amp; ROUNDUP(V378/20,0),"")</f>
        <v/>
      </c>
      <c r="AH378" s="11">
        <f>IF(ROUNDUP(W378/20,0)&gt;ROUNDUP(W377/20,0),"Lần " &amp; ROUNDUP(W378/20,0),"")</f>
        <v/>
      </c>
      <c r="AI378" s="11">
        <f>IF(ROUNDUP(X378/20,0)&gt;ROUNDUP(X377/20,0),"Lần " &amp; ROUNDUP(X378/20,0),"")</f>
        <v/>
      </c>
      <c r="AJ378" s="11">
        <f>IF(ROUNDUP(Y378/20,0)&gt;ROUNDUP(Y377/20,0),"Lần " &amp; ROUNDUP(Y378/20,0),"")</f>
        <v/>
      </c>
      <c r="AK378" s="11">
        <f>IF(ROUNDUP(Z378/20,0)&gt;ROUNDUP(Z377/20,0),"Lần " &amp; ROUNDUP(Z378/20,0),"")</f>
        <v/>
      </c>
      <c r="AL378" s="6" t="n"/>
      <c r="AN378" t="inlineStr">
        <is>
          <t>HoanThien</t>
        </is>
      </c>
      <c r="AO378" t="n">
        <v>53</v>
      </c>
    </row>
    <row r="379" ht="19" customHeight="1">
      <c r="A379" s="6" t="n">
        <v>364</v>
      </c>
      <c r="B379" s="7" t="inlineStr">
        <is>
          <t>Gờ lan can BTCT</t>
        </is>
      </c>
      <c r="C379" s="7" t="inlineStr">
        <is>
          <t>Gờ lan can (tr.119)</t>
        </is>
      </c>
      <c r="D379" s="18" t="inlineStr">
        <is>
          <t>G5</t>
        </is>
      </c>
      <c r="E379" s="19" t="n">
        <v>14</v>
      </c>
      <c r="F379" s="6" t="inlineStr">
        <is>
          <t>CB400-V</t>
        </is>
      </c>
      <c r="G379" s="7" t="inlineStr">
        <is>
          <t>S01</t>
        </is>
      </c>
      <c r="H379" s="20" t="n">
        <v>5.91</v>
      </c>
      <c r="I379" s="21" t="n">
        <v>361</v>
      </c>
      <c r="J379" s="22" t="n">
        <v>1.208</v>
      </c>
      <c r="K379" s="9">
        <f>ROUND(H379*I379*J379, 2)</f>
        <v/>
      </c>
      <c r="L379" s="23">
        <f>ROUND(K379/1000, 3)</f>
        <v/>
      </c>
      <c r="M379" s="8">
        <f>IF(AO379="","",IF(INDEX(Theo_Doi_Tan_Suat_Be_Tong!$C:$C,AO379)="","",INDEX(Theo_Doi_Tan_Suat_Be_Tong!$C:$C,AO379)-VLOOKUP(AN379,$AQ$2:$AR$7,2,FALSE)))</f>
        <v/>
      </c>
      <c r="N379" s="6" t="n"/>
      <c r="O379" s="24">
        <f>IF(ROUNDUP(R379/20,0)&gt;ROUNDUP(R378/20,0),"TN Ø14 (Lần " &amp; ROUNDUP(R379/20,0) &amp; ")","")</f>
        <v/>
      </c>
      <c r="P379" s="20">
        <f>ROUND(P378+IF(AND(E379&lt;=10,F379&lt;&gt;"ASTM A416"),L379,0),3)</f>
        <v/>
      </c>
      <c r="Q379" s="20">
        <f>ROUND(Q378+IF(AND(E379=12,F379&lt;&gt;"ASTM A416"),L379,0),3)</f>
        <v/>
      </c>
      <c r="R379" s="20">
        <f>ROUND(R378+IF(AND(E379=14,F379&lt;&gt;"ASTM A416"),L379,0),3)</f>
        <v/>
      </c>
      <c r="S379" s="20">
        <f>ROUND(S378+IF(AND(E379=16,F379&lt;&gt;"ASTM A416"),L379,0),3)</f>
        <v/>
      </c>
      <c r="T379" s="20">
        <f>ROUND(T378+IF(AND(E379=18,F379&lt;&gt;"ASTM A416"),L379,0),3)</f>
        <v/>
      </c>
      <c r="U379" s="20">
        <f>ROUND(U378+IF(AND(E379=20,F379&lt;&gt;"ASTM A416"),L379,0),3)</f>
        <v/>
      </c>
      <c r="V379" s="20">
        <f>ROUND(V378+IF(AND(E379=22,F379&lt;&gt;"ASTM A416"),L379,0),3)</f>
        <v/>
      </c>
      <c r="W379" s="20">
        <f>ROUND(W378+IF(AND(E379=25,F379&lt;&gt;"ASTM A416"),L379,0),3)</f>
        <v/>
      </c>
      <c r="X379" s="20">
        <f>ROUND(X378+IF(AND(E379=28,F379&lt;&gt;"ASTM A416"),L379,0),3)</f>
        <v/>
      </c>
      <c r="Y379" s="20">
        <f>ROUND(Y378+IF(AND(E379=32,F379&lt;&gt;"ASTM A416"),L379,0),3)</f>
        <v/>
      </c>
      <c r="Z379" s="20">
        <f>ROUND(Z378+IF(F379="ASTM A416",L379,0),3)</f>
        <v/>
      </c>
      <c r="AA379" s="11">
        <f>IF(ROUNDUP(P379/20,0)&gt;ROUNDUP(P378/20,0),"Lần " &amp; ROUNDUP(P379/20,0),"")</f>
        <v/>
      </c>
      <c r="AB379" s="11">
        <f>IF(ROUNDUP(Q379/20,0)&gt;ROUNDUP(Q378/20,0),"Lần " &amp; ROUNDUP(Q379/20,0),"")</f>
        <v/>
      </c>
      <c r="AC379" s="11">
        <f>IF(ROUNDUP(R379/20,0)&gt;ROUNDUP(R378/20,0),"Lần " &amp; ROUNDUP(R379/20,0),"")</f>
        <v/>
      </c>
      <c r="AD379" s="11">
        <f>IF(ROUNDUP(S379/20,0)&gt;ROUNDUP(S378/20,0),"Lần " &amp; ROUNDUP(S379/20,0),"")</f>
        <v/>
      </c>
      <c r="AE379" s="11">
        <f>IF(ROUNDUP(T379/20,0)&gt;ROUNDUP(T378/20,0),"Lần " &amp; ROUNDUP(T379/20,0),"")</f>
        <v/>
      </c>
      <c r="AF379" s="11">
        <f>IF(ROUNDUP(U379/20,0)&gt;ROUNDUP(U378/20,0),"Lần " &amp; ROUNDUP(U379/20,0),"")</f>
        <v/>
      </c>
      <c r="AG379" s="11">
        <f>IF(ROUNDUP(V379/20,0)&gt;ROUNDUP(V378/20,0),"Lần " &amp; ROUNDUP(V379/20,0),"")</f>
        <v/>
      </c>
      <c r="AH379" s="11">
        <f>IF(ROUNDUP(W379/20,0)&gt;ROUNDUP(W378/20,0),"Lần " &amp; ROUNDUP(W379/20,0),"")</f>
        <v/>
      </c>
      <c r="AI379" s="11">
        <f>IF(ROUNDUP(X379/20,0)&gt;ROUNDUP(X378/20,0),"Lần " &amp; ROUNDUP(X379/20,0),"")</f>
        <v/>
      </c>
      <c r="AJ379" s="11">
        <f>IF(ROUNDUP(Y379/20,0)&gt;ROUNDUP(Y378/20,0),"Lần " &amp; ROUNDUP(Y379/20,0),"")</f>
        <v/>
      </c>
      <c r="AK379" s="11">
        <f>IF(ROUNDUP(Z379/20,0)&gt;ROUNDUP(Z378/20,0),"Lần " &amp; ROUNDUP(Z379/20,0),"")</f>
        <v/>
      </c>
      <c r="AL379" s="6" t="n"/>
      <c r="AN379" t="inlineStr">
        <is>
          <t>HoanThien</t>
        </is>
      </c>
      <c r="AO379" t="n">
        <v>53</v>
      </c>
    </row>
    <row r="380" ht="19" customHeight="1">
      <c r="A380" s="6" t="n">
        <v>365</v>
      </c>
      <c r="B380" s="7" t="inlineStr">
        <is>
          <t>Gờ lan can BTCT</t>
        </is>
      </c>
      <c r="C380" s="7" t="inlineStr">
        <is>
          <t>Gờ lan can (tr.119)</t>
        </is>
      </c>
      <c r="D380" s="18" t="inlineStr">
        <is>
          <t>G6</t>
        </is>
      </c>
      <c r="E380" s="19" t="n">
        <v>20</v>
      </c>
      <c r="F380" s="6" t="inlineStr">
        <is>
          <t>CB400-V</t>
        </is>
      </c>
      <c r="G380" s="7" t="inlineStr">
        <is>
          <t>S57</t>
        </is>
      </c>
      <c r="H380" s="20" t="n">
        <v>2.026</v>
      </c>
      <c r="I380" s="21" t="n">
        <v>779</v>
      </c>
      <c r="J380" s="22" t="n">
        <v>2.466</v>
      </c>
      <c r="K380" s="9">
        <f>ROUND(H380*I380*J380, 2)</f>
        <v/>
      </c>
      <c r="L380" s="23">
        <f>ROUND(K380/1000, 3)</f>
        <v/>
      </c>
      <c r="M380" s="8">
        <f>IF(AO380="","",IF(INDEX(Theo_Doi_Tan_Suat_Be_Tong!$C:$C,AO380)="","",INDEX(Theo_Doi_Tan_Suat_Be_Tong!$C:$C,AO380)-VLOOKUP(AN380,$AQ$2:$AR$7,2,FALSE)))</f>
        <v/>
      </c>
      <c r="N380" s="6" t="n"/>
      <c r="O380" s="24">
        <f>IF(ROUNDUP(U380/20,0)&gt;ROUNDUP(U379/20,0),"TN Ø20 (Lần " &amp; ROUNDUP(U380/20,0) &amp; ")","")</f>
        <v/>
      </c>
      <c r="P380" s="20">
        <f>ROUND(P379+IF(AND(E380&lt;=10,F380&lt;&gt;"ASTM A416"),L380,0),3)</f>
        <v/>
      </c>
      <c r="Q380" s="20">
        <f>ROUND(Q379+IF(AND(E380=12,F380&lt;&gt;"ASTM A416"),L380,0),3)</f>
        <v/>
      </c>
      <c r="R380" s="20">
        <f>ROUND(R379+IF(AND(E380=14,F380&lt;&gt;"ASTM A416"),L380,0),3)</f>
        <v/>
      </c>
      <c r="S380" s="20">
        <f>ROUND(S379+IF(AND(E380=16,F380&lt;&gt;"ASTM A416"),L380,0),3)</f>
        <v/>
      </c>
      <c r="T380" s="20">
        <f>ROUND(T379+IF(AND(E380=18,F380&lt;&gt;"ASTM A416"),L380,0),3)</f>
        <v/>
      </c>
      <c r="U380" s="20">
        <f>ROUND(U379+IF(AND(E380=20,F380&lt;&gt;"ASTM A416"),L380,0),3)</f>
        <v/>
      </c>
      <c r="V380" s="20">
        <f>ROUND(V379+IF(AND(E380=22,F380&lt;&gt;"ASTM A416"),L380,0),3)</f>
        <v/>
      </c>
      <c r="W380" s="20">
        <f>ROUND(W379+IF(AND(E380=25,F380&lt;&gt;"ASTM A416"),L380,0),3)</f>
        <v/>
      </c>
      <c r="X380" s="20">
        <f>ROUND(X379+IF(AND(E380=28,F380&lt;&gt;"ASTM A416"),L380,0),3)</f>
        <v/>
      </c>
      <c r="Y380" s="20">
        <f>ROUND(Y379+IF(AND(E380=32,F380&lt;&gt;"ASTM A416"),L380,0),3)</f>
        <v/>
      </c>
      <c r="Z380" s="20">
        <f>ROUND(Z379+IF(F380="ASTM A416",L380,0),3)</f>
        <v/>
      </c>
      <c r="AA380" s="11">
        <f>IF(ROUNDUP(P380/20,0)&gt;ROUNDUP(P379/20,0),"Lần " &amp; ROUNDUP(P380/20,0),"")</f>
        <v/>
      </c>
      <c r="AB380" s="11">
        <f>IF(ROUNDUP(Q380/20,0)&gt;ROUNDUP(Q379/20,0),"Lần " &amp; ROUNDUP(Q380/20,0),"")</f>
        <v/>
      </c>
      <c r="AC380" s="11">
        <f>IF(ROUNDUP(R380/20,0)&gt;ROUNDUP(R379/20,0),"Lần " &amp; ROUNDUP(R380/20,0),"")</f>
        <v/>
      </c>
      <c r="AD380" s="11">
        <f>IF(ROUNDUP(S380/20,0)&gt;ROUNDUP(S379/20,0),"Lần " &amp; ROUNDUP(S380/20,0),"")</f>
        <v/>
      </c>
      <c r="AE380" s="11">
        <f>IF(ROUNDUP(T380/20,0)&gt;ROUNDUP(T379/20,0),"Lần " &amp; ROUNDUP(T380/20,0),"")</f>
        <v/>
      </c>
      <c r="AF380" s="11">
        <f>IF(ROUNDUP(U380/20,0)&gt;ROUNDUP(U379/20,0),"Lần " &amp; ROUNDUP(U380/20,0),"")</f>
        <v/>
      </c>
      <c r="AG380" s="11">
        <f>IF(ROUNDUP(V380/20,0)&gt;ROUNDUP(V379/20,0),"Lần " &amp; ROUNDUP(V380/20,0),"")</f>
        <v/>
      </c>
      <c r="AH380" s="11">
        <f>IF(ROUNDUP(W380/20,0)&gt;ROUNDUP(W379/20,0),"Lần " &amp; ROUNDUP(W380/20,0),"")</f>
        <v/>
      </c>
      <c r="AI380" s="11">
        <f>IF(ROUNDUP(X380/20,0)&gt;ROUNDUP(X379/20,0),"Lần " &amp; ROUNDUP(X380/20,0),"")</f>
        <v/>
      </c>
      <c r="AJ380" s="11">
        <f>IF(ROUNDUP(Y380/20,0)&gt;ROUNDUP(Y379/20,0),"Lần " &amp; ROUNDUP(Y380/20,0),"")</f>
        <v/>
      </c>
      <c r="AK380" s="11">
        <f>IF(ROUNDUP(Z380/20,0)&gt;ROUNDUP(Z379/20,0),"Lần " &amp; ROUNDUP(Z380/20,0),"")</f>
        <v/>
      </c>
      <c r="AL380" s="6" t="n"/>
      <c r="AN380" t="inlineStr">
        <is>
          <t>HoanThien</t>
        </is>
      </c>
      <c r="AO380" t="n">
        <v>53</v>
      </c>
    </row>
    <row r="381" ht="19" customHeight="1">
      <c r="A381" s="6" t="n">
        <v>366</v>
      </c>
      <c r="B381" s="7" t="inlineStr">
        <is>
          <t>Gờ lan can BTCT</t>
        </is>
      </c>
      <c r="C381" s="7" t="inlineStr">
        <is>
          <t>Gờ lan can (tr.119)</t>
        </is>
      </c>
      <c r="D381" s="18" t="inlineStr">
        <is>
          <t>G7</t>
        </is>
      </c>
      <c r="E381" s="19" t="n">
        <v>14</v>
      </c>
      <c r="F381" s="6" t="inlineStr">
        <is>
          <t>CB400-V</t>
        </is>
      </c>
      <c r="G381" s="7" t="inlineStr">
        <is>
          <t>S29</t>
        </is>
      </c>
      <c r="H381" s="20" t="n">
        <v>1.371</v>
      </c>
      <c r="I381" s="21" t="n">
        <v>779</v>
      </c>
      <c r="J381" s="22" t="n">
        <v>1.208</v>
      </c>
      <c r="K381" s="9">
        <f>ROUND(H381*I381*J381, 2)</f>
        <v/>
      </c>
      <c r="L381" s="23">
        <f>ROUND(K381/1000, 3)</f>
        <v/>
      </c>
      <c r="M381" s="8">
        <f>IF(AO381="","",IF(INDEX(Theo_Doi_Tan_Suat_Be_Tong!$C:$C,AO381)="","",INDEX(Theo_Doi_Tan_Suat_Be_Tong!$C:$C,AO381)-VLOOKUP(AN381,$AQ$2:$AR$7,2,FALSE)))</f>
        <v/>
      </c>
      <c r="N381" s="6" t="n"/>
      <c r="O381" s="24">
        <f>IF(ROUNDUP(R381/20,0)&gt;ROUNDUP(R380/20,0),"TN Ø14 (Lần " &amp; ROUNDUP(R381/20,0) &amp; ")","")</f>
        <v/>
      </c>
      <c r="P381" s="20">
        <f>ROUND(P380+IF(AND(E381&lt;=10,F381&lt;&gt;"ASTM A416"),L381,0),3)</f>
        <v/>
      </c>
      <c r="Q381" s="20">
        <f>ROUND(Q380+IF(AND(E381=12,F381&lt;&gt;"ASTM A416"),L381,0),3)</f>
        <v/>
      </c>
      <c r="R381" s="20">
        <f>ROUND(R380+IF(AND(E381=14,F381&lt;&gt;"ASTM A416"),L381,0),3)</f>
        <v/>
      </c>
      <c r="S381" s="20">
        <f>ROUND(S380+IF(AND(E381=16,F381&lt;&gt;"ASTM A416"),L381,0),3)</f>
        <v/>
      </c>
      <c r="T381" s="20">
        <f>ROUND(T380+IF(AND(E381=18,F381&lt;&gt;"ASTM A416"),L381,0),3)</f>
        <v/>
      </c>
      <c r="U381" s="20">
        <f>ROUND(U380+IF(AND(E381=20,F381&lt;&gt;"ASTM A416"),L381,0),3)</f>
        <v/>
      </c>
      <c r="V381" s="20">
        <f>ROUND(V380+IF(AND(E381=22,F381&lt;&gt;"ASTM A416"),L381,0),3)</f>
        <v/>
      </c>
      <c r="W381" s="20">
        <f>ROUND(W380+IF(AND(E381=25,F381&lt;&gt;"ASTM A416"),L381,0),3)</f>
        <v/>
      </c>
      <c r="X381" s="20">
        <f>ROUND(X380+IF(AND(E381=28,F381&lt;&gt;"ASTM A416"),L381,0),3)</f>
        <v/>
      </c>
      <c r="Y381" s="20">
        <f>ROUND(Y380+IF(AND(E381=32,F381&lt;&gt;"ASTM A416"),L381,0),3)</f>
        <v/>
      </c>
      <c r="Z381" s="20">
        <f>ROUND(Z380+IF(F381="ASTM A416",L381,0),3)</f>
        <v/>
      </c>
      <c r="AA381" s="11">
        <f>IF(ROUNDUP(P381/20,0)&gt;ROUNDUP(P380/20,0),"Lần " &amp; ROUNDUP(P381/20,0),"")</f>
        <v/>
      </c>
      <c r="AB381" s="11">
        <f>IF(ROUNDUP(Q381/20,0)&gt;ROUNDUP(Q380/20,0),"Lần " &amp; ROUNDUP(Q381/20,0),"")</f>
        <v/>
      </c>
      <c r="AC381" s="11">
        <f>IF(ROUNDUP(R381/20,0)&gt;ROUNDUP(R380/20,0),"Lần " &amp; ROUNDUP(R381/20,0),"")</f>
        <v/>
      </c>
      <c r="AD381" s="11">
        <f>IF(ROUNDUP(S381/20,0)&gt;ROUNDUP(S380/20,0),"Lần " &amp; ROUNDUP(S381/20,0),"")</f>
        <v/>
      </c>
      <c r="AE381" s="11">
        <f>IF(ROUNDUP(T381/20,0)&gt;ROUNDUP(T380/20,0),"Lần " &amp; ROUNDUP(T381/20,0),"")</f>
        <v/>
      </c>
      <c r="AF381" s="11">
        <f>IF(ROUNDUP(U381/20,0)&gt;ROUNDUP(U380/20,0),"Lần " &amp; ROUNDUP(U381/20,0),"")</f>
        <v/>
      </c>
      <c r="AG381" s="11">
        <f>IF(ROUNDUP(V381/20,0)&gt;ROUNDUP(V380/20,0),"Lần " &amp; ROUNDUP(V381/20,0),"")</f>
        <v/>
      </c>
      <c r="AH381" s="11">
        <f>IF(ROUNDUP(W381/20,0)&gt;ROUNDUP(W380/20,0),"Lần " &amp; ROUNDUP(W381/20,0),"")</f>
        <v/>
      </c>
      <c r="AI381" s="11">
        <f>IF(ROUNDUP(X381/20,0)&gt;ROUNDUP(X380/20,0),"Lần " &amp; ROUNDUP(X381/20,0),"")</f>
        <v/>
      </c>
      <c r="AJ381" s="11">
        <f>IF(ROUNDUP(Y381/20,0)&gt;ROUNDUP(Y380/20,0),"Lần " &amp; ROUNDUP(Y381/20,0),"")</f>
        <v/>
      </c>
      <c r="AK381" s="11">
        <f>IF(ROUNDUP(Z381/20,0)&gt;ROUNDUP(Z380/20,0),"Lần " &amp; ROUNDUP(Z381/20,0),"")</f>
        <v/>
      </c>
      <c r="AL381" s="6" t="n"/>
      <c r="AN381" t="inlineStr">
        <is>
          <t>HoanThien</t>
        </is>
      </c>
      <c r="AO381" t="n">
        <v>53</v>
      </c>
    </row>
    <row r="382" ht="19" customHeight="1">
      <c r="A382" s="6" t="n">
        <v>367</v>
      </c>
      <c r="B382" s="7" t="inlineStr">
        <is>
          <t>Gờ lan can BTCT</t>
        </is>
      </c>
      <c r="C382" s="7" t="inlineStr">
        <is>
          <t>Gờ lan can (tr.119)</t>
        </is>
      </c>
      <c r="D382" s="18" t="inlineStr">
        <is>
          <t>G7A</t>
        </is>
      </c>
      <c r="E382" s="19" t="n">
        <v>20</v>
      </c>
      <c r="F382" s="6" t="inlineStr">
        <is>
          <t>CB400-V</t>
        </is>
      </c>
      <c r="G382" s="7" t="inlineStr">
        <is>
          <t>S05</t>
        </is>
      </c>
      <c r="H382" s="20" t="n">
        <v>1.182</v>
      </c>
      <c r="I382" s="21" t="n">
        <v>779</v>
      </c>
      <c r="J382" s="22" t="n">
        <v>2.466</v>
      </c>
      <c r="K382" s="9">
        <f>ROUND(H382*I382*J382, 2)</f>
        <v/>
      </c>
      <c r="L382" s="23">
        <f>ROUND(K382/1000, 3)</f>
        <v/>
      </c>
      <c r="M382" s="8">
        <f>IF(AO382="","",IF(INDEX(Theo_Doi_Tan_Suat_Be_Tong!$C:$C,AO382)="","",INDEX(Theo_Doi_Tan_Suat_Be_Tong!$C:$C,AO382)-VLOOKUP(AN382,$AQ$2:$AR$7,2,FALSE)))</f>
        <v/>
      </c>
      <c r="N382" s="6" t="n"/>
      <c r="O382" s="24">
        <f>IF(ROUNDUP(U382/20,0)&gt;ROUNDUP(U381/20,0),"TN Ø20 (Lần " &amp; ROUNDUP(U382/20,0) &amp; ")","")</f>
        <v/>
      </c>
      <c r="P382" s="20">
        <f>ROUND(P381+IF(AND(E382&lt;=10,F382&lt;&gt;"ASTM A416"),L382,0),3)</f>
        <v/>
      </c>
      <c r="Q382" s="20">
        <f>ROUND(Q381+IF(AND(E382=12,F382&lt;&gt;"ASTM A416"),L382,0),3)</f>
        <v/>
      </c>
      <c r="R382" s="20">
        <f>ROUND(R381+IF(AND(E382=14,F382&lt;&gt;"ASTM A416"),L382,0),3)</f>
        <v/>
      </c>
      <c r="S382" s="20">
        <f>ROUND(S381+IF(AND(E382=16,F382&lt;&gt;"ASTM A416"),L382,0),3)</f>
        <v/>
      </c>
      <c r="T382" s="20">
        <f>ROUND(T381+IF(AND(E382=18,F382&lt;&gt;"ASTM A416"),L382,0),3)</f>
        <v/>
      </c>
      <c r="U382" s="20">
        <f>ROUND(U381+IF(AND(E382=20,F382&lt;&gt;"ASTM A416"),L382,0),3)</f>
        <v/>
      </c>
      <c r="V382" s="20">
        <f>ROUND(V381+IF(AND(E382=22,F382&lt;&gt;"ASTM A416"),L382,0),3)</f>
        <v/>
      </c>
      <c r="W382" s="20">
        <f>ROUND(W381+IF(AND(E382=25,F382&lt;&gt;"ASTM A416"),L382,0),3)</f>
        <v/>
      </c>
      <c r="X382" s="20">
        <f>ROUND(X381+IF(AND(E382=28,F382&lt;&gt;"ASTM A416"),L382,0),3)</f>
        <v/>
      </c>
      <c r="Y382" s="20">
        <f>ROUND(Y381+IF(AND(E382=32,F382&lt;&gt;"ASTM A416"),L382,0),3)</f>
        <v/>
      </c>
      <c r="Z382" s="20">
        <f>ROUND(Z381+IF(F382="ASTM A416",L382,0),3)</f>
        <v/>
      </c>
      <c r="AA382" s="11">
        <f>IF(ROUNDUP(P382/20,0)&gt;ROUNDUP(P381/20,0),"Lần " &amp; ROUNDUP(P382/20,0),"")</f>
        <v/>
      </c>
      <c r="AB382" s="11">
        <f>IF(ROUNDUP(Q382/20,0)&gt;ROUNDUP(Q381/20,0),"Lần " &amp; ROUNDUP(Q382/20,0),"")</f>
        <v/>
      </c>
      <c r="AC382" s="11">
        <f>IF(ROUNDUP(R382/20,0)&gt;ROUNDUP(R381/20,0),"Lần " &amp; ROUNDUP(R382/20,0),"")</f>
        <v/>
      </c>
      <c r="AD382" s="11">
        <f>IF(ROUNDUP(S382/20,0)&gt;ROUNDUP(S381/20,0),"Lần " &amp; ROUNDUP(S382/20,0),"")</f>
        <v/>
      </c>
      <c r="AE382" s="11">
        <f>IF(ROUNDUP(T382/20,0)&gt;ROUNDUP(T381/20,0),"Lần " &amp; ROUNDUP(T382/20,0),"")</f>
        <v/>
      </c>
      <c r="AF382" s="11">
        <f>IF(ROUNDUP(U382/20,0)&gt;ROUNDUP(U381/20,0),"Lần " &amp; ROUNDUP(U382/20,0),"")</f>
        <v/>
      </c>
      <c r="AG382" s="11">
        <f>IF(ROUNDUP(V382/20,0)&gt;ROUNDUP(V381/20,0),"Lần " &amp; ROUNDUP(V382/20,0),"")</f>
        <v/>
      </c>
      <c r="AH382" s="11">
        <f>IF(ROUNDUP(W382/20,0)&gt;ROUNDUP(W381/20,0),"Lần " &amp; ROUNDUP(W382/20,0),"")</f>
        <v/>
      </c>
      <c r="AI382" s="11">
        <f>IF(ROUNDUP(X382/20,0)&gt;ROUNDUP(X381/20,0),"Lần " &amp; ROUNDUP(X382/20,0),"")</f>
        <v/>
      </c>
      <c r="AJ382" s="11">
        <f>IF(ROUNDUP(Y382/20,0)&gt;ROUNDUP(Y381/20,0),"Lần " &amp; ROUNDUP(Y382/20,0),"")</f>
        <v/>
      </c>
      <c r="AK382" s="11">
        <f>IF(ROUNDUP(Z382/20,0)&gt;ROUNDUP(Z381/20,0),"Lần " &amp; ROUNDUP(Z382/20,0),"")</f>
        <v/>
      </c>
      <c r="AL382" s="6" t="n"/>
      <c r="AN382" t="inlineStr">
        <is>
          <t>HoanThien</t>
        </is>
      </c>
      <c r="AO382" t="n">
        <v>53</v>
      </c>
    </row>
    <row r="383" ht="19" customHeight="1">
      <c r="A383" s="6" t="n">
        <v>368</v>
      </c>
      <c r="B383" s="7" t="inlineStr">
        <is>
          <t>Gờ lan can BTCT</t>
        </is>
      </c>
      <c r="C383" s="7" t="inlineStr">
        <is>
          <t>Gờ lan can (tr.119)</t>
        </is>
      </c>
      <c r="D383" s="18" t="inlineStr">
        <is>
          <t>G8A</t>
        </is>
      </c>
      <c r="E383" s="19" t="n">
        <v>12</v>
      </c>
      <c r="F383" s="6" t="inlineStr">
        <is>
          <t>CB400-V</t>
        </is>
      </c>
      <c r="G383" s="7" t="inlineStr">
        <is>
          <t>S06</t>
        </is>
      </c>
      <c r="H383" s="20" t="n">
        <v>0.26</v>
      </c>
      <c r="I383" s="21" t="n">
        <v>247</v>
      </c>
      <c r="J383" s="22" t="n">
        <v>0.888</v>
      </c>
      <c r="K383" s="9">
        <f>ROUND(H383*I383*J383, 2)</f>
        <v/>
      </c>
      <c r="L383" s="23">
        <f>ROUND(K383/1000, 3)</f>
        <v/>
      </c>
      <c r="M383" s="8">
        <f>IF(AO383="","",IF(INDEX(Theo_Doi_Tan_Suat_Be_Tong!$C:$C,AO383)="","",INDEX(Theo_Doi_Tan_Suat_Be_Tong!$C:$C,AO383)-VLOOKUP(AN383,$AQ$2:$AR$7,2,FALSE)))</f>
        <v/>
      </c>
      <c r="N383" s="6" t="n"/>
      <c r="O383" s="24">
        <f>IF(ROUNDUP(Q383/20,0)&gt;ROUNDUP(Q382/20,0),"TN Ø12 (Lần " &amp; ROUNDUP(Q383/20,0) &amp; ")","")</f>
        <v/>
      </c>
      <c r="P383" s="20">
        <f>ROUND(P382+IF(AND(E383&lt;=10,F383&lt;&gt;"ASTM A416"),L383,0),3)</f>
        <v/>
      </c>
      <c r="Q383" s="20">
        <f>ROUND(Q382+IF(AND(E383=12,F383&lt;&gt;"ASTM A416"),L383,0),3)</f>
        <v/>
      </c>
      <c r="R383" s="20">
        <f>ROUND(R382+IF(AND(E383=14,F383&lt;&gt;"ASTM A416"),L383,0),3)</f>
        <v/>
      </c>
      <c r="S383" s="20">
        <f>ROUND(S382+IF(AND(E383=16,F383&lt;&gt;"ASTM A416"),L383,0),3)</f>
        <v/>
      </c>
      <c r="T383" s="20">
        <f>ROUND(T382+IF(AND(E383=18,F383&lt;&gt;"ASTM A416"),L383,0),3)</f>
        <v/>
      </c>
      <c r="U383" s="20">
        <f>ROUND(U382+IF(AND(E383=20,F383&lt;&gt;"ASTM A416"),L383,0),3)</f>
        <v/>
      </c>
      <c r="V383" s="20">
        <f>ROUND(V382+IF(AND(E383=22,F383&lt;&gt;"ASTM A416"),L383,0),3)</f>
        <v/>
      </c>
      <c r="W383" s="20">
        <f>ROUND(W382+IF(AND(E383=25,F383&lt;&gt;"ASTM A416"),L383,0),3)</f>
        <v/>
      </c>
      <c r="X383" s="20">
        <f>ROUND(X382+IF(AND(E383=28,F383&lt;&gt;"ASTM A416"),L383,0),3)</f>
        <v/>
      </c>
      <c r="Y383" s="20">
        <f>ROUND(Y382+IF(AND(E383=32,F383&lt;&gt;"ASTM A416"),L383,0),3)</f>
        <v/>
      </c>
      <c r="Z383" s="20">
        <f>ROUND(Z382+IF(F383="ASTM A416",L383,0),3)</f>
        <v/>
      </c>
      <c r="AA383" s="11">
        <f>IF(ROUNDUP(P383/20,0)&gt;ROUNDUP(P382/20,0),"Lần " &amp; ROUNDUP(P383/20,0),"")</f>
        <v/>
      </c>
      <c r="AB383" s="11">
        <f>IF(ROUNDUP(Q383/20,0)&gt;ROUNDUP(Q382/20,0),"Lần " &amp; ROUNDUP(Q383/20,0),"")</f>
        <v/>
      </c>
      <c r="AC383" s="11">
        <f>IF(ROUNDUP(R383/20,0)&gt;ROUNDUP(R382/20,0),"Lần " &amp; ROUNDUP(R383/20,0),"")</f>
        <v/>
      </c>
      <c r="AD383" s="11">
        <f>IF(ROUNDUP(S383/20,0)&gt;ROUNDUP(S382/20,0),"Lần " &amp; ROUNDUP(S383/20,0),"")</f>
        <v/>
      </c>
      <c r="AE383" s="11">
        <f>IF(ROUNDUP(T383/20,0)&gt;ROUNDUP(T382/20,0),"Lần " &amp; ROUNDUP(T383/20,0),"")</f>
        <v/>
      </c>
      <c r="AF383" s="11">
        <f>IF(ROUNDUP(U383/20,0)&gt;ROUNDUP(U382/20,0),"Lần " &amp; ROUNDUP(U383/20,0),"")</f>
        <v/>
      </c>
      <c r="AG383" s="11">
        <f>IF(ROUNDUP(V383/20,0)&gt;ROUNDUP(V382/20,0),"Lần " &amp; ROUNDUP(V383/20,0),"")</f>
        <v/>
      </c>
      <c r="AH383" s="11">
        <f>IF(ROUNDUP(W383/20,0)&gt;ROUNDUP(W382/20,0),"Lần " &amp; ROUNDUP(W383/20,0),"")</f>
        <v/>
      </c>
      <c r="AI383" s="11">
        <f>IF(ROUNDUP(X383/20,0)&gt;ROUNDUP(X382/20,0),"Lần " &amp; ROUNDUP(X383/20,0),"")</f>
        <v/>
      </c>
      <c r="AJ383" s="11">
        <f>IF(ROUNDUP(Y383/20,0)&gt;ROUNDUP(Y382/20,0),"Lần " &amp; ROUNDUP(Y383/20,0),"")</f>
        <v/>
      </c>
      <c r="AK383" s="11">
        <f>IF(ROUNDUP(Z383/20,0)&gt;ROUNDUP(Z382/20,0),"Lần " &amp; ROUNDUP(Z383/20,0),"")</f>
        <v/>
      </c>
      <c r="AL383" s="6" t="n"/>
      <c r="AN383" t="inlineStr">
        <is>
          <t>HoanThien</t>
        </is>
      </c>
      <c r="AO383" t="n">
        <v>53</v>
      </c>
    </row>
    <row r="384" ht="19" customHeight="1">
      <c r="A384" s="6" t="n">
        <v>369</v>
      </c>
      <c r="B384" s="7" t="inlineStr">
        <is>
          <t>Gờ lan can BTCT</t>
        </is>
      </c>
      <c r="C384" s="7" t="inlineStr">
        <is>
          <t>Gờ lan can (tr.119)</t>
        </is>
      </c>
      <c r="D384" s="18" t="inlineStr">
        <is>
          <t>G8B</t>
        </is>
      </c>
      <c r="E384" s="19" t="n">
        <v>12</v>
      </c>
      <c r="F384" s="6" t="inlineStr">
        <is>
          <t>CB400-V</t>
        </is>
      </c>
      <c r="G384" s="7" t="inlineStr">
        <is>
          <t>S06</t>
        </is>
      </c>
      <c r="H384" s="20" t="n">
        <v>0.306</v>
      </c>
      <c r="I384" s="21" t="n">
        <v>247</v>
      </c>
      <c r="J384" s="22" t="n">
        <v>0.888</v>
      </c>
      <c r="K384" s="9">
        <f>ROUND(H384*I384*J384, 2)</f>
        <v/>
      </c>
      <c r="L384" s="23">
        <f>ROUND(K384/1000, 3)</f>
        <v/>
      </c>
      <c r="M384" s="8">
        <f>IF(AO384="","",IF(INDEX(Theo_Doi_Tan_Suat_Be_Tong!$C:$C,AO384)="","",INDEX(Theo_Doi_Tan_Suat_Be_Tong!$C:$C,AO384)-VLOOKUP(AN384,$AQ$2:$AR$7,2,FALSE)))</f>
        <v/>
      </c>
      <c r="N384" s="6" t="n"/>
      <c r="O384" s="24">
        <f>IF(ROUNDUP(Q384/20,0)&gt;ROUNDUP(Q383/20,0),"TN Ø12 (Lần " &amp; ROUNDUP(Q384/20,0) &amp; ")","")</f>
        <v/>
      </c>
      <c r="P384" s="20">
        <f>ROUND(P383+IF(AND(E384&lt;=10,F384&lt;&gt;"ASTM A416"),L384,0),3)</f>
        <v/>
      </c>
      <c r="Q384" s="20">
        <f>ROUND(Q383+IF(AND(E384=12,F384&lt;&gt;"ASTM A416"),L384,0),3)</f>
        <v/>
      </c>
      <c r="R384" s="20">
        <f>ROUND(R383+IF(AND(E384=14,F384&lt;&gt;"ASTM A416"),L384,0),3)</f>
        <v/>
      </c>
      <c r="S384" s="20">
        <f>ROUND(S383+IF(AND(E384=16,F384&lt;&gt;"ASTM A416"),L384,0),3)</f>
        <v/>
      </c>
      <c r="T384" s="20">
        <f>ROUND(T383+IF(AND(E384=18,F384&lt;&gt;"ASTM A416"),L384,0),3)</f>
        <v/>
      </c>
      <c r="U384" s="20">
        <f>ROUND(U383+IF(AND(E384=20,F384&lt;&gt;"ASTM A416"),L384,0),3)</f>
        <v/>
      </c>
      <c r="V384" s="20">
        <f>ROUND(V383+IF(AND(E384=22,F384&lt;&gt;"ASTM A416"),L384,0),3)</f>
        <v/>
      </c>
      <c r="W384" s="20">
        <f>ROUND(W383+IF(AND(E384=25,F384&lt;&gt;"ASTM A416"),L384,0),3)</f>
        <v/>
      </c>
      <c r="X384" s="20">
        <f>ROUND(X383+IF(AND(E384=28,F384&lt;&gt;"ASTM A416"),L384,0),3)</f>
        <v/>
      </c>
      <c r="Y384" s="20">
        <f>ROUND(Y383+IF(AND(E384=32,F384&lt;&gt;"ASTM A416"),L384,0),3)</f>
        <v/>
      </c>
      <c r="Z384" s="20">
        <f>ROUND(Z383+IF(F384="ASTM A416",L384,0),3)</f>
        <v/>
      </c>
      <c r="AA384" s="11">
        <f>IF(ROUNDUP(P384/20,0)&gt;ROUNDUP(P383/20,0),"Lần " &amp; ROUNDUP(P384/20,0),"")</f>
        <v/>
      </c>
      <c r="AB384" s="11">
        <f>IF(ROUNDUP(Q384/20,0)&gt;ROUNDUP(Q383/20,0),"Lần " &amp; ROUNDUP(Q384/20,0),"")</f>
        <v/>
      </c>
      <c r="AC384" s="11">
        <f>IF(ROUNDUP(R384/20,0)&gt;ROUNDUP(R383/20,0),"Lần " &amp; ROUNDUP(R384/20,0),"")</f>
        <v/>
      </c>
      <c r="AD384" s="11">
        <f>IF(ROUNDUP(S384/20,0)&gt;ROUNDUP(S383/20,0),"Lần " &amp; ROUNDUP(S384/20,0),"")</f>
        <v/>
      </c>
      <c r="AE384" s="11">
        <f>IF(ROUNDUP(T384/20,0)&gt;ROUNDUP(T383/20,0),"Lần " &amp; ROUNDUP(T384/20,0),"")</f>
        <v/>
      </c>
      <c r="AF384" s="11">
        <f>IF(ROUNDUP(U384/20,0)&gt;ROUNDUP(U383/20,0),"Lần " &amp; ROUNDUP(U384/20,0),"")</f>
        <v/>
      </c>
      <c r="AG384" s="11">
        <f>IF(ROUNDUP(V384/20,0)&gt;ROUNDUP(V383/20,0),"Lần " &amp; ROUNDUP(V384/20,0),"")</f>
        <v/>
      </c>
      <c r="AH384" s="11">
        <f>IF(ROUNDUP(W384/20,0)&gt;ROUNDUP(W383/20,0),"Lần " &amp; ROUNDUP(W384/20,0),"")</f>
        <v/>
      </c>
      <c r="AI384" s="11">
        <f>IF(ROUNDUP(X384/20,0)&gt;ROUNDUP(X383/20,0),"Lần " &amp; ROUNDUP(X384/20,0),"")</f>
        <v/>
      </c>
      <c r="AJ384" s="11">
        <f>IF(ROUNDUP(Y384/20,0)&gt;ROUNDUP(Y383/20,0),"Lần " &amp; ROUNDUP(Y384/20,0),"")</f>
        <v/>
      </c>
      <c r="AK384" s="11">
        <f>IF(ROUNDUP(Z384/20,0)&gt;ROUNDUP(Z383/20,0),"Lần " &amp; ROUNDUP(Z384/20,0),"")</f>
        <v/>
      </c>
      <c r="AL384" s="6" t="n"/>
      <c r="AN384" t="inlineStr">
        <is>
          <t>HoanThien</t>
        </is>
      </c>
      <c r="AO384" t="n">
        <v>53</v>
      </c>
    </row>
    <row r="385" ht="19" customHeight="1">
      <c r="A385" s="6" t="n">
        <v>370</v>
      </c>
      <c r="B385" s="7" t="inlineStr">
        <is>
          <t>Gờ lan can BTCT</t>
        </is>
      </c>
      <c r="C385" s="7" t="inlineStr">
        <is>
          <t>Gờ lan can (tr.119)</t>
        </is>
      </c>
      <c r="D385" s="18" t="inlineStr">
        <is>
          <t>G8C</t>
        </is>
      </c>
      <c r="E385" s="19" t="n">
        <v>12</v>
      </c>
      <c r="F385" s="6" t="inlineStr">
        <is>
          <t>CB400-V</t>
        </is>
      </c>
      <c r="G385" s="7" t="inlineStr">
        <is>
          <t>S06</t>
        </is>
      </c>
      <c r="H385" s="20" t="n">
        <v>0.417</v>
      </c>
      <c r="I385" s="21" t="n">
        <v>247</v>
      </c>
      <c r="J385" s="22" t="n">
        <v>0.888</v>
      </c>
      <c r="K385" s="9">
        <f>ROUND(H385*I385*J385, 2)</f>
        <v/>
      </c>
      <c r="L385" s="23">
        <f>ROUND(K385/1000, 3)</f>
        <v/>
      </c>
      <c r="M385" s="8">
        <f>IF(AO385="","",IF(INDEX(Theo_Doi_Tan_Suat_Be_Tong!$C:$C,AO385)="","",INDEX(Theo_Doi_Tan_Suat_Be_Tong!$C:$C,AO385)-VLOOKUP(AN385,$AQ$2:$AR$7,2,FALSE)))</f>
        <v/>
      </c>
      <c r="N385" s="6" t="n"/>
      <c r="O385" s="24">
        <f>IF(ROUNDUP(Q385/20,0)&gt;ROUNDUP(Q384/20,0),"TN Ø12 (Lần " &amp; ROUNDUP(Q385/20,0) &amp; ")","")</f>
        <v/>
      </c>
      <c r="P385" s="20">
        <f>ROUND(P384+IF(AND(E385&lt;=10,F385&lt;&gt;"ASTM A416"),L385,0),3)</f>
        <v/>
      </c>
      <c r="Q385" s="20">
        <f>ROUND(Q384+IF(AND(E385=12,F385&lt;&gt;"ASTM A416"),L385,0),3)</f>
        <v/>
      </c>
      <c r="R385" s="20">
        <f>ROUND(R384+IF(AND(E385=14,F385&lt;&gt;"ASTM A416"),L385,0),3)</f>
        <v/>
      </c>
      <c r="S385" s="20">
        <f>ROUND(S384+IF(AND(E385=16,F385&lt;&gt;"ASTM A416"),L385,0),3)</f>
        <v/>
      </c>
      <c r="T385" s="20">
        <f>ROUND(T384+IF(AND(E385=18,F385&lt;&gt;"ASTM A416"),L385,0),3)</f>
        <v/>
      </c>
      <c r="U385" s="20">
        <f>ROUND(U384+IF(AND(E385=20,F385&lt;&gt;"ASTM A416"),L385,0),3)</f>
        <v/>
      </c>
      <c r="V385" s="20">
        <f>ROUND(V384+IF(AND(E385=22,F385&lt;&gt;"ASTM A416"),L385,0),3)</f>
        <v/>
      </c>
      <c r="W385" s="20">
        <f>ROUND(W384+IF(AND(E385=25,F385&lt;&gt;"ASTM A416"),L385,0),3)</f>
        <v/>
      </c>
      <c r="X385" s="20">
        <f>ROUND(X384+IF(AND(E385=28,F385&lt;&gt;"ASTM A416"),L385,0),3)</f>
        <v/>
      </c>
      <c r="Y385" s="20">
        <f>ROUND(Y384+IF(AND(E385=32,F385&lt;&gt;"ASTM A416"),L385,0),3)</f>
        <v/>
      </c>
      <c r="Z385" s="20">
        <f>ROUND(Z384+IF(F385="ASTM A416",L385,0),3)</f>
        <v/>
      </c>
      <c r="AA385" s="11">
        <f>IF(ROUNDUP(P385/20,0)&gt;ROUNDUP(P384/20,0),"Lần " &amp; ROUNDUP(P385/20,0),"")</f>
        <v/>
      </c>
      <c r="AB385" s="11">
        <f>IF(ROUNDUP(Q385/20,0)&gt;ROUNDUP(Q384/20,0),"Lần " &amp; ROUNDUP(Q385/20,0),"")</f>
        <v/>
      </c>
      <c r="AC385" s="11">
        <f>IF(ROUNDUP(R385/20,0)&gt;ROUNDUP(R384/20,0),"Lần " &amp; ROUNDUP(R385/20,0),"")</f>
        <v/>
      </c>
      <c r="AD385" s="11">
        <f>IF(ROUNDUP(S385/20,0)&gt;ROUNDUP(S384/20,0),"Lần " &amp; ROUNDUP(S385/20,0),"")</f>
        <v/>
      </c>
      <c r="AE385" s="11">
        <f>IF(ROUNDUP(T385/20,0)&gt;ROUNDUP(T384/20,0),"Lần " &amp; ROUNDUP(T385/20,0),"")</f>
        <v/>
      </c>
      <c r="AF385" s="11">
        <f>IF(ROUNDUP(U385/20,0)&gt;ROUNDUP(U384/20,0),"Lần " &amp; ROUNDUP(U385/20,0),"")</f>
        <v/>
      </c>
      <c r="AG385" s="11">
        <f>IF(ROUNDUP(V385/20,0)&gt;ROUNDUP(V384/20,0),"Lần " &amp; ROUNDUP(V385/20,0),"")</f>
        <v/>
      </c>
      <c r="AH385" s="11">
        <f>IF(ROUNDUP(W385/20,0)&gt;ROUNDUP(W384/20,0),"Lần " &amp; ROUNDUP(W385/20,0),"")</f>
        <v/>
      </c>
      <c r="AI385" s="11">
        <f>IF(ROUNDUP(X385/20,0)&gt;ROUNDUP(X384/20,0),"Lần " &amp; ROUNDUP(X385/20,0),"")</f>
        <v/>
      </c>
      <c r="AJ385" s="11">
        <f>IF(ROUNDUP(Y385/20,0)&gt;ROUNDUP(Y384/20,0),"Lần " &amp; ROUNDUP(Y385/20,0),"")</f>
        <v/>
      </c>
      <c r="AK385" s="11">
        <f>IF(ROUNDUP(Z385/20,0)&gt;ROUNDUP(Z384/20,0),"Lần " &amp; ROUNDUP(Z385/20,0),"")</f>
        <v/>
      </c>
      <c r="AL385" s="6" t="n"/>
      <c r="AN385" t="inlineStr">
        <is>
          <t>HoanThien</t>
        </is>
      </c>
      <c r="AO385" t="n">
        <v>53</v>
      </c>
    </row>
    <row r="386" ht="19" customHeight="1">
      <c r="A386" s="6" t="n">
        <v>371</v>
      </c>
      <c r="B386" s="7" t="inlineStr">
        <is>
          <t>Gờ lan can BTCT</t>
        </is>
      </c>
      <c r="C386" s="7" t="inlineStr">
        <is>
          <t>Gờ lan can (tr.119)</t>
        </is>
      </c>
      <c r="D386" s="18" t="inlineStr">
        <is>
          <t>G5A</t>
        </is>
      </c>
      <c r="E386" s="19" t="n">
        <v>14</v>
      </c>
      <c r="F386" s="6" t="inlineStr">
        <is>
          <t>CB400-V</t>
        </is>
      </c>
      <c r="G386" s="7" t="inlineStr">
        <is>
          <t>S01</t>
        </is>
      </c>
      <c r="H386" s="20" t="n">
        <v>4.12</v>
      </c>
      <c r="I386" s="21" t="n">
        <v>19</v>
      </c>
      <c r="J386" s="22" t="n">
        <v>1.208</v>
      </c>
      <c r="K386" s="9">
        <f>ROUND(H386*I386*J386, 2)</f>
        <v/>
      </c>
      <c r="L386" s="23">
        <f>ROUND(K386/1000, 3)</f>
        <v/>
      </c>
      <c r="M386" s="8">
        <f>IF(AO386="","",IF(INDEX(Theo_Doi_Tan_Suat_Be_Tong!$C:$C,AO386)="","",INDEX(Theo_Doi_Tan_Suat_Be_Tong!$C:$C,AO386)-VLOOKUP(AN386,$AQ$2:$AR$7,2,FALSE)))</f>
        <v/>
      </c>
      <c r="N386" s="6" t="n"/>
      <c r="O386" s="24">
        <f>IF(ROUNDUP(R386/20,0)&gt;ROUNDUP(R385/20,0),"TN Ø14 (Lần " &amp; ROUNDUP(R386/20,0) &amp; ")","")</f>
        <v/>
      </c>
      <c r="P386" s="20">
        <f>ROUND(P385+IF(AND(E386&lt;=10,F386&lt;&gt;"ASTM A416"),L386,0),3)</f>
        <v/>
      </c>
      <c r="Q386" s="20">
        <f>ROUND(Q385+IF(AND(E386=12,F386&lt;&gt;"ASTM A416"),L386,0),3)</f>
        <v/>
      </c>
      <c r="R386" s="20">
        <f>ROUND(R385+IF(AND(E386=14,F386&lt;&gt;"ASTM A416"),L386,0),3)</f>
        <v/>
      </c>
      <c r="S386" s="20">
        <f>ROUND(S385+IF(AND(E386=16,F386&lt;&gt;"ASTM A416"),L386,0),3)</f>
        <v/>
      </c>
      <c r="T386" s="20">
        <f>ROUND(T385+IF(AND(E386=18,F386&lt;&gt;"ASTM A416"),L386,0),3)</f>
        <v/>
      </c>
      <c r="U386" s="20">
        <f>ROUND(U385+IF(AND(E386=20,F386&lt;&gt;"ASTM A416"),L386,0),3)</f>
        <v/>
      </c>
      <c r="V386" s="20">
        <f>ROUND(V385+IF(AND(E386=22,F386&lt;&gt;"ASTM A416"),L386,0),3)</f>
        <v/>
      </c>
      <c r="W386" s="20">
        <f>ROUND(W385+IF(AND(E386=25,F386&lt;&gt;"ASTM A416"),L386,0),3)</f>
        <v/>
      </c>
      <c r="X386" s="20">
        <f>ROUND(X385+IF(AND(E386=28,F386&lt;&gt;"ASTM A416"),L386,0),3)</f>
        <v/>
      </c>
      <c r="Y386" s="20">
        <f>ROUND(Y385+IF(AND(E386=32,F386&lt;&gt;"ASTM A416"),L386,0),3)</f>
        <v/>
      </c>
      <c r="Z386" s="20">
        <f>ROUND(Z385+IF(F386="ASTM A416",L386,0),3)</f>
        <v/>
      </c>
      <c r="AA386" s="11">
        <f>IF(ROUNDUP(P386/20,0)&gt;ROUNDUP(P385/20,0),"Lần " &amp; ROUNDUP(P386/20,0),"")</f>
        <v/>
      </c>
      <c r="AB386" s="11">
        <f>IF(ROUNDUP(Q386/20,0)&gt;ROUNDUP(Q385/20,0),"Lần " &amp; ROUNDUP(Q386/20,0),"")</f>
        <v/>
      </c>
      <c r="AC386" s="11">
        <f>IF(ROUNDUP(R386/20,0)&gt;ROUNDUP(R385/20,0),"Lần " &amp; ROUNDUP(R386/20,0),"")</f>
        <v/>
      </c>
      <c r="AD386" s="11">
        <f>IF(ROUNDUP(S386/20,0)&gt;ROUNDUP(S385/20,0),"Lần " &amp; ROUNDUP(S386/20,0),"")</f>
        <v/>
      </c>
      <c r="AE386" s="11">
        <f>IF(ROUNDUP(T386/20,0)&gt;ROUNDUP(T385/20,0),"Lần " &amp; ROUNDUP(T386/20,0),"")</f>
        <v/>
      </c>
      <c r="AF386" s="11">
        <f>IF(ROUNDUP(U386/20,0)&gt;ROUNDUP(U385/20,0),"Lần " &amp; ROUNDUP(U386/20,0),"")</f>
        <v/>
      </c>
      <c r="AG386" s="11">
        <f>IF(ROUNDUP(V386/20,0)&gt;ROUNDUP(V385/20,0),"Lần " &amp; ROUNDUP(V386/20,0),"")</f>
        <v/>
      </c>
      <c r="AH386" s="11">
        <f>IF(ROUNDUP(W386/20,0)&gt;ROUNDUP(W385/20,0),"Lần " &amp; ROUNDUP(W386/20,0),"")</f>
        <v/>
      </c>
      <c r="AI386" s="11">
        <f>IF(ROUNDUP(X386/20,0)&gt;ROUNDUP(X385/20,0),"Lần " &amp; ROUNDUP(X386/20,0),"")</f>
        <v/>
      </c>
      <c r="AJ386" s="11">
        <f>IF(ROUNDUP(Y386/20,0)&gt;ROUNDUP(Y385/20,0),"Lần " &amp; ROUNDUP(Y386/20,0),"")</f>
        <v/>
      </c>
      <c r="AK386" s="11">
        <f>IF(ROUNDUP(Z386/20,0)&gt;ROUNDUP(Z385/20,0),"Lần " &amp; ROUNDUP(Z386/20,0),"")</f>
        <v/>
      </c>
      <c r="AL386" s="6" t="n"/>
      <c r="AN386" t="inlineStr">
        <is>
          <t>HoanThien</t>
        </is>
      </c>
      <c r="AO386" t="n">
        <v>53</v>
      </c>
    </row>
    <row r="387" ht="19" customHeight="1">
      <c r="A387" s="6" t="n">
        <v>372</v>
      </c>
      <c r="B387" s="7" t="inlineStr">
        <is>
          <t>Gờ lan can BTCT</t>
        </is>
      </c>
      <c r="C387" s="7" t="inlineStr">
        <is>
          <t>Gờ lan can (tr.119)</t>
        </is>
      </c>
      <c r="D387" s="18" t="inlineStr">
        <is>
          <t>G6</t>
        </is>
      </c>
      <c r="E387" s="19" t="n">
        <v>20</v>
      </c>
      <c r="F387" s="6" t="inlineStr">
        <is>
          <t>CB400-V</t>
        </is>
      </c>
      <c r="G387" s="7" t="inlineStr">
        <is>
          <t>S57</t>
        </is>
      </c>
      <c r="H387" s="20" t="n">
        <v>2.026</v>
      </c>
      <c r="I387" s="21" t="n">
        <v>28</v>
      </c>
      <c r="J387" s="22" t="n">
        <v>2.466</v>
      </c>
      <c r="K387" s="9">
        <f>ROUND(H387*I387*J387, 2)</f>
        <v/>
      </c>
      <c r="L387" s="23">
        <f>ROUND(K387/1000, 3)</f>
        <v/>
      </c>
      <c r="M387" s="8">
        <f>IF(AO387="","",IF(INDEX(Theo_Doi_Tan_Suat_Be_Tong!$C:$C,AO387)="","",INDEX(Theo_Doi_Tan_Suat_Be_Tong!$C:$C,AO387)-VLOOKUP(AN387,$AQ$2:$AR$7,2,FALSE)))</f>
        <v/>
      </c>
      <c r="N387" s="6" t="n"/>
      <c r="O387" s="24">
        <f>IF(ROUNDUP(U387/20,0)&gt;ROUNDUP(U386/20,0),"TN Ø20 (Lần " &amp; ROUNDUP(U387/20,0) &amp; ")","")</f>
        <v/>
      </c>
      <c r="P387" s="20">
        <f>ROUND(P386+IF(AND(E387&lt;=10,F387&lt;&gt;"ASTM A416"),L387,0),3)</f>
        <v/>
      </c>
      <c r="Q387" s="20">
        <f>ROUND(Q386+IF(AND(E387=12,F387&lt;&gt;"ASTM A416"),L387,0),3)</f>
        <v/>
      </c>
      <c r="R387" s="20">
        <f>ROUND(R386+IF(AND(E387=14,F387&lt;&gt;"ASTM A416"),L387,0),3)</f>
        <v/>
      </c>
      <c r="S387" s="20">
        <f>ROUND(S386+IF(AND(E387=16,F387&lt;&gt;"ASTM A416"),L387,0),3)</f>
        <v/>
      </c>
      <c r="T387" s="20">
        <f>ROUND(T386+IF(AND(E387=18,F387&lt;&gt;"ASTM A416"),L387,0),3)</f>
        <v/>
      </c>
      <c r="U387" s="20">
        <f>ROUND(U386+IF(AND(E387=20,F387&lt;&gt;"ASTM A416"),L387,0),3)</f>
        <v/>
      </c>
      <c r="V387" s="20">
        <f>ROUND(V386+IF(AND(E387=22,F387&lt;&gt;"ASTM A416"),L387,0),3)</f>
        <v/>
      </c>
      <c r="W387" s="20">
        <f>ROUND(W386+IF(AND(E387=25,F387&lt;&gt;"ASTM A416"),L387,0),3)</f>
        <v/>
      </c>
      <c r="X387" s="20">
        <f>ROUND(X386+IF(AND(E387=28,F387&lt;&gt;"ASTM A416"),L387,0),3)</f>
        <v/>
      </c>
      <c r="Y387" s="20">
        <f>ROUND(Y386+IF(AND(E387=32,F387&lt;&gt;"ASTM A416"),L387,0),3)</f>
        <v/>
      </c>
      <c r="Z387" s="20">
        <f>ROUND(Z386+IF(F387="ASTM A416",L387,0),3)</f>
        <v/>
      </c>
      <c r="AA387" s="11">
        <f>IF(ROUNDUP(P387/20,0)&gt;ROUNDUP(P386/20,0),"Lần " &amp; ROUNDUP(P387/20,0),"")</f>
        <v/>
      </c>
      <c r="AB387" s="11">
        <f>IF(ROUNDUP(Q387/20,0)&gt;ROUNDUP(Q386/20,0),"Lần " &amp; ROUNDUP(Q387/20,0),"")</f>
        <v/>
      </c>
      <c r="AC387" s="11">
        <f>IF(ROUNDUP(R387/20,0)&gt;ROUNDUP(R386/20,0),"Lần " &amp; ROUNDUP(R387/20,0),"")</f>
        <v/>
      </c>
      <c r="AD387" s="11">
        <f>IF(ROUNDUP(S387/20,0)&gt;ROUNDUP(S386/20,0),"Lần " &amp; ROUNDUP(S387/20,0),"")</f>
        <v/>
      </c>
      <c r="AE387" s="11">
        <f>IF(ROUNDUP(T387/20,0)&gt;ROUNDUP(T386/20,0),"Lần " &amp; ROUNDUP(T387/20,0),"")</f>
        <v/>
      </c>
      <c r="AF387" s="11">
        <f>IF(ROUNDUP(U387/20,0)&gt;ROUNDUP(U386/20,0),"Lần " &amp; ROUNDUP(U387/20,0),"")</f>
        <v/>
      </c>
      <c r="AG387" s="11">
        <f>IF(ROUNDUP(V387/20,0)&gt;ROUNDUP(V386/20,0),"Lần " &amp; ROUNDUP(V387/20,0),"")</f>
        <v/>
      </c>
      <c r="AH387" s="11">
        <f>IF(ROUNDUP(W387/20,0)&gt;ROUNDUP(W386/20,0),"Lần " &amp; ROUNDUP(W387/20,0),"")</f>
        <v/>
      </c>
      <c r="AI387" s="11">
        <f>IF(ROUNDUP(X387/20,0)&gt;ROUNDUP(X386/20,0),"Lần " &amp; ROUNDUP(X387/20,0),"")</f>
        <v/>
      </c>
      <c r="AJ387" s="11">
        <f>IF(ROUNDUP(Y387/20,0)&gt;ROUNDUP(Y386/20,0),"Lần " &amp; ROUNDUP(Y387/20,0),"")</f>
        <v/>
      </c>
      <c r="AK387" s="11">
        <f>IF(ROUNDUP(Z387/20,0)&gt;ROUNDUP(Z386/20,0),"Lần " &amp; ROUNDUP(Z387/20,0),"")</f>
        <v/>
      </c>
      <c r="AL387" s="6" t="n"/>
      <c r="AN387" t="inlineStr">
        <is>
          <t>HoanThien</t>
        </is>
      </c>
      <c r="AO387" t="n">
        <v>53</v>
      </c>
    </row>
    <row r="388" ht="19" customHeight="1">
      <c r="A388" s="6" t="n">
        <v>373</v>
      </c>
      <c r="B388" s="7" t="inlineStr">
        <is>
          <t>Gờ lan can BTCT</t>
        </is>
      </c>
      <c r="C388" s="7" t="inlineStr">
        <is>
          <t>Gờ lan can (tr.119)</t>
        </is>
      </c>
      <c r="D388" s="18" t="inlineStr">
        <is>
          <t>G7</t>
        </is>
      </c>
      <c r="E388" s="19" t="n">
        <v>14</v>
      </c>
      <c r="F388" s="6" t="inlineStr">
        <is>
          <t>CB400-V</t>
        </is>
      </c>
      <c r="G388" s="7" t="inlineStr">
        <is>
          <t>S29</t>
        </is>
      </c>
      <c r="H388" s="20" t="n">
        <v>1.371</v>
      </c>
      <c r="I388" s="21" t="n">
        <v>28</v>
      </c>
      <c r="J388" s="22" t="n">
        <v>1.208</v>
      </c>
      <c r="K388" s="9">
        <f>ROUND(H388*I388*J388, 2)</f>
        <v/>
      </c>
      <c r="L388" s="23">
        <f>ROUND(K388/1000, 3)</f>
        <v/>
      </c>
      <c r="M388" s="8">
        <f>IF(AO388="","",IF(INDEX(Theo_Doi_Tan_Suat_Be_Tong!$C:$C,AO388)="","",INDEX(Theo_Doi_Tan_Suat_Be_Tong!$C:$C,AO388)-VLOOKUP(AN388,$AQ$2:$AR$7,2,FALSE)))</f>
        <v/>
      </c>
      <c r="N388" s="6" t="n"/>
      <c r="O388" s="24">
        <f>IF(ROUNDUP(R388/20,0)&gt;ROUNDUP(R387/20,0),"TN Ø14 (Lần " &amp; ROUNDUP(R388/20,0) &amp; ")","")</f>
        <v/>
      </c>
      <c r="P388" s="20">
        <f>ROUND(P387+IF(AND(E388&lt;=10,F388&lt;&gt;"ASTM A416"),L388,0),3)</f>
        <v/>
      </c>
      <c r="Q388" s="20">
        <f>ROUND(Q387+IF(AND(E388=12,F388&lt;&gt;"ASTM A416"),L388,0),3)</f>
        <v/>
      </c>
      <c r="R388" s="20">
        <f>ROUND(R387+IF(AND(E388=14,F388&lt;&gt;"ASTM A416"),L388,0),3)</f>
        <v/>
      </c>
      <c r="S388" s="20">
        <f>ROUND(S387+IF(AND(E388=16,F388&lt;&gt;"ASTM A416"),L388,0),3)</f>
        <v/>
      </c>
      <c r="T388" s="20">
        <f>ROUND(T387+IF(AND(E388=18,F388&lt;&gt;"ASTM A416"),L388,0),3)</f>
        <v/>
      </c>
      <c r="U388" s="20">
        <f>ROUND(U387+IF(AND(E388=20,F388&lt;&gt;"ASTM A416"),L388,0),3)</f>
        <v/>
      </c>
      <c r="V388" s="20">
        <f>ROUND(V387+IF(AND(E388=22,F388&lt;&gt;"ASTM A416"),L388,0),3)</f>
        <v/>
      </c>
      <c r="W388" s="20">
        <f>ROUND(W387+IF(AND(E388=25,F388&lt;&gt;"ASTM A416"),L388,0),3)</f>
        <v/>
      </c>
      <c r="X388" s="20">
        <f>ROUND(X387+IF(AND(E388=28,F388&lt;&gt;"ASTM A416"),L388,0),3)</f>
        <v/>
      </c>
      <c r="Y388" s="20">
        <f>ROUND(Y387+IF(AND(E388=32,F388&lt;&gt;"ASTM A416"),L388,0),3)</f>
        <v/>
      </c>
      <c r="Z388" s="20">
        <f>ROUND(Z387+IF(F388="ASTM A416",L388,0),3)</f>
        <v/>
      </c>
      <c r="AA388" s="11">
        <f>IF(ROUNDUP(P388/20,0)&gt;ROUNDUP(P387/20,0),"Lần " &amp; ROUNDUP(P388/20,0),"")</f>
        <v/>
      </c>
      <c r="AB388" s="11">
        <f>IF(ROUNDUP(Q388/20,0)&gt;ROUNDUP(Q387/20,0),"Lần " &amp; ROUNDUP(Q388/20,0),"")</f>
        <v/>
      </c>
      <c r="AC388" s="11">
        <f>IF(ROUNDUP(R388/20,0)&gt;ROUNDUP(R387/20,0),"Lần " &amp; ROUNDUP(R388/20,0),"")</f>
        <v/>
      </c>
      <c r="AD388" s="11">
        <f>IF(ROUNDUP(S388/20,0)&gt;ROUNDUP(S387/20,0),"Lần " &amp; ROUNDUP(S388/20,0),"")</f>
        <v/>
      </c>
      <c r="AE388" s="11">
        <f>IF(ROUNDUP(T388/20,0)&gt;ROUNDUP(T387/20,0),"Lần " &amp; ROUNDUP(T388/20,0),"")</f>
        <v/>
      </c>
      <c r="AF388" s="11">
        <f>IF(ROUNDUP(U388/20,0)&gt;ROUNDUP(U387/20,0),"Lần " &amp; ROUNDUP(U388/20,0),"")</f>
        <v/>
      </c>
      <c r="AG388" s="11">
        <f>IF(ROUNDUP(V388/20,0)&gt;ROUNDUP(V387/20,0),"Lần " &amp; ROUNDUP(V388/20,0),"")</f>
        <v/>
      </c>
      <c r="AH388" s="11">
        <f>IF(ROUNDUP(W388/20,0)&gt;ROUNDUP(W387/20,0),"Lần " &amp; ROUNDUP(W388/20,0),"")</f>
        <v/>
      </c>
      <c r="AI388" s="11">
        <f>IF(ROUNDUP(X388/20,0)&gt;ROUNDUP(X387/20,0),"Lần " &amp; ROUNDUP(X388/20,0),"")</f>
        <v/>
      </c>
      <c r="AJ388" s="11">
        <f>IF(ROUNDUP(Y388/20,0)&gt;ROUNDUP(Y387/20,0),"Lần " &amp; ROUNDUP(Y388/20,0),"")</f>
        <v/>
      </c>
      <c r="AK388" s="11">
        <f>IF(ROUNDUP(Z388/20,0)&gt;ROUNDUP(Z387/20,0),"Lần " &amp; ROUNDUP(Z388/20,0),"")</f>
        <v/>
      </c>
      <c r="AL388" s="6" t="n"/>
      <c r="AN388" t="inlineStr">
        <is>
          <t>HoanThien</t>
        </is>
      </c>
      <c r="AO388" t="n">
        <v>53</v>
      </c>
    </row>
    <row r="389" ht="19" customHeight="1">
      <c r="A389" s="6" t="n">
        <v>374</v>
      </c>
      <c r="B389" s="7" t="inlineStr">
        <is>
          <t>Gờ lan can BTCT</t>
        </is>
      </c>
      <c r="C389" s="7" t="inlineStr">
        <is>
          <t>Gờ lan can (tr.119)</t>
        </is>
      </c>
      <c r="D389" s="18" t="inlineStr">
        <is>
          <t>G7A</t>
        </is>
      </c>
      <c r="E389" s="19" t="n">
        <v>20</v>
      </c>
      <c r="F389" s="6" t="inlineStr">
        <is>
          <t>CB400-V</t>
        </is>
      </c>
      <c r="G389" s="7" t="inlineStr">
        <is>
          <t>S05</t>
        </is>
      </c>
      <c r="H389" s="20" t="n">
        <v>1.182</v>
      </c>
      <c r="I389" s="21" t="n">
        <v>28</v>
      </c>
      <c r="J389" s="22" t="n">
        <v>2.466</v>
      </c>
      <c r="K389" s="9">
        <f>ROUND(H389*I389*J389, 2)</f>
        <v/>
      </c>
      <c r="L389" s="23">
        <f>ROUND(K389/1000, 3)</f>
        <v/>
      </c>
      <c r="M389" s="8">
        <f>IF(AO389="","",IF(INDEX(Theo_Doi_Tan_Suat_Be_Tong!$C:$C,AO389)="","",INDEX(Theo_Doi_Tan_Suat_Be_Tong!$C:$C,AO389)-VLOOKUP(AN389,$AQ$2:$AR$7,2,FALSE)))</f>
        <v/>
      </c>
      <c r="N389" s="6" t="n"/>
      <c r="O389" s="24">
        <f>IF(ROUNDUP(U389/20,0)&gt;ROUNDUP(U388/20,0),"TN Ø20 (Lần " &amp; ROUNDUP(U389/20,0) &amp; ")","")</f>
        <v/>
      </c>
      <c r="P389" s="20">
        <f>ROUND(P388+IF(AND(E389&lt;=10,F389&lt;&gt;"ASTM A416"),L389,0),3)</f>
        <v/>
      </c>
      <c r="Q389" s="20">
        <f>ROUND(Q388+IF(AND(E389=12,F389&lt;&gt;"ASTM A416"),L389,0),3)</f>
        <v/>
      </c>
      <c r="R389" s="20">
        <f>ROUND(R388+IF(AND(E389=14,F389&lt;&gt;"ASTM A416"),L389,0),3)</f>
        <v/>
      </c>
      <c r="S389" s="20">
        <f>ROUND(S388+IF(AND(E389=16,F389&lt;&gt;"ASTM A416"),L389,0),3)</f>
        <v/>
      </c>
      <c r="T389" s="20">
        <f>ROUND(T388+IF(AND(E389=18,F389&lt;&gt;"ASTM A416"),L389,0),3)</f>
        <v/>
      </c>
      <c r="U389" s="20">
        <f>ROUND(U388+IF(AND(E389=20,F389&lt;&gt;"ASTM A416"),L389,0),3)</f>
        <v/>
      </c>
      <c r="V389" s="20">
        <f>ROUND(V388+IF(AND(E389=22,F389&lt;&gt;"ASTM A416"),L389,0),3)</f>
        <v/>
      </c>
      <c r="W389" s="20">
        <f>ROUND(W388+IF(AND(E389=25,F389&lt;&gt;"ASTM A416"),L389,0),3)</f>
        <v/>
      </c>
      <c r="X389" s="20">
        <f>ROUND(X388+IF(AND(E389=28,F389&lt;&gt;"ASTM A416"),L389,0),3)</f>
        <v/>
      </c>
      <c r="Y389" s="20">
        <f>ROUND(Y388+IF(AND(E389=32,F389&lt;&gt;"ASTM A416"),L389,0),3)</f>
        <v/>
      </c>
      <c r="Z389" s="20">
        <f>ROUND(Z388+IF(F389="ASTM A416",L389,0),3)</f>
        <v/>
      </c>
      <c r="AA389" s="11">
        <f>IF(ROUNDUP(P389/20,0)&gt;ROUNDUP(P388/20,0),"Lần " &amp; ROUNDUP(P389/20,0),"")</f>
        <v/>
      </c>
      <c r="AB389" s="11">
        <f>IF(ROUNDUP(Q389/20,0)&gt;ROUNDUP(Q388/20,0),"Lần " &amp; ROUNDUP(Q389/20,0),"")</f>
        <v/>
      </c>
      <c r="AC389" s="11">
        <f>IF(ROUNDUP(R389/20,0)&gt;ROUNDUP(R388/20,0),"Lần " &amp; ROUNDUP(R389/20,0),"")</f>
        <v/>
      </c>
      <c r="AD389" s="11">
        <f>IF(ROUNDUP(S389/20,0)&gt;ROUNDUP(S388/20,0),"Lần " &amp; ROUNDUP(S389/20,0),"")</f>
        <v/>
      </c>
      <c r="AE389" s="11">
        <f>IF(ROUNDUP(T389/20,0)&gt;ROUNDUP(T388/20,0),"Lần " &amp; ROUNDUP(T389/20,0),"")</f>
        <v/>
      </c>
      <c r="AF389" s="11">
        <f>IF(ROUNDUP(U389/20,0)&gt;ROUNDUP(U388/20,0),"Lần " &amp; ROUNDUP(U389/20,0),"")</f>
        <v/>
      </c>
      <c r="AG389" s="11">
        <f>IF(ROUNDUP(V389/20,0)&gt;ROUNDUP(V388/20,0),"Lần " &amp; ROUNDUP(V389/20,0),"")</f>
        <v/>
      </c>
      <c r="AH389" s="11">
        <f>IF(ROUNDUP(W389/20,0)&gt;ROUNDUP(W388/20,0),"Lần " &amp; ROUNDUP(W389/20,0),"")</f>
        <v/>
      </c>
      <c r="AI389" s="11">
        <f>IF(ROUNDUP(X389/20,0)&gt;ROUNDUP(X388/20,0),"Lần " &amp; ROUNDUP(X389/20,0),"")</f>
        <v/>
      </c>
      <c r="AJ389" s="11">
        <f>IF(ROUNDUP(Y389/20,0)&gt;ROUNDUP(Y388/20,0),"Lần " &amp; ROUNDUP(Y389/20,0),"")</f>
        <v/>
      </c>
      <c r="AK389" s="11">
        <f>IF(ROUNDUP(Z389/20,0)&gt;ROUNDUP(Z388/20,0),"Lần " &amp; ROUNDUP(Z389/20,0),"")</f>
        <v/>
      </c>
      <c r="AL389" s="6" t="n"/>
      <c r="AN389" t="inlineStr">
        <is>
          <t>HoanThien</t>
        </is>
      </c>
      <c r="AO389" t="n">
        <v>53</v>
      </c>
    </row>
    <row r="390" ht="19" customHeight="1">
      <c r="A390" s="6" t="n">
        <v>375</v>
      </c>
      <c r="B390" s="7" t="inlineStr">
        <is>
          <t>Gờ lan can BTCT</t>
        </is>
      </c>
      <c r="C390" s="7" t="inlineStr">
        <is>
          <t>Gờ lan can (tr.119)</t>
        </is>
      </c>
      <c r="D390" s="18" t="inlineStr">
        <is>
          <t>G8A</t>
        </is>
      </c>
      <c r="E390" s="19" t="n">
        <v>12</v>
      </c>
      <c r="F390" s="6" t="inlineStr">
        <is>
          <t>CB400-V</t>
        </is>
      </c>
      <c r="G390" s="7" t="inlineStr">
        <is>
          <t>S06</t>
        </is>
      </c>
      <c r="H390" s="20" t="n">
        <v>0.26</v>
      </c>
      <c r="I390" s="21" t="n">
        <v>9</v>
      </c>
      <c r="J390" s="22" t="n">
        <v>0.888</v>
      </c>
      <c r="K390" s="9">
        <f>ROUND(H390*I390*J390, 2)</f>
        <v/>
      </c>
      <c r="L390" s="23">
        <f>ROUND(K390/1000, 3)</f>
        <v/>
      </c>
      <c r="M390" s="8">
        <f>IF(AO390="","",IF(INDEX(Theo_Doi_Tan_Suat_Be_Tong!$C:$C,AO390)="","",INDEX(Theo_Doi_Tan_Suat_Be_Tong!$C:$C,AO390)-VLOOKUP(AN390,$AQ$2:$AR$7,2,FALSE)))</f>
        <v/>
      </c>
      <c r="N390" s="6" t="n"/>
      <c r="O390" s="24">
        <f>IF(ROUNDUP(Q390/20,0)&gt;ROUNDUP(Q389/20,0),"TN Ø12 (Lần " &amp; ROUNDUP(Q390/20,0) &amp; ")","")</f>
        <v/>
      </c>
      <c r="P390" s="20">
        <f>ROUND(P389+IF(AND(E390&lt;=10,F390&lt;&gt;"ASTM A416"),L390,0),3)</f>
        <v/>
      </c>
      <c r="Q390" s="20">
        <f>ROUND(Q389+IF(AND(E390=12,F390&lt;&gt;"ASTM A416"),L390,0),3)</f>
        <v/>
      </c>
      <c r="R390" s="20">
        <f>ROUND(R389+IF(AND(E390=14,F390&lt;&gt;"ASTM A416"),L390,0),3)</f>
        <v/>
      </c>
      <c r="S390" s="20">
        <f>ROUND(S389+IF(AND(E390=16,F390&lt;&gt;"ASTM A416"),L390,0),3)</f>
        <v/>
      </c>
      <c r="T390" s="20">
        <f>ROUND(T389+IF(AND(E390=18,F390&lt;&gt;"ASTM A416"),L390,0),3)</f>
        <v/>
      </c>
      <c r="U390" s="20">
        <f>ROUND(U389+IF(AND(E390=20,F390&lt;&gt;"ASTM A416"),L390,0),3)</f>
        <v/>
      </c>
      <c r="V390" s="20">
        <f>ROUND(V389+IF(AND(E390=22,F390&lt;&gt;"ASTM A416"),L390,0),3)</f>
        <v/>
      </c>
      <c r="W390" s="20">
        <f>ROUND(W389+IF(AND(E390=25,F390&lt;&gt;"ASTM A416"),L390,0),3)</f>
        <v/>
      </c>
      <c r="X390" s="20">
        <f>ROUND(X389+IF(AND(E390=28,F390&lt;&gt;"ASTM A416"),L390,0),3)</f>
        <v/>
      </c>
      <c r="Y390" s="20">
        <f>ROUND(Y389+IF(AND(E390=32,F390&lt;&gt;"ASTM A416"),L390,0),3)</f>
        <v/>
      </c>
      <c r="Z390" s="20">
        <f>ROUND(Z389+IF(F390="ASTM A416",L390,0),3)</f>
        <v/>
      </c>
      <c r="AA390" s="11">
        <f>IF(ROUNDUP(P390/20,0)&gt;ROUNDUP(P389/20,0),"Lần " &amp; ROUNDUP(P390/20,0),"")</f>
        <v/>
      </c>
      <c r="AB390" s="11">
        <f>IF(ROUNDUP(Q390/20,0)&gt;ROUNDUP(Q389/20,0),"Lần " &amp; ROUNDUP(Q390/20,0),"")</f>
        <v/>
      </c>
      <c r="AC390" s="11">
        <f>IF(ROUNDUP(R390/20,0)&gt;ROUNDUP(R389/20,0),"Lần " &amp; ROUNDUP(R390/20,0),"")</f>
        <v/>
      </c>
      <c r="AD390" s="11">
        <f>IF(ROUNDUP(S390/20,0)&gt;ROUNDUP(S389/20,0),"Lần " &amp; ROUNDUP(S390/20,0),"")</f>
        <v/>
      </c>
      <c r="AE390" s="11">
        <f>IF(ROUNDUP(T390/20,0)&gt;ROUNDUP(T389/20,0),"Lần " &amp; ROUNDUP(T390/20,0),"")</f>
        <v/>
      </c>
      <c r="AF390" s="11">
        <f>IF(ROUNDUP(U390/20,0)&gt;ROUNDUP(U389/20,0),"Lần " &amp; ROUNDUP(U390/20,0),"")</f>
        <v/>
      </c>
      <c r="AG390" s="11">
        <f>IF(ROUNDUP(V390/20,0)&gt;ROUNDUP(V389/20,0),"Lần " &amp; ROUNDUP(V390/20,0),"")</f>
        <v/>
      </c>
      <c r="AH390" s="11">
        <f>IF(ROUNDUP(W390/20,0)&gt;ROUNDUP(W389/20,0),"Lần " &amp; ROUNDUP(W390/20,0),"")</f>
        <v/>
      </c>
      <c r="AI390" s="11">
        <f>IF(ROUNDUP(X390/20,0)&gt;ROUNDUP(X389/20,0),"Lần " &amp; ROUNDUP(X390/20,0),"")</f>
        <v/>
      </c>
      <c r="AJ390" s="11">
        <f>IF(ROUNDUP(Y390/20,0)&gt;ROUNDUP(Y389/20,0),"Lần " &amp; ROUNDUP(Y390/20,0),"")</f>
        <v/>
      </c>
      <c r="AK390" s="11">
        <f>IF(ROUNDUP(Z390/20,0)&gt;ROUNDUP(Z389/20,0),"Lần " &amp; ROUNDUP(Z390/20,0),"")</f>
        <v/>
      </c>
      <c r="AL390" s="6" t="n"/>
      <c r="AN390" t="inlineStr">
        <is>
          <t>HoanThien</t>
        </is>
      </c>
      <c r="AO390" t="n">
        <v>53</v>
      </c>
    </row>
    <row r="391" ht="19" customHeight="1">
      <c r="A391" s="6" t="n">
        <v>376</v>
      </c>
      <c r="B391" s="7" t="inlineStr">
        <is>
          <t>Gờ lan can BTCT</t>
        </is>
      </c>
      <c r="C391" s="7" t="inlineStr">
        <is>
          <t>Gờ lan can (tr.119)</t>
        </is>
      </c>
      <c r="D391" s="18" t="inlineStr">
        <is>
          <t>G8B</t>
        </is>
      </c>
      <c r="E391" s="19" t="n">
        <v>12</v>
      </c>
      <c r="F391" s="6" t="inlineStr">
        <is>
          <t>CB400-V</t>
        </is>
      </c>
      <c r="G391" s="7" t="inlineStr">
        <is>
          <t>S06</t>
        </is>
      </c>
      <c r="H391" s="20" t="n">
        <v>0.306</v>
      </c>
      <c r="I391" s="21" t="n">
        <v>9</v>
      </c>
      <c r="J391" s="22" t="n">
        <v>0.888</v>
      </c>
      <c r="K391" s="9">
        <f>ROUND(H391*I391*J391, 2)</f>
        <v/>
      </c>
      <c r="L391" s="23">
        <f>ROUND(K391/1000, 3)</f>
        <v/>
      </c>
      <c r="M391" s="8">
        <f>IF(AO391="","",IF(INDEX(Theo_Doi_Tan_Suat_Be_Tong!$C:$C,AO391)="","",INDEX(Theo_Doi_Tan_Suat_Be_Tong!$C:$C,AO391)-VLOOKUP(AN391,$AQ$2:$AR$7,2,FALSE)))</f>
        <v/>
      </c>
      <c r="N391" s="6" t="n"/>
      <c r="O391" s="24">
        <f>IF(ROUNDUP(Q391/20,0)&gt;ROUNDUP(Q390/20,0),"TN Ø12 (Lần " &amp; ROUNDUP(Q391/20,0) &amp; ")","")</f>
        <v/>
      </c>
      <c r="P391" s="20">
        <f>ROUND(P390+IF(AND(E391&lt;=10,F391&lt;&gt;"ASTM A416"),L391,0),3)</f>
        <v/>
      </c>
      <c r="Q391" s="20">
        <f>ROUND(Q390+IF(AND(E391=12,F391&lt;&gt;"ASTM A416"),L391,0),3)</f>
        <v/>
      </c>
      <c r="R391" s="20">
        <f>ROUND(R390+IF(AND(E391=14,F391&lt;&gt;"ASTM A416"),L391,0),3)</f>
        <v/>
      </c>
      <c r="S391" s="20">
        <f>ROUND(S390+IF(AND(E391=16,F391&lt;&gt;"ASTM A416"),L391,0),3)</f>
        <v/>
      </c>
      <c r="T391" s="20">
        <f>ROUND(T390+IF(AND(E391=18,F391&lt;&gt;"ASTM A416"),L391,0),3)</f>
        <v/>
      </c>
      <c r="U391" s="20">
        <f>ROUND(U390+IF(AND(E391=20,F391&lt;&gt;"ASTM A416"),L391,0),3)</f>
        <v/>
      </c>
      <c r="V391" s="20">
        <f>ROUND(V390+IF(AND(E391=22,F391&lt;&gt;"ASTM A416"),L391,0),3)</f>
        <v/>
      </c>
      <c r="W391" s="20">
        <f>ROUND(W390+IF(AND(E391=25,F391&lt;&gt;"ASTM A416"),L391,0),3)</f>
        <v/>
      </c>
      <c r="X391" s="20">
        <f>ROUND(X390+IF(AND(E391=28,F391&lt;&gt;"ASTM A416"),L391,0),3)</f>
        <v/>
      </c>
      <c r="Y391" s="20">
        <f>ROUND(Y390+IF(AND(E391=32,F391&lt;&gt;"ASTM A416"),L391,0),3)</f>
        <v/>
      </c>
      <c r="Z391" s="20">
        <f>ROUND(Z390+IF(F391="ASTM A416",L391,0),3)</f>
        <v/>
      </c>
      <c r="AA391" s="11">
        <f>IF(ROUNDUP(P391/20,0)&gt;ROUNDUP(P390/20,0),"Lần " &amp; ROUNDUP(P391/20,0),"")</f>
        <v/>
      </c>
      <c r="AB391" s="11">
        <f>IF(ROUNDUP(Q391/20,0)&gt;ROUNDUP(Q390/20,0),"Lần " &amp; ROUNDUP(Q391/20,0),"")</f>
        <v/>
      </c>
      <c r="AC391" s="11">
        <f>IF(ROUNDUP(R391/20,0)&gt;ROUNDUP(R390/20,0),"Lần " &amp; ROUNDUP(R391/20,0),"")</f>
        <v/>
      </c>
      <c r="AD391" s="11">
        <f>IF(ROUNDUP(S391/20,0)&gt;ROUNDUP(S390/20,0),"Lần " &amp; ROUNDUP(S391/20,0),"")</f>
        <v/>
      </c>
      <c r="AE391" s="11">
        <f>IF(ROUNDUP(T391/20,0)&gt;ROUNDUP(T390/20,0),"Lần " &amp; ROUNDUP(T391/20,0),"")</f>
        <v/>
      </c>
      <c r="AF391" s="11">
        <f>IF(ROUNDUP(U391/20,0)&gt;ROUNDUP(U390/20,0),"Lần " &amp; ROUNDUP(U391/20,0),"")</f>
        <v/>
      </c>
      <c r="AG391" s="11">
        <f>IF(ROUNDUP(V391/20,0)&gt;ROUNDUP(V390/20,0),"Lần " &amp; ROUNDUP(V391/20,0),"")</f>
        <v/>
      </c>
      <c r="AH391" s="11">
        <f>IF(ROUNDUP(W391/20,0)&gt;ROUNDUP(W390/20,0),"Lần " &amp; ROUNDUP(W391/20,0),"")</f>
        <v/>
      </c>
      <c r="AI391" s="11">
        <f>IF(ROUNDUP(X391/20,0)&gt;ROUNDUP(X390/20,0),"Lần " &amp; ROUNDUP(X391/20,0),"")</f>
        <v/>
      </c>
      <c r="AJ391" s="11">
        <f>IF(ROUNDUP(Y391/20,0)&gt;ROUNDUP(Y390/20,0),"Lần " &amp; ROUNDUP(Y391/20,0),"")</f>
        <v/>
      </c>
      <c r="AK391" s="11">
        <f>IF(ROUNDUP(Z391/20,0)&gt;ROUNDUP(Z390/20,0),"Lần " &amp; ROUNDUP(Z391/20,0),"")</f>
        <v/>
      </c>
      <c r="AL391" s="6" t="n"/>
      <c r="AN391" t="inlineStr">
        <is>
          <t>HoanThien</t>
        </is>
      </c>
      <c r="AO391" t="n">
        <v>53</v>
      </c>
    </row>
    <row r="392" ht="19" customHeight="1">
      <c r="A392" s="6" t="n">
        <v>377</v>
      </c>
      <c r="B392" s="7" t="inlineStr">
        <is>
          <t>Gờ lan can BTCT</t>
        </is>
      </c>
      <c r="C392" s="7" t="inlineStr">
        <is>
          <t>Gờ lan can (tr.119)</t>
        </is>
      </c>
      <c r="D392" s="18" t="inlineStr">
        <is>
          <t>G8C</t>
        </is>
      </c>
      <c r="E392" s="19" t="n">
        <v>12</v>
      </c>
      <c r="F392" s="6" t="inlineStr">
        <is>
          <t>CB400-V</t>
        </is>
      </c>
      <c r="G392" s="7" t="inlineStr">
        <is>
          <t>S06</t>
        </is>
      </c>
      <c r="H392" s="20" t="n">
        <v>0.417</v>
      </c>
      <c r="I392" s="21" t="n">
        <v>9</v>
      </c>
      <c r="J392" s="22" t="n">
        <v>0.888</v>
      </c>
      <c r="K392" s="9">
        <f>ROUND(H392*I392*J392, 2)</f>
        <v/>
      </c>
      <c r="L392" s="23">
        <f>ROUND(K392/1000, 3)</f>
        <v/>
      </c>
      <c r="M392" s="8">
        <f>IF(AO392="","",IF(INDEX(Theo_Doi_Tan_Suat_Be_Tong!$C:$C,AO392)="","",INDEX(Theo_Doi_Tan_Suat_Be_Tong!$C:$C,AO392)-VLOOKUP(AN392,$AQ$2:$AR$7,2,FALSE)))</f>
        <v/>
      </c>
      <c r="N392" s="6" t="n"/>
      <c r="O392" s="24">
        <f>IF(ROUNDUP(Q392/20,0)&gt;ROUNDUP(Q391/20,0),"TN Ø12 (Lần " &amp; ROUNDUP(Q392/20,0) &amp; ")","")</f>
        <v/>
      </c>
      <c r="P392" s="20">
        <f>ROUND(P391+IF(AND(E392&lt;=10,F392&lt;&gt;"ASTM A416"),L392,0),3)</f>
        <v/>
      </c>
      <c r="Q392" s="20">
        <f>ROUND(Q391+IF(AND(E392=12,F392&lt;&gt;"ASTM A416"),L392,0),3)</f>
        <v/>
      </c>
      <c r="R392" s="20">
        <f>ROUND(R391+IF(AND(E392=14,F392&lt;&gt;"ASTM A416"),L392,0),3)</f>
        <v/>
      </c>
      <c r="S392" s="20">
        <f>ROUND(S391+IF(AND(E392=16,F392&lt;&gt;"ASTM A416"),L392,0),3)</f>
        <v/>
      </c>
      <c r="T392" s="20">
        <f>ROUND(T391+IF(AND(E392=18,F392&lt;&gt;"ASTM A416"),L392,0),3)</f>
        <v/>
      </c>
      <c r="U392" s="20">
        <f>ROUND(U391+IF(AND(E392=20,F392&lt;&gt;"ASTM A416"),L392,0),3)</f>
        <v/>
      </c>
      <c r="V392" s="20">
        <f>ROUND(V391+IF(AND(E392=22,F392&lt;&gt;"ASTM A416"),L392,0),3)</f>
        <v/>
      </c>
      <c r="W392" s="20">
        <f>ROUND(W391+IF(AND(E392=25,F392&lt;&gt;"ASTM A416"),L392,0),3)</f>
        <v/>
      </c>
      <c r="X392" s="20">
        <f>ROUND(X391+IF(AND(E392=28,F392&lt;&gt;"ASTM A416"),L392,0),3)</f>
        <v/>
      </c>
      <c r="Y392" s="20">
        <f>ROUND(Y391+IF(AND(E392=32,F392&lt;&gt;"ASTM A416"),L392,0),3)</f>
        <v/>
      </c>
      <c r="Z392" s="20">
        <f>ROUND(Z391+IF(F392="ASTM A416",L392,0),3)</f>
        <v/>
      </c>
      <c r="AA392" s="11">
        <f>IF(ROUNDUP(P392/20,0)&gt;ROUNDUP(P391/20,0),"Lần " &amp; ROUNDUP(P392/20,0),"")</f>
        <v/>
      </c>
      <c r="AB392" s="11">
        <f>IF(ROUNDUP(Q392/20,0)&gt;ROUNDUP(Q391/20,0),"Lần " &amp; ROUNDUP(Q392/20,0),"")</f>
        <v/>
      </c>
      <c r="AC392" s="11">
        <f>IF(ROUNDUP(R392/20,0)&gt;ROUNDUP(R391/20,0),"Lần " &amp; ROUNDUP(R392/20,0),"")</f>
        <v/>
      </c>
      <c r="AD392" s="11">
        <f>IF(ROUNDUP(S392/20,0)&gt;ROUNDUP(S391/20,0),"Lần " &amp; ROUNDUP(S392/20,0),"")</f>
        <v/>
      </c>
      <c r="AE392" s="11">
        <f>IF(ROUNDUP(T392/20,0)&gt;ROUNDUP(T391/20,0),"Lần " &amp; ROUNDUP(T392/20,0),"")</f>
        <v/>
      </c>
      <c r="AF392" s="11">
        <f>IF(ROUNDUP(U392/20,0)&gt;ROUNDUP(U391/20,0),"Lần " &amp; ROUNDUP(U392/20,0),"")</f>
        <v/>
      </c>
      <c r="AG392" s="11">
        <f>IF(ROUNDUP(V392/20,0)&gt;ROUNDUP(V391/20,0),"Lần " &amp; ROUNDUP(V392/20,0),"")</f>
        <v/>
      </c>
      <c r="AH392" s="11">
        <f>IF(ROUNDUP(W392/20,0)&gt;ROUNDUP(W391/20,0),"Lần " &amp; ROUNDUP(W392/20,0),"")</f>
        <v/>
      </c>
      <c r="AI392" s="11">
        <f>IF(ROUNDUP(X392/20,0)&gt;ROUNDUP(X391/20,0),"Lần " &amp; ROUNDUP(X392/20,0),"")</f>
        <v/>
      </c>
      <c r="AJ392" s="11">
        <f>IF(ROUNDUP(Y392/20,0)&gt;ROUNDUP(Y391/20,0),"Lần " &amp; ROUNDUP(Y392/20,0),"")</f>
        <v/>
      </c>
      <c r="AK392" s="11">
        <f>IF(ROUNDUP(Z392/20,0)&gt;ROUNDUP(Z391/20,0),"Lần " &amp; ROUNDUP(Z392/20,0),"")</f>
        <v/>
      </c>
      <c r="AL392" s="6" t="n"/>
      <c r="AN392" t="inlineStr">
        <is>
          <t>HoanThien</t>
        </is>
      </c>
      <c r="AO392" t="n">
        <v>53</v>
      </c>
    </row>
    <row r="393" ht="19" customHeight="1">
      <c r="A393" s="17" t="inlineStr">
        <is>
          <t>--- KHE CO GIÃN ---</t>
        </is>
      </c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  <c r="AG393" s="35" t="n"/>
      <c r="AH393" s="35" t="n"/>
      <c r="AI393" s="35" t="n"/>
      <c r="AJ393" s="35" t="n"/>
      <c r="AK393" s="35" t="n"/>
      <c r="AL393" s="34" t="n"/>
    </row>
    <row r="394" ht="19" customHeight="1">
      <c r="A394" s="6" t="n">
        <v>378</v>
      </c>
      <c r="B394" s="7" t="inlineStr">
        <is>
          <t>Khe co giãn</t>
        </is>
      </c>
      <c r="C394" s="7" t="inlineStr">
        <is>
          <t>Khe co giãn (tr.121)</t>
        </is>
      </c>
      <c r="D394" s="18" t="inlineStr">
        <is>
          <t>K1</t>
        </is>
      </c>
      <c r="E394" s="19" t="n">
        <v>16</v>
      </c>
      <c r="F394" s="6" t="inlineStr">
        <is>
          <t>CB400-V</t>
        </is>
      </c>
      <c r="G394" s="7" t="inlineStr"/>
      <c r="H394" s="20" t="n">
        <v>12.39</v>
      </c>
      <c r="I394" s="21" t="n">
        <v>30</v>
      </c>
      <c r="J394" s="22" t="n">
        <v>1.578</v>
      </c>
      <c r="K394" s="9">
        <f>ROUND(H394*I394*J394, 2)</f>
        <v/>
      </c>
      <c r="L394" s="23">
        <f>ROUND(K394/1000, 3)</f>
        <v/>
      </c>
      <c r="M394" s="8">
        <f>IF(AO394="","",IF(INDEX(Theo_Doi_Tan_Suat_Be_Tong!$C:$C,AO394)="","",INDEX(Theo_Doi_Tan_Suat_Be_Tong!$C:$C,AO394)-VLOOKUP(AN394,$AQ$2:$AR$7,2,FALSE)))</f>
        <v/>
      </c>
      <c r="N394" s="6" t="n"/>
      <c r="O394" s="24">
        <f>IF(ROUNDUP(S394/20,0)&gt;ROUNDUP(S392/20,0),"TN Ø16 (Lần " &amp; ROUNDUP(S394/20,0) &amp; ")","")</f>
        <v/>
      </c>
      <c r="P394" s="20">
        <f>ROUND(P392+IF(AND(E394&lt;=10,F394&lt;&gt;"ASTM A416"),L394,0),3)</f>
        <v/>
      </c>
      <c r="Q394" s="20">
        <f>ROUND(Q392+IF(AND(E394=12,F394&lt;&gt;"ASTM A416"),L394,0),3)</f>
        <v/>
      </c>
      <c r="R394" s="20">
        <f>ROUND(R392+IF(AND(E394=14,F394&lt;&gt;"ASTM A416"),L394,0),3)</f>
        <v/>
      </c>
      <c r="S394" s="20">
        <f>ROUND(S392+IF(AND(E394=16,F394&lt;&gt;"ASTM A416"),L394,0),3)</f>
        <v/>
      </c>
      <c r="T394" s="20">
        <f>ROUND(T392+IF(AND(E394=18,F394&lt;&gt;"ASTM A416"),L394,0),3)</f>
        <v/>
      </c>
      <c r="U394" s="20">
        <f>ROUND(U392+IF(AND(E394=20,F394&lt;&gt;"ASTM A416"),L394,0),3)</f>
        <v/>
      </c>
      <c r="V394" s="20">
        <f>ROUND(V392+IF(AND(E394=22,F394&lt;&gt;"ASTM A416"),L394,0),3)</f>
        <v/>
      </c>
      <c r="W394" s="20">
        <f>ROUND(W392+IF(AND(E394=25,F394&lt;&gt;"ASTM A416"),L394,0),3)</f>
        <v/>
      </c>
      <c r="X394" s="20">
        <f>ROUND(X392+IF(AND(E394=28,F394&lt;&gt;"ASTM A416"),L394,0),3)</f>
        <v/>
      </c>
      <c r="Y394" s="20">
        <f>ROUND(Y392+IF(AND(E394=32,F394&lt;&gt;"ASTM A416"),L394,0),3)</f>
        <v/>
      </c>
      <c r="Z394" s="20">
        <f>ROUND(Z392+IF(F394="ASTM A416",L394,0),3)</f>
        <v/>
      </c>
      <c r="AA394" s="11">
        <f>IF(ROUNDUP(P394/20,0)&gt;ROUNDUP(P392/20,0),"Lần " &amp; ROUNDUP(P394/20,0),"")</f>
        <v/>
      </c>
      <c r="AB394" s="11">
        <f>IF(ROUNDUP(Q394/20,0)&gt;ROUNDUP(Q392/20,0),"Lần " &amp; ROUNDUP(Q394/20,0),"")</f>
        <v/>
      </c>
      <c r="AC394" s="11">
        <f>IF(ROUNDUP(R394/20,0)&gt;ROUNDUP(R392/20,0),"Lần " &amp; ROUNDUP(R394/20,0),"")</f>
        <v/>
      </c>
      <c r="AD394" s="11">
        <f>IF(ROUNDUP(S394/20,0)&gt;ROUNDUP(S392/20,0),"Lần " &amp; ROUNDUP(S394/20,0),"")</f>
        <v/>
      </c>
      <c r="AE394" s="11">
        <f>IF(ROUNDUP(T394/20,0)&gt;ROUNDUP(T392/20,0),"Lần " &amp; ROUNDUP(T394/20,0),"")</f>
        <v/>
      </c>
      <c r="AF394" s="11">
        <f>IF(ROUNDUP(U394/20,0)&gt;ROUNDUP(U392/20,0),"Lần " &amp; ROUNDUP(U394/20,0),"")</f>
        <v/>
      </c>
      <c r="AG394" s="11">
        <f>IF(ROUNDUP(V394/20,0)&gt;ROUNDUP(V392/20,0),"Lần " &amp; ROUNDUP(V394/20,0),"")</f>
        <v/>
      </c>
      <c r="AH394" s="11">
        <f>IF(ROUNDUP(W394/20,0)&gt;ROUNDUP(W392/20,0),"Lần " &amp; ROUNDUP(W394/20,0),"")</f>
        <v/>
      </c>
      <c r="AI394" s="11">
        <f>IF(ROUNDUP(X394/20,0)&gt;ROUNDUP(X392/20,0),"Lần " &amp; ROUNDUP(X394/20,0),"")</f>
        <v/>
      </c>
      <c r="AJ394" s="11">
        <f>IF(ROUNDUP(Y394/20,0)&gt;ROUNDUP(Y392/20,0),"Lần " &amp; ROUNDUP(Y394/20,0),"")</f>
        <v/>
      </c>
      <c r="AK394" s="11">
        <f>IF(ROUNDUP(Z394/20,0)&gt;ROUNDUP(Z392/20,0),"Lần " &amp; ROUNDUP(Z394/20,0),"")</f>
        <v/>
      </c>
      <c r="AL394" s="6" t="n"/>
      <c r="AN394" t="inlineStr">
        <is>
          <t>HoanThien</t>
        </is>
      </c>
      <c r="AO394" t="n">
        <v>86</v>
      </c>
    </row>
    <row r="395" ht="20" customHeight="1">
      <c r="A395" s="6" t="n">
        <v>379</v>
      </c>
      <c r="B395" s="7" t="inlineStr">
        <is>
          <t>Khe co giãn</t>
        </is>
      </c>
      <c r="C395" s="7" t="inlineStr">
        <is>
          <t>Khe co giãn (tr.121)</t>
        </is>
      </c>
      <c r="D395" s="18" t="inlineStr">
        <is>
          <t>K2</t>
        </is>
      </c>
      <c r="E395" s="19" t="n">
        <v>16</v>
      </c>
      <c r="F395" s="6" t="inlineStr">
        <is>
          <t>CB400-V</t>
        </is>
      </c>
      <c r="G395" s="7" t="inlineStr"/>
      <c r="H395" s="20" t="n">
        <v>1.06</v>
      </c>
      <c r="I395" s="21" t="n">
        <v>312</v>
      </c>
      <c r="J395" s="22" t="n">
        <v>1.578</v>
      </c>
      <c r="K395" s="9">
        <f>ROUND(H395*I395*J395, 2)</f>
        <v/>
      </c>
      <c r="L395" s="23">
        <f>ROUND(K395/1000, 3)</f>
        <v/>
      </c>
      <c r="M395" s="8">
        <f>IF(AO395="","",IF(INDEX(Theo_Doi_Tan_Suat_Be_Tong!$C:$C,AO395)="","",INDEX(Theo_Doi_Tan_Suat_Be_Tong!$C:$C,AO395)-VLOOKUP(AN395,$AQ$2:$AR$7,2,FALSE)))</f>
        <v/>
      </c>
      <c r="N395" s="6" t="n"/>
      <c r="O395" s="24">
        <f>IF(ROUNDUP(S395/20,0)&gt;ROUNDUP(S394/20,0),"TN Ø16 (Lần " &amp; ROUNDUP(S395/20,0) &amp; ")","")</f>
        <v/>
      </c>
      <c r="P395" s="20">
        <f>ROUND(P394+IF(AND(E395&lt;=10,F395&lt;&gt;"ASTM A416"),L395,0),3)</f>
        <v/>
      </c>
      <c r="Q395" s="20">
        <f>ROUND(Q394+IF(AND(E395=12,F395&lt;&gt;"ASTM A416"),L395,0),3)</f>
        <v/>
      </c>
      <c r="R395" s="20">
        <f>ROUND(R394+IF(AND(E395=14,F395&lt;&gt;"ASTM A416"),L395,0),3)</f>
        <v/>
      </c>
      <c r="S395" s="20">
        <f>ROUND(S394+IF(AND(E395=16,F395&lt;&gt;"ASTM A416"),L395,0),3)</f>
        <v/>
      </c>
      <c r="T395" s="20">
        <f>ROUND(T394+IF(AND(E395=18,F395&lt;&gt;"ASTM A416"),L395,0),3)</f>
        <v/>
      </c>
      <c r="U395" s="20">
        <f>ROUND(U394+IF(AND(E395=20,F395&lt;&gt;"ASTM A416"),L395,0),3)</f>
        <v/>
      </c>
      <c r="V395" s="20">
        <f>ROUND(V394+IF(AND(E395=22,F395&lt;&gt;"ASTM A416"),L395,0),3)</f>
        <v/>
      </c>
      <c r="W395" s="20">
        <f>ROUND(W394+IF(AND(E395=25,F395&lt;&gt;"ASTM A416"),L395,0),3)</f>
        <v/>
      </c>
      <c r="X395" s="20">
        <f>ROUND(X394+IF(AND(E395=28,F395&lt;&gt;"ASTM A416"),L395,0),3)</f>
        <v/>
      </c>
      <c r="Y395" s="20">
        <f>ROUND(Y394+IF(AND(E395=32,F395&lt;&gt;"ASTM A416"),L395,0),3)</f>
        <v/>
      </c>
      <c r="Z395" s="20">
        <f>ROUND(Z394+IF(F395="ASTM A416",L395,0),3)</f>
        <v/>
      </c>
      <c r="AA395" s="11">
        <f>IF(ROUNDUP(P395/20,0)&gt;ROUNDUP(P394/20,0),"Lần " &amp; ROUNDUP(P395/20,0),"")</f>
        <v/>
      </c>
      <c r="AB395" s="11">
        <f>IF(ROUNDUP(Q395/20,0)&gt;ROUNDUP(Q394/20,0),"Lần " &amp; ROUNDUP(Q395/20,0),"")</f>
        <v/>
      </c>
      <c r="AC395" s="11">
        <f>IF(ROUNDUP(R395/20,0)&gt;ROUNDUP(R394/20,0),"Lần " &amp; ROUNDUP(R395/20,0),"")</f>
        <v/>
      </c>
      <c r="AD395" s="11">
        <f>IF(ROUNDUP(S395/20,0)&gt;ROUNDUP(S394/20,0),"Lần " &amp; ROUNDUP(S395/20,0),"")</f>
        <v/>
      </c>
      <c r="AE395" s="11">
        <f>IF(ROUNDUP(T395/20,0)&gt;ROUNDUP(T394/20,0),"Lần " &amp; ROUNDUP(T395/20,0),"")</f>
        <v/>
      </c>
      <c r="AF395" s="11">
        <f>IF(ROUNDUP(U395/20,0)&gt;ROUNDUP(U394/20,0),"Lần " &amp; ROUNDUP(U395/20,0),"")</f>
        <v/>
      </c>
      <c r="AG395" s="11">
        <f>IF(ROUNDUP(V395/20,0)&gt;ROUNDUP(V394/20,0),"Lần " &amp; ROUNDUP(V395/20,0),"")</f>
        <v/>
      </c>
      <c r="AH395" s="11">
        <f>IF(ROUNDUP(W395/20,0)&gt;ROUNDUP(W394/20,0),"Lần " &amp; ROUNDUP(W395/20,0),"")</f>
        <v/>
      </c>
      <c r="AI395" s="11">
        <f>IF(ROUNDUP(X395/20,0)&gt;ROUNDUP(X394/20,0),"Lần " &amp; ROUNDUP(X395/20,0),"")</f>
        <v/>
      </c>
      <c r="AJ395" s="11">
        <f>IF(ROUNDUP(Y395/20,0)&gt;ROUNDUP(Y394/20,0),"Lần " &amp; ROUNDUP(Y395/20,0),"")</f>
        <v/>
      </c>
      <c r="AK395" s="11">
        <f>IF(ROUNDUP(Z395/20,0)&gt;ROUNDUP(Z394/20,0),"Lần " &amp; ROUNDUP(Z395/20,0),"")</f>
        <v/>
      </c>
      <c r="AL395" s="6" t="n"/>
      <c r="AN395" t="inlineStr">
        <is>
          <t>HoanThien</t>
        </is>
      </c>
      <c r="AO395" t="n">
        <v>86</v>
      </c>
    </row>
    <row r="396" ht="19" customHeight="1">
      <c r="A396" s="6" t="n">
        <v>380</v>
      </c>
      <c r="B396" s="7" t="inlineStr">
        <is>
          <t>Khe co giãn</t>
        </is>
      </c>
      <c r="C396" s="7" t="inlineStr">
        <is>
          <t>Khe co giãn (tr.121)</t>
        </is>
      </c>
      <c r="D396" s="18" t="inlineStr">
        <is>
          <t>K3</t>
        </is>
      </c>
      <c r="E396" s="19" t="n">
        <v>16</v>
      </c>
      <c r="F396" s="6" t="inlineStr">
        <is>
          <t>CB400-V</t>
        </is>
      </c>
      <c r="G396" s="7" t="inlineStr"/>
      <c r="H396" s="20" t="n">
        <v>1.02</v>
      </c>
      <c r="I396" s="21" t="n">
        <v>156</v>
      </c>
      <c r="J396" s="22" t="n">
        <v>1.578</v>
      </c>
      <c r="K396" s="9">
        <f>ROUND(H396*I396*J396, 2)</f>
        <v/>
      </c>
      <c r="L396" s="23">
        <f>ROUND(K396/1000, 3)</f>
        <v/>
      </c>
      <c r="M396" s="8">
        <f>IF(AO396="","",IF(INDEX(Theo_Doi_Tan_Suat_Be_Tong!$C:$C,AO396)="","",INDEX(Theo_Doi_Tan_Suat_Be_Tong!$C:$C,AO396)-VLOOKUP(AN396,$AQ$2:$AR$7,2,FALSE)))</f>
        <v/>
      </c>
      <c r="N396" s="6" t="n"/>
      <c r="O396" s="24">
        <f>IF(ROUNDUP(S396/20,0)&gt;ROUNDUP(S395/20,0),"TN Ø16 (Lần " &amp; ROUNDUP(S396/20,0) &amp; ")","")</f>
        <v/>
      </c>
      <c r="P396" s="20">
        <f>ROUND(P395+IF(AND(E396&lt;=10,F396&lt;&gt;"ASTM A416"),L396,0),3)</f>
        <v/>
      </c>
      <c r="Q396" s="20">
        <f>ROUND(Q395+IF(AND(E396=12,F396&lt;&gt;"ASTM A416"),L396,0),3)</f>
        <v/>
      </c>
      <c r="R396" s="20">
        <f>ROUND(R395+IF(AND(E396=14,F396&lt;&gt;"ASTM A416"),L396,0),3)</f>
        <v/>
      </c>
      <c r="S396" s="20">
        <f>ROUND(S395+IF(AND(E396=16,F396&lt;&gt;"ASTM A416"),L396,0),3)</f>
        <v/>
      </c>
      <c r="T396" s="20">
        <f>ROUND(T395+IF(AND(E396=18,F396&lt;&gt;"ASTM A416"),L396,0),3)</f>
        <v/>
      </c>
      <c r="U396" s="20">
        <f>ROUND(U395+IF(AND(E396=20,F396&lt;&gt;"ASTM A416"),L396,0),3)</f>
        <v/>
      </c>
      <c r="V396" s="20">
        <f>ROUND(V395+IF(AND(E396=22,F396&lt;&gt;"ASTM A416"),L396,0),3)</f>
        <v/>
      </c>
      <c r="W396" s="20">
        <f>ROUND(W395+IF(AND(E396=25,F396&lt;&gt;"ASTM A416"),L396,0),3)</f>
        <v/>
      </c>
      <c r="X396" s="20">
        <f>ROUND(X395+IF(AND(E396=28,F396&lt;&gt;"ASTM A416"),L396,0),3)</f>
        <v/>
      </c>
      <c r="Y396" s="20">
        <f>ROUND(Y395+IF(AND(E396=32,F396&lt;&gt;"ASTM A416"),L396,0),3)</f>
        <v/>
      </c>
      <c r="Z396" s="20">
        <f>ROUND(Z395+IF(F396="ASTM A416",L396,0),3)</f>
        <v/>
      </c>
      <c r="AA396" s="11">
        <f>IF(ROUNDUP(P396/20,0)&gt;ROUNDUP(P395/20,0),"Lần " &amp; ROUNDUP(P396/20,0),"")</f>
        <v/>
      </c>
      <c r="AB396" s="11">
        <f>IF(ROUNDUP(Q396/20,0)&gt;ROUNDUP(Q395/20,0),"Lần " &amp; ROUNDUP(Q396/20,0),"")</f>
        <v/>
      </c>
      <c r="AC396" s="11">
        <f>IF(ROUNDUP(R396/20,0)&gt;ROUNDUP(R395/20,0),"Lần " &amp; ROUNDUP(R396/20,0),"")</f>
        <v/>
      </c>
      <c r="AD396" s="11">
        <f>IF(ROUNDUP(S396/20,0)&gt;ROUNDUP(S395/20,0),"Lần " &amp; ROUNDUP(S396/20,0),"")</f>
        <v/>
      </c>
      <c r="AE396" s="11">
        <f>IF(ROUNDUP(T396/20,0)&gt;ROUNDUP(T395/20,0),"Lần " &amp; ROUNDUP(T396/20,0),"")</f>
        <v/>
      </c>
      <c r="AF396" s="11">
        <f>IF(ROUNDUP(U396/20,0)&gt;ROUNDUP(U395/20,0),"Lần " &amp; ROUNDUP(U396/20,0),"")</f>
        <v/>
      </c>
      <c r="AG396" s="11">
        <f>IF(ROUNDUP(V396/20,0)&gt;ROUNDUP(V395/20,0),"Lần " &amp; ROUNDUP(V396/20,0),"")</f>
        <v/>
      </c>
      <c r="AH396" s="11">
        <f>IF(ROUNDUP(W396/20,0)&gt;ROUNDUP(W395/20,0),"Lần " &amp; ROUNDUP(W396/20,0),"")</f>
        <v/>
      </c>
      <c r="AI396" s="11">
        <f>IF(ROUNDUP(X396/20,0)&gt;ROUNDUP(X395/20,0),"Lần " &amp; ROUNDUP(X396/20,0),"")</f>
        <v/>
      </c>
      <c r="AJ396" s="11">
        <f>IF(ROUNDUP(Y396/20,0)&gt;ROUNDUP(Y395/20,0),"Lần " &amp; ROUNDUP(Y396/20,0),"")</f>
        <v/>
      </c>
      <c r="AK396" s="11">
        <f>IF(ROUNDUP(Z396/20,0)&gt;ROUNDUP(Z395/20,0),"Lần " &amp; ROUNDUP(Z396/20,0),"")</f>
        <v/>
      </c>
      <c r="AL396" s="6" t="n"/>
      <c r="AN396" t="inlineStr">
        <is>
          <t>HoanThien</t>
        </is>
      </c>
      <c r="AO396" t="n">
        <v>86</v>
      </c>
    </row>
    <row r="397" ht="19" customHeight="1">
      <c r="A397" s="17" t="inlineStr">
        <is>
          <t>--- CỌC KHOAN NHỒI C1 MỐ M1 (D1.2M, L=20.0M) ---</t>
        </is>
      </c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  <c r="AG397" s="35" t="n"/>
      <c r="AH397" s="35" t="n"/>
      <c r="AI397" s="35" t="n"/>
      <c r="AJ397" s="35" t="n"/>
      <c r="AK397" s="35" t="n"/>
      <c r="AL397" s="34" t="n"/>
    </row>
    <row r="398" ht="19" customHeight="1">
      <c r="A398" s="6" t="n">
        <v>381</v>
      </c>
      <c r="B398" s="7" t="inlineStr">
        <is>
          <t>Cọc khoan nhồi C1 Mố M1 (D1.2m, L=20.0m)</t>
        </is>
      </c>
      <c r="C398" s="7" t="inlineStr">
        <is>
          <t>Cọc mố M1 L=20m (tr.64)</t>
        </is>
      </c>
      <c r="D398" s="18" t="inlineStr">
        <is>
          <t>P1</t>
        </is>
      </c>
      <c r="E398" s="19" t="n">
        <v>10</v>
      </c>
      <c r="F398" s="6" t="inlineStr">
        <is>
          <t>CB240-T</t>
        </is>
      </c>
      <c r="G398" s="7" t="inlineStr"/>
      <c r="H398" s="20" t="n">
        <v>96.604</v>
      </c>
      <c r="I398" s="21" t="n">
        <v>1</v>
      </c>
      <c r="J398" s="22" t="n">
        <v>0.617</v>
      </c>
      <c r="K398" s="9">
        <f>ROUND(H398*I398*J398, 2)</f>
        <v/>
      </c>
      <c r="L398" s="23">
        <f>ROUND(K398/1000, 3)</f>
        <v/>
      </c>
      <c r="M398" s="8">
        <f>IF(AO398="","",IF(INDEX(Theo_Doi_Tan_Suat_Be_Tong!$C:$C,AO398)="","",INDEX(Theo_Doi_Tan_Suat_Be_Tong!$C:$C,AO398)-VLOOKUP(AN398,$AQ$2:$AR$7,2,FALSE)))</f>
        <v/>
      </c>
      <c r="N398" s="6" t="n"/>
      <c r="O398" s="24">
        <f>IF(ROUNDUP(P398/20,0)&gt;ROUNDUP(P396/20,0),"TN Ø10 (Lần " &amp; ROUNDUP(P398/20,0) &amp; ")","")</f>
        <v/>
      </c>
      <c r="P398" s="20">
        <f>ROUND(P396+IF(AND(E398&lt;=10,F398&lt;&gt;"ASTM A416"),L398,0),3)</f>
        <v/>
      </c>
      <c r="Q398" s="20">
        <f>ROUND(Q396+IF(AND(E398=12,F398&lt;&gt;"ASTM A416"),L398,0),3)</f>
        <v/>
      </c>
      <c r="R398" s="20">
        <f>ROUND(R396+IF(AND(E398=14,F398&lt;&gt;"ASTM A416"),L398,0),3)</f>
        <v/>
      </c>
      <c r="S398" s="20">
        <f>ROUND(S396+IF(AND(E398=16,F398&lt;&gt;"ASTM A416"),L398,0),3)</f>
        <v/>
      </c>
      <c r="T398" s="20">
        <f>ROUND(T396+IF(AND(E398=18,F398&lt;&gt;"ASTM A416"),L398,0),3)</f>
        <v/>
      </c>
      <c r="U398" s="20">
        <f>ROUND(U396+IF(AND(E398=20,F398&lt;&gt;"ASTM A416"),L398,0),3)</f>
        <v/>
      </c>
      <c r="V398" s="20">
        <f>ROUND(V396+IF(AND(E398=22,F398&lt;&gt;"ASTM A416"),L398,0),3)</f>
        <v/>
      </c>
      <c r="W398" s="20">
        <f>ROUND(W396+IF(AND(E398=25,F398&lt;&gt;"ASTM A416"),L398,0),3)</f>
        <v/>
      </c>
      <c r="X398" s="20">
        <f>ROUND(X396+IF(AND(E398=28,F398&lt;&gt;"ASTM A416"),L398,0),3)</f>
        <v/>
      </c>
      <c r="Y398" s="20">
        <f>ROUND(Y396+IF(AND(E398=32,F398&lt;&gt;"ASTM A416"),L398,0),3)</f>
        <v/>
      </c>
      <c r="Z398" s="20">
        <f>ROUND(Z396+IF(F398="ASTM A416",L398,0),3)</f>
        <v/>
      </c>
      <c r="AA398" s="11">
        <f>IF(ROUNDUP(P398/20,0)&gt;ROUNDUP(P396/20,0),"Lần " &amp; ROUNDUP(P398/20,0),"")</f>
        <v/>
      </c>
      <c r="AB398" s="11">
        <f>IF(ROUNDUP(Q398/20,0)&gt;ROUNDUP(Q396/20,0),"Lần " &amp; ROUNDUP(Q398/20,0),"")</f>
        <v/>
      </c>
      <c r="AC398" s="11">
        <f>IF(ROUNDUP(R398/20,0)&gt;ROUNDUP(R396/20,0),"Lần " &amp; ROUNDUP(R398/20,0),"")</f>
        <v/>
      </c>
      <c r="AD398" s="11">
        <f>IF(ROUNDUP(S398/20,0)&gt;ROUNDUP(S396/20,0),"Lần " &amp; ROUNDUP(S398/20,0),"")</f>
        <v/>
      </c>
      <c r="AE398" s="11">
        <f>IF(ROUNDUP(T398/20,0)&gt;ROUNDUP(T396/20,0),"Lần " &amp; ROUNDUP(T398/20,0),"")</f>
        <v/>
      </c>
      <c r="AF398" s="11">
        <f>IF(ROUNDUP(U398/20,0)&gt;ROUNDUP(U396/20,0),"Lần " &amp; ROUNDUP(U398/20,0),"")</f>
        <v/>
      </c>
      <c r="AG398" s="11">
        <f>IF(ROUNDUP(V398/20,0)&gt;ROUNDUP(V396/20,0),"Lần " &amp; ROUNDUP(V398/20,0),"")</f>
        <v/>
      </c>
      <c r="AH398" s="11">
        <f>IF(ROUNDUP(W398/20,0)&gt;ROUNDUP(W396/20,0),"Lần " &amp; ROUNDUP(W398/20,0),"")</f>
        <v/>
      </c>
      <c r="AI398" s="11">
        <f>IF(ROUNDUP(X398/20,0)&gt;ROUNDUP(X396/20,0),"Lần " &amp; ROUNDUP(X398/20,0),"")</f>
        <v/>
      </c>
      <c r="AJ398" s="11">
        <f>IF(ROUNDUP(Y398/20,0)&gt;ROUNDUP(Y396/20,0),"Lần " &amp; ROUNDUP(Y398/20,0),"")</f>
        <v/>
      </c>
      <c r="AK398" s="11">
        <f>IF(ROUNDUP(Z398/20,0)&gt;ROUNDUP(Z396/20,0),"Lần " &amp; ROUNDUP(Z398/20,0),"")</f>
        <v/>
      </c>
      <c r="AL398" s="6" t="n"/>
      <c r="AN398" t="inlineStr">
        <is>
          <t>Coc</t>
        </is>
      </c>
      <c r="AO398" t="n">
        <v>4</v>
      </c>
    </row>
    <row r="399" ht="19" customHeight="1">
      <c r="A399" s="6" t="n">
        <v>382</v>
      </c>
      <c r="B399" s="7" t="inlineStr">
        <is>
          <t>Cọc khoan nhồi C1 Mố M1 (D1.2m, L=20.0m)</t>
        </is>
      </c>
      <c r="C399" s="7" t="inlineStr">
        <is>
          <t>Cọc mố M1 L=20m (tr.64)</t>
        </is>
      </c>
      <c r="D399" s="18" t="inlineStr">
        <is>
          <t>P1A</t>
        </is>
      </c>
      <c r="E399" s="19" t="n">
        <v>10</v>
      </c>
      <c r="F399" s="6" t="inlineStr">
        <is>
          <t>CB240-T</t>
        </is>
      </c>
      <c r="G399" s="7" t="inlineStr"/>
      <c r="H399" s="20" t="n">
        <v>373.535</v>
      </c>
      <c r="I399" s="21" t="n">
        <v>1</v>
      </c>
      <c r="J399" s="22" t="n">
        <v>0.617</v>
      </c>
      <c r="K399" s="9">
        <f>ROUND(H399*I399*J399, 2)</f>
        <v/>
      </c>
      <c r="L399" s="23">
        <f>ROUND(K399/1000, 3)</f>
        <v/>
      </c>
      <c r="M399" s="8">
        <f>IF(AO399="","",IF(INDEX(Theo_Doi_Tan_Suat_Be_Tong!$C:$C,AO399)="","",INDEX(Theo_Doi_Tan_Suat_Be_Tong!$C:$C,AO399)-VLOOKUP(AN399,$AQ$2:$AR$7,2,FALSE)))</f>
        <v/>
      </c>
      <c r="N399" s="6" t="n"/>
      <c r="O399" s="24">
        <f>IF(ROUNDUP(P399/20,0)&gt;ROUNDUP(P398/20,0),"TN Ø10 (Lần " &amp; ROUNDUP(P399/20,0) &amp; ")","")</f>
        <v/>
      </c>
      <c r="P399" s="20">
        <f>ROUND(P398+IF(AND(E399&lt;=10,F399&lt;&gt;"ASTM A416"),L399,0),3)</f>
        <v/>
      </c>
      <c r="Q399" s="20">
        <f>ROUND(Q398+IF(AND(E399=12,F399&lt;&gt;"ASTM A416"),L399,0),3)</f>
        <v/>
      </c>
      <c r="R399" s="20">
        <f>ROUND(R398+IF(AND(E399=14,F399&lt;&gt;"ASTM A416"),L399,0),3)</f>
        <v/>
      </c>
      <c r="S399" s="20">
        <f>ROUND(S398+IF(AND(E399=16,F399&lt;&gt;"ASTM A416"),L399,0),3)</f>
        <v/>
      </c>
      <c r="T399" s="20">
        <f>ROUND(T398+IF(AND(E399=18,F399&lt;&gt;"ASTM A416"),L399,0),3)</f>
        <v/>
      </c>
      <c r="U399" s="20">
        <f>ROUND(U398+IF(AND(E399=20,F399&lt;&gt;"ASTM A416"),L399,0),3)</f>
        <v/>
      </c>
      <c r="V399" s="20">
        <f>ROUND(V398+IF(AND(E399=22,F399&lt;&gt;"ASTM A416"),L399,0),3)</f>
        <v/>
      </c>
      <c r="W399" s="20">
        <f>ROUND(W398+IF(AND(E399=25,F399&lt;&gt;"ASTM A416"),L399,0),3)</f>
        <v/>
      </c>
      <c r="X399" s="20">
        <f>ROUND(X398+IF(AND(E399=28,F399&lt;&gt;"ASTM A416"),L399,0),3)</f>
        <v/>
      </c>
      <c r="Y399" s="20">
        <f>ROUND(Y398+IF(AND(E399=32,F399&lt;&gt;"ASTM A416"),L399,0),3)</f>
        <v/>
      </c>
      <c r="Z399" s="20">
        <f>ROUND(Z398+IF(F399="ASTM A416",L399,0),3)</f>
        <v/>
      </c>
      <c r="AA399" s="11">
        <f>IF(ROUNDUP(P399/20,0)&gt;ROUNDUP(P398/20,0),"Lần " &amp; ROUNDUP(P399/20,0),"")</f>
        <v/>
      </c>
      <c r="AB399" s="11">
        <f>IF(ROUNDUP(Q399/20,0)&gt;ROUNDUP(Q398/20,0),"Lần " &amp; ROUNDUP(Q399/20,0),"")</f>
        <v/>
      </c>
      <c r="AC399" s="11">
        <f>IF(ROUNDUP(R399/20,0)&gt;ROUNDUP(R398/20,0),"Lần " &amp; ROUNDUP(R399/20,0),"")</f>
        <v/>
      </c>
      <c r="AD399" s="11">
        <f>IF(ROUNDUP(S399/20,0)&gt;ROUNDUP(S398/20,0),"Lần " &amp; ROUNDUP(S399/20,0),"")</f>
        <v/>
      </c>
      <c r="AE399" s="11">
        <f>IF(ROUNDUP(T399/20,0)&gt;ROUNDUP(T398/20,0),"Lần " &amp; ROUNDUP(T399/20,0),"")</f>
        <v/>
      </c>
      <c r="AF399" s="11">
        <f>IF(ROUNDUP(U399/20,0)&gt;ROUNDUP(U398/20,0),"Lần " &amp; ROUNDUP(U399/20,0),"")</f>
        <v/>
      </c>
      <c r="AG399" s="11">
        <f>IF(ROUNDUP(V399/20,0)&gt;ROUNDUP(V398/20,0),"Lần " &amp; ROUNDUP(V399/20,0),"")</f>
        <v/>
      </c>
      <c r="AH399" s="11">
        <f>IF(ROUNDUP(W399/20,0)&gt;ROUNDUP(W398/20,0),"Lần " &amp; ROUNDUP(W399/20,0),"")</f>
        <v/>
      </c>
      <c r="AI399" s="11">
        <f>IF(ROUNDUP(X399/20,0)&gt;ROUNDUP(X398/20,0),"Lần " &amp; ROUNDUP(X399/20,0),"")</f>
        <v/>
      </c>
      <c r="AJ399" s="11">
        <f>IF(ROUNDUP(Y399/20,0)&gt;ROUNDUP(Y398/20,0),"Lần " &amp; ROUNDUP(Y399/20,0),"")</f>
        <v/>
      </c>
      <c r="AK399" s="11">
        <f>IF(ROUNDUP(Z399/20,0)&gt;ROUNDUP(Z398/20,0),"Lần " &amp; ROUNDUP(Z399/20,0),"")</f>
        <v/>
      </c>
      <c r="AL399" s="6" t="n"/>
      <c r="AN399" t="inlineStr">
        <is>
          <t>Coc</t>
        </is>
      </c>
      <c r="AO399" t="n">
        <v>4</v>
      </c>
    </row>
    <row r="400" ht="19" customHeight="1">
      <c r="A400" s="6" t="n">
        <v>383</v>
      </c>
      <c r="B400" s="7" t="inlineStr">
        <is>
          <t>Cọc khoan nhồi C1 Mố M1 (D1.2m, L=20.0m)</t>
        </is>
      </c>
      <c r="C400" s="7" t="inlineStr">
        <is>
          <t>Cọc mố M1 L=20m (tr.64)</t>
        </is>
      </c>
      <c r="D400" s="18" t="inlineStr">
        <is>
          <t>P1C</t>
        </is>
      </c>
      <c r="E400" s="19" t="n">
        <v>10</v>
      </c>
      <c r="F400" s="6" t="inlineStr">
        <is>
          <t>CB240-T</t>
        </is>
      </c>
      <c r="G400" s="7" t="inlineStr"/>
      <c r="H400" s="20" t="n">
        <v>3.592</v>
      </c>
      <c r="I400" s="21" t="n">
        <v>2</v>
      </c>
      <c r="J400" s="22" t="n">
        <v>0.617</v>
      </c>
      <c r="K400" s="9">
        <f>ROUND(H400*I400*J400, 2)</f>
        <v/>
      </c>
      <c r="L400" s="23">
        <f>ROUND(K400/1000, 3)</f>
        <v/>
      </c>
      <c r="M400" s="8">
        <f>IF(AO400="","",IF(INDEX(Theo_Doi_Tan_Suat_Be_Tong!$C:$C,AO400)="","",INDEX(Theo_Doi_Tan_Suat_Be_Tong!$C:$C,AO400)-VLOOKUP(AN400,$AQ$2:$AR$7,2,FALSE)))</f>
        <v/>
      </c>
      <c r="N400" s="6" t="n"/>
      <c r="O400" s="24">
        <f>IF(ROUNDUP(P400/20,0)&gt;ROUNDUP(P399/20,0),"TN Ø10 (Lần " &amp; ROUNDUP(P400/20,0) &amp; ")","")</f>
        <v/>
      </c>
      <c r="P400" s="20">
        <f>ROUND(P399+IF(AND(E400&lt;=10,F400&lt;&gt;"ASTM A416"),L400,0),3)</f>
        <v/>
      </c>
      <c r="Q400" s="20">
        <f>ROUND(Q399+IF(AND(E400=12,F400&lt;&gt;"ASTM A416"),L400,0),3)</f>
        <v/>
      </c>
      <c r="R400" s="20">
        <f>ROUND(R399+IF(AND(E400=14,F400&lt;&gt;"ASTM A416"),L400,0),3)</f>
        <v/>
      </c>
      <c r="S400" s="20">
        <f>ROUND(S399+IF(AND(E400=16,F400&lt;&gt;"ASTM A416"),L400,0),3)</f>
        <v/>
      </c>
      <c r="T400" s="20">
        <f>ROUND(T399+IF(AND(E400=18,F400&lt;&gt;"ASTM A416"),L400,0),3)</f>
        <v/>
      </c>
      <c r="U400" s="20">
        <f>ROUND(U399+IF(AND(E400=20,F400&lt;&gt;"ASTM A416"),L400,0),3)</f>
        <v/>
      </c>
      <c r="V400" s="20">
        <f>ROUND(V399+IF(AND(E400=22,F400&lt;&gt;"ASTM A416"),L400,0),3)</f>
        <v/>
      </c>
      <c r="W400" s="20">
        <f>ROUND(W399+IF(AND(E400=25,F400&lt;&gt;"ASTM A416"),L400,0),3)</f>
        <v/>
      </c>
      <c r="X400" s="20">
        <f>ROUND(X399+IF(AND(E400=28,F400&lt;&gt;"ASTM A416"),L400,0),3)</f>
        <v/>
      </c>
      <c r="Y400" s="20">
        <f>ROUND(Y399+IF(AND(E400=32,F400&lt;&gt;"ASTM A416"),L400,0),3)</f>
        <v/>
      </c>
      <c r="Z400" s="20">
        <f>ROUND(Z399+IF(F400="ASTM A416",L400,0),3)</f>
        <v/>
      </c>
      <c r="AA400" s="11">
        <f>IF(ROUNDUP(P400/20,0)&gt;ROUNDUP(P399/20,0),"Lần " &amp; ROUNDUP(P400/20,0),"")</f>
        <v/>
      </c>
      <c r="AB400" s="11">
        <f>IF(ROUNDUP(Q400/20,0)&gt;ROUNDUP(Q399/20,0),"Lần " &amp; ROUNDUP(Q400/20,0),"")</f>
        <v/>
      </c>
      <c r="AC400" s="11">
        <f>IF(ROUNDUP(R400/20,0)&gt;ROUNDUP(R399/20,0),"Lần " &amp; ROUNDUP(R400/20,0),"")</f>
        <v/>
      </c>
      <c r="AD400" s="11">
        <f>IF(ROUNDUP(S400/20,0)&gt;ROUNDUP(S399/20,0),"Lần " &amp; ROUNDUP(S400/20,0),"")</f>
        <v/>
      </c>
      <c r="AE400" s="11">
        <f>IF(ROUNDUP(T400/20,0)&gt;ROUNDUP(T399/20,0),"Lần " &amp; ROUNDUP(T400/20,0),"")</f>
        <v/>
      </c>
      <c r="AF400" s="11">
        <f>IF(ROUNDUP(U400/20,0)&gt;ROUNDUP(U399/20,0),"Lần " &amp; ROUNDUP(U400/20,0),"")</f>
        <v/>
      </c>
      <c r="AG400" s="11">
        <f>IF(ROUNDUP(V400/20,0)&gt;ROUNDUP(V399/20,0),"Lần " &amp; ROUNDUP(V400/20,0),"")</f>
        <v/>
      </c>
      <c r="AH400" s="11">
        <f>IF(ROUNDUP(W400/20,0)&gt;ROUNDUP(W399/20,0),"Lần " &amp; ROUNDUP(W400/20,0),"")</f>
        <v/>
      </c>
      <c r="AI400" s="11">
        <f>IF(ROUNDUP(X400/20,0)&gt;ROUNDUP(X399/20,0),"Lần " &amp; ROUNDUP(X400/20,0),"")</f>
        <v/>
      </c>
      <c r="AJ400" s="11">
        <f>IF(ROUNDUP(Y400/20,0)&gt;ROUNDUP(Y399/20,0),"Lần " &amp; ROUNDUP(Y400/20,0),"")</f>
        <v/>
      </c>
      <c r="AK400" s="11">
        <f>IF(ROUNDUP(Z400/20,0)&gt;ROUNDUP(Z399/20,0),"Lần " &amp; ROUNDUP(Z400/20,0),"")</f>
        <v/>
      </c>
      <c r="AL400" s="6" t="n"/>
      <c r="AN400" t="inlineStr">
        <is>
          <t>Coc</t>
        </is>
      </c>
      <c r="AO400" t="n">
        <v>4</v>
      </c>
    </row>
    <row r="401" ht="19" customHeight="1">
      <c r="A401" s="6" t="n">
        <v>384</v>
      </c>
      <c r="B401" s="7" t="inlineStr">
        <is>
          <t>Cọc khoan nhồi C1 Mố M1 (D1.2m, L=20.0m)</t>
        </is>
      </c>
      <c r="C401" s="7" t="inlineStr">
        <is>
          <t>Cọc mố M1 L=20m (tr.64)</t>
        </is>
      </c>
      <c r="D401" s="18" t="inlineStr">
        <is>
          <t>P1D</t>
        </is>
      </c>
      <c r="E401" s="19" t="n">
        <v>10</v>
      </c>
      <c r="F401" s="6" t="inlineStr">
        <is>
          <t>CB240-T</t>
        </is>
      </c>
      <c r="G401" s="7" t="inlineStr"/>
      <c r="H401" s="20" t="n">
        <v>19.721</v>
      </c>
      <c r="I401" s="21" t="n">
        <v>1</v>
      </c>
      <c r="J401" s="22" t="n">
        <v>0.617</v>
      </c>
      <c r="K401" s="9">
        <f>ROUND(H401*I401*J401, 2)</f>
        <v/>
      </c>
      <c r="L401" s="23">
        <f>ROUND(K401/1000, 3)</f>
        <v/>
      </c>
      <c r="M401" s="8">
        <f>IF(AO401="","",IF(INDEX(Theo_Doi_Tan_Suat_Be_Tong!$C:$C,AO401)="","",INDEX(Theo_Doi_Tan_Suat_Be_Tong!$C:$C,AO401)-VLOOKUP(AN401,$AQ$2:$AR$7,2,FALSE)))</f>
        <v/>
      </c>
      <c r="N401" s="6" t="n"/>
      <c r="O401" s="24">
        <f>IF(ROUNDUP(P401/20,0)&gt;ROUNDUP(P400/20,0),"TN Ø10 (Lần " &amp; ROUNDUP(P401/20,0) &amp; ")","")</f>
        <v/>
      </c>
      <c r="P401" s="20">
        <f>ROUND(P400+IF(AND(E401&lt;=10,F401&lt;&gt;"ASTM A416"),L401,0),3)</f>
        <v/>
      </c>
      <c r="Q401" s="20">
        <f>ROUND(Q400+IF(AND(E401=12,F401&lt;&gt;"ASTM A416"),L401,0),3)</f>
        <v/>
      </c>
      <c r="R401" s="20">
        <f>ROUND(R400+IF(AND(E401=14,F401&lt;&gt;"ASTM A416"),L401,0),3)</f>
        <v/>
      </c>
      <c r="S401" s="20">
        <f>ROUND(S400+IF(AND(E401=16,F401&lt;&gt;"ASTM A416"),L401,0),3)</f>
        <v/>
      </c>
      <c r="T401" s="20">
        <f>ROUND(T400+IF(AND(E401=18,F401&lt;&gt;"ASTM A416"),L401,0),3)</f>
        <v/>
      </c>
      <c r="U401" s="20">
        <f>ROUND(U400+IF(AND(E401=20,F401&lt;&gt;"ASTM A416"),L401,0),3)</f>
        <v/>
      </c>
      <c r="V401" s="20">
        <f>ROUND(V400+IF(AND(E401=22,F401&lt;&gt;"ASTM A416"),L401,0),3)</f>
        <v/>
      </c>
      <c r="W401" s="20">
        <f>ROUND(W400+IF(AND(E401=25,F401&lt;&gt;"ASTM A416"),L401,0),3)</f>
        <v/>
      </c>
      <c r="X401" s="20">
        <f>ROUND(X400+IF(AND(E401=28,F401&lt;&gt;"ASTM A416"),L401,0),3)</f>
        <v/>
      </c>
      <c r="Y401" s="20">
        <f>ROUND(Y400+IF(AND(E401=32,F401&lt;&gt;"ASTM A416"),L401,0),3)</f>
        <v/>
      </c>
      <c r="Z401" s="20">
        <f>ROUND(Z400+IF(F401="ASTM A416",L401,0),3)</f>
        <v/>
      </c>
      <c r="AA401" s="11">
        <f>IF(ROUNDUP(P401/20,0)&gt;ROUNDUP(P400/20,0),"Lần " &amp; ROUNDUP(P401/20,0),"")</f>
        <v/>
      </c>
      <c r="AB401" s="11">
        <f>IF(ROUNDUP(Q401/20,0)&gt;ROUNDUP(Q400/20,0),"Lần " &amp; ROUNDUP(Q401/20,0),"")</f>
        <v/>
      </c>
      <c r="AC401" s="11">
        <f>IF(ROUNDUP(R401/20,0)&gt;ROUNDUP(R400/20,0),"Lần " &amp; ROUNDUP(R401/20,0),"")</f>
        <v/>
      </c>
      <c r="AD401" s="11">
        <f>IF(ROUNDUP(S401/20,0)&gt;ROUNDUP(S400/20,0),"Lần " &amp; ROUNDUP(S401/20,0),"")</f>
        <v/>
      </c>
      <c r="AE401" s="11">
        <f>IF(ROUNDUP(T401/20,0)&gt;ROUNDUP(T400/20,0),"Lần " &amp; ROUNDUP(T401/20,0),"")</f>
        <v/>
      </c>
      <c r="AF401" s="11">
        <f>IF(ROUNDUP(U401/20,0)&gt;ROUNDUP(U400/20,0),"Lần " &amp; ROUNDUP(U401/20,0),"")</f>
        <v/>
      </c>
      <c r="AG401" s="11">
        <f>IF(ROUNDUP(V401/20,0)&gt;ROUNDUP(V400/20,0),"Lần " &amp; ROUNDUP(V401/20,0),"")</f>
        <v/>
      </c>
      <c r="AH401" s="11">
        <f>IF(ROUNDUP(W401/20,0)&gt;ROUNDUP(W400/20,0),"Lần " &amp; ROUNDUP(W401/20,0),"")</f>
        <v/>
      </c>
      <c r="AI401" s="11">
        <f>IF(ROUNDUP(X401/20,0)&gt;ROUNDUP(X400/20,0),"Lần " &amp; ROUNDUP(X401/20,0),"")</f>
        <v/>
      </c>
      <c r="AJ401" s="11">
        <f>IF(ROUNDUP(Y401/20,0)&gt;ROUNDUP(Y400/20,0),"Lần " &amp; ROUNDUP(Y401/20,0),"")</f>
        <v/>
      </c>
      <c r="AK401" s="11">
        <f>IF(ROUNDUP(Z401/20,0)&gt;ROUNDUP(Z400/20,0),"Lần " &amp; ROUNDUP(Z401/20,0),"")</f>
        <v/>
      </c>
      <c r="AL401" s="6" t="n"/>
      <c r="AN401" t="inlineStr">
        <is>
          <t>Coc</t>
        </is>
      </c>
      <c r="AO401" t="n">
        <v>4</v>
      </c>
    </row>
    <row r="402" ht="19" customHeight="1">
      <c r="A402" s="6" t="n">
        <v>385</v>
      </c>
      <c r="B402" s="7" t="inlineStr">
        <is>
          <t>Cọc khoan nhồi C1 Mố M1 (D1.2m, L=20.0m)</t>
        </is>
      </c>
      <c r="C402" s="7" t="inlineStr">
        <is>
          <t>Cọc mố M1 L=20m (tr.64)</t>
        </is>
      </c>
      <c r="D402" s="18" t="inlineStr">
        <is>
          <t>P2B</t>
        </is>
      </c>
      <c r="E402" s="19" t="n">
        <v>25</v>
      </c>
      <c r="F402" s="6" t="inlineStr">
        <is>
          <t>CB400-V</t>
        </is>
      </c>
      <c r="G402" s="7" t="inlineStr"/>
      <c r="H402" s="20" t="n">
        <v>2.985</v>
      </c>
      <c r="I402" s="21" t="n">
        <v>8</v>
      </c>
      <c r="J402" s="22" t="n">
        <v>3.853</v>
      </c>
      <c r="K402" s="9">
        <f>ROUND(H402*I402*J402, 2)</f>
        <v/>
      </c>
      <c r="L402" s="23">
        <f>ROUND(K402/1000, 3)</f>
        <v/>
      </c>
      <c r="M402" s="8">
        <f>IF(AO402="","",IF(INDEX(Theo_Doi_Tan_Suat_Be_Tong!$C:$C,AO402)="","",INDEX(Theo_Doi_Tan_Suat_Be_Tong!$C:$C,AO402)-VLOOKUP(AN402,$AQ$2:$AR$7,2,FALSE)))</f>
        <v/>
      </c>
      <c r="N402" s="6" t="n"/>
      <c r="O402" s="24">
        <f>IF(ROUNDUP(W402/20,0)&gt;ROUNDUP(W401/20,0),"TN Ø25 (Lần " &amp; ROUNDUP(W402/20,0) &amp; ")","")</f>
        <v/>
      </c>
      <c r="P402" s="20">
        <f>ROUND(P401+IF(AND(E402&lt;=10,F402&lt;&gt;"ASTM A416"),L402,0),3)</f>
        <v/>
      </c>
      <c r="Q402" s="20">
        <f>ROUND(Q401+IF(AND(E402=12,F402&lt;&gt;"ASTM A416"),L402,0),3)</f>
        <v/>
      </c>
      <c r="R402" s="20">
        <f>ROUND(R401+IF(AND(E402=14,F402&lt;&gt;"ASTM A416"),L402,0),3)</f>
        <v/>
      </c>
      <c r="S402" s="20">
        <f>ROUND(S401+IF(AND(E402=16,F402&lt;&gt;"ASTM A416"),L402,0),3)</f>
        <v/>
      </c>
      <c r="T402" s="20">
        <f>ROUND(T401+IF(AND(E402=18,F402&lt;&gt;"ASTM A416"),L402,0),3)</f>
        <v/>
      </c>
      <c r="U402" s="20">
        <f>ROUND(U401+IF(AND(E402=20,F402&lt;&gt;"ASTM A416"),L402,0),3)</f>
        <v/>
      </c>
      <c r="V402" s="20">
        <f>ROUND(V401+IF(AND(E402=22,F402&lt;&gt;"ASTM A416"),L402,0),3)</f>
        <v/>
      </c>
      <c r="W402" s="20">
        <f>ROUND(W401+IF(AND(E402=25,F402&lt;&gt;"ASTM A416"),L402,0),3)</f>
        <v/>
      </c>
      <c r="X402" s="20">
        <f>ROUND(X401+IF(AND(E402=28,F402&lt;&gt;"ASTM A416"),L402,0),3)</f>
        <v/>
      </c>
      <c r="Y402" s="20">
        <f>ROUND(Y401+IF(AND(E402=32,F402&lt;&gt;"ASTM A416"),L402,0),3)</f>
        <v/>
      </c>
      <c r="Z402" s="20">
        <f>ROUND(Z401+IF(F402="ASTM A416",L402,0),3)</f>
        <v/>
      </c>
      <c r="AA402" s="11">
        <f>IF(ROUNDUP(P402/20,0)&gt;ROUNDUP(P401/20,0),"Lần " &amp; ROUNDUP(P402/20,0),"")</f>
        <v/>
      </c>
      <c r="AB402" s="11">
        <f>IF(ROUNDUP(Q402/20,0)&gt;ROUNDUP(Q401/20,0),"Lần " &amp; ROUNDUP(Q402/20,0),"")</f>
        <v/>
      </c>
      <c r="AC402" s="11">
        <f>IF(ROUNDUP(R402/20,0)&gt;ROUNDUP(R401/20,0),"Lần " &amp; ROUNDUP(R402/20,0),"")</f>
        <v/>
      </c>
      <c r="AD402" s="11">
        <f>IF(ROUNDUP(S402/20,0)&gt;ROUNDUP(S401/20,0),"Lần " &amp; ROUNDUP(S402/20,0),"")</f>
        <v/>
      </c>
      <c r="AE402" s="11">
        <f>IF(ROUNDUP(T402/20,0)&gt;ROUNDUP(T401/20,0),"Lần " &amp; ROUNDUP(T402/20,0),"")</f>
        <v/>
      </c>
      <c r="AF402" s="11">
        <f>IF(ROUNDUP(U402/20,0)&gt;ROUNDUP(U401/20,0),"Lần " &amp; ROUNDUP(U402/20,0),"")</f>
        <v/>
      </c>
      <c r="AG402" s="11">
        <f>IF(ROUNDUP(V402/20,0)&gt;ROUNDUP(V401/20,0),"Lần " &amp; ROUNDUP(V402/20,0),"")</f>
        <v/>
      </c>
      <c r="AH402" s="11">
        <f>IF(ROUNDUP(W402/20,0)&gt;ROUNDUP(W401/20,0),"Lần " &amp; ROUNDUP(W402/20,0),"")</f>
        <v/>
      </c>
      <c r="AI402" s="11">
        <f>IF(ROUNDUP(X402/20,0)&gt;ROUNDUP(X401/20,0),"Lần " &amp; ROUNDUP(X402/20,0),"")</f>
        <v/>
      </c>
      <c r="AJ402" s="11">
        <f>IF(ROUNDUP(Y402/20,0)&gt;ROUNDUP(Y401/20,0),"Lần " &amp; ROUNDUP(Y402/20,0),"")</f>
        <v/>
      </c>
      <c r="AK402" s="11">
        <f>IF(ROUNDUP(Z402/20,0)&gt;ROUNDUP(Z401/20,0),"Lần " &amp; ROUNDUP(Z402/20,0),"")</f>
        <v/>
      </c>
      <c r="AL402" s="6" t="n"/>
      <c r="AN402" t="inlineStr">
        <is>
          <t>Coc</t>
        </is>
      </c>
      <c r="AO402" t="n">
        <v>4</v>
      </c>
    </row>
    <row r="403" ht="19" customHeight="1">
      <c r="A403" s="6" t="n">
        <v>386</v>
      </c>
      <c r="B403" s="7" t="inlineStr">
        <is>
          <t>Cọc khoan nhồi C1 Mố M1 (D1.2m, L=20.0m)</t>
        </is>
      </c>
      <c r="C403" s="7" t="inlineStr">
        <is>
          <t>Cọc mố M1 L=20m (tr.64)</t>
        </is>
      </c>
      <c r="D403" s="18" t="inlineStr">
        <is>
          <t>P3</t>
        </is>
      </c>
      <c r="E403" s="19" t="n">
        <v>25</v>
      </c>
      <c r="F403" s="6" t="inlineStr">
        <is>
          <t>CB400-V</t>
        </is>
      </c>
      <c r="G403" s="7" t="inlineStr"/>
      <c r="H403" s="20" t="n">
        <v>10.7</v>
      </c>
      <c r="I403" s="21" t="n">
        <v>12</v>
      </c>
      <c r="J403" s="22" t="n">
        <v>3.853</v>
      </c>
      <c r="K403" s="9">
        <f>ROUND(H403*I403*J403, 2)</f>
        <v/>
      </c>
      <c r="L403" s="23">
        <f>ROUND(K403/1000, 3)</f>
        <v/>
      </c>
      <c r="M403" s="8">
        <f>IF(AO403="","",IF(INDEX(Theo_Doi_Tan_Suat_Be_Tong!$C:$C,AO403)="","",INDEX(Theo_Doi_Tan_Suat_Be_Tong!$C:$C,AO403)-VLOOKUP(AN403,$AQ$2:$AR$7,2,FALSE)))</f>
        <v/>
      </c>
      <c r="N403" s="6" t="n"/>
      <c r="O403" s="24">
        <f>IF(ROUNDUP(W403/20,0)&gt;ROUNDUP(W402/20,0),"TN Ø25 (Lần " &amp; ROUNDUP(W403/20,0) &amp; ")","")</f>
        <v/>
      </c>
      <c r="P403" s="20">
        <f>ROUND(P402+IF(AND(E403&lt;=10,F403&lt;&gt;"ASTM A416"),L403,0),3)</f>
        <v/>
      </c>
      <c r="Q403" s="20">
        <f>ROUND(Q402+IF(AND(E403=12,F403&lt;&gt;"ASTM A416"),L403,0),3)</f>
        <v/>
      </c>
      <c r="R403" s="20">
        <f>ROUND(R402+IF(AND(E403=14,F403&lt;&gt;"ASTM A416"),L403,0),3)</f>
        <v/>
      </c>
      <c r="S403" s="20">
        <f>ROUND(S402+IF(AND(E403=16,F403&lt;&gt;"ASTM A416"),L403,0),3)</f>
        <v/>
      </c>
      <c r="T403" s="20">
        <f>ROUND(T402+IF(AND(E403=18,F403&lt;&gt;"ASTM A416"),L403,0),3)</f>
        <v/>
      </c>
      <c r="U403" s="20">
        <f>ROUND(U402+IF(AND(E403=20,F403&lt;&gt;"ASTM A416"),L403,0),3)</f>
        <v/>
      </c>
      <c r="V403" s="20">
        <f>ROUND(V402+IF(AND(E403=22,F403&lt;&gt;"ASTM A416"),L403,0),3)</f>
        <v/>
      </c>
      <c r="W403" s="20">
        <f>ROUND(W402+IF(AND(E403=25,F403&lt;&gt;"ASTM A416"),L403,0),3)</f>
        <v/>
      </c>
      <c r="X403" s="20">
        <f>ROUND(X402+IF(AND(E403=28,F403&lt;&gt;"ASTM A416"),L403,0),3)</f>
        <v/>
      </c>
      <c r="Y403" s="20">
        <f>ROUND(Y402+IF(AND(E403=32,F403&lt;&gt;"ASTM A416"),L403,0),3)</f>
        <v/>
      </c>
      <c r="Z403" s="20">
        <f>ROUND(Z402+IF(F403="ASTM A416",L403,0),3)</f>
        <v/>
      </c>
      <c r="AA403" s="11">
        <f>IF(ROUNDUP(P403/20,0)&gt;ROUNDUP(P402/20,0),"Lần " &amp; ROUNDUP(P403/20,0),"")</f>
        <v/>
      </c>
      <c r="AB403" s="11">
        <f>IF(ROUNDUP(Q403/20,0)&gt;ROUNDUP(Q402/20,0),"Lần " &amp; ROUNDUP(Q403/20,0),"")</f>
        <v/>
      </c>
      <c r="AC403" s="11">
        <f>IF(ROUNDUP(R403/20,0)&gt;ROUNDUP(R402/20,0),"Lần " &amp; ROUNDUP(R403/20,0),"")</f>
        <v/>
      </c>
      <c r="AD403" s="11">
        <f>IF(ROUNDUP(S403/20,0)&gt;ROUNDUP(S402/20,0),"Lần " &amp; ROUNDUP(S403/20,0),"")</f>
        <v/>
      </c>
      <c r="AE403" s="11">
        <f>IF(ROUNDUP(T403/20,0)&gt;ROUNDUP(T402/20,0),"Lần " &amp; ROUNDUP(T403/20,0),"")</f>
        <v/>
      </c>
      <c r="AF403" s="11">
        <f>IF(ROUNDUP(U403/20,0)&gt;ROUNDUP(U402/20,0),"Lần " &amp; ROUNDUP(U403/20,0),"")</f>
        <v/>
      </c>
      <c r="AG403" s="11">
        <f>IF(ROUNDUP(V403/20,0)&gt;ROUNDUP(V402/20,0),"Lần " &amp; ROUNDUP(V403/20,0),"")</f>
        <v/>
      </c>
      <c r="AH403" s="11">
        <f>IF(ROUNDUP(W403/20,0)&gt;ROUNDUP(W402/20,0),"Lần " &amp; ROUNDUP(W403/20,0),"")</f>
        <v/>
      </c>
      <c r="AI403" s="11">
        <f>IF(ROUNDUP(X403/20,0)&gt;ROUNDUP(X402/20,0),"Lần " &amp; ROUNDUP(X403/20,0),"")</f>
        <v/>
      </c>
      <c r="AJ403" s="11">
        <f>IF(ROUNDUP(Y403/20,0)&gt;ROUNDUP(Y402/20,0),"Lần " &amp; ROUNDUP(Y403/20,0),"")</f>
        <v/>
      </c>
      <c r="AK403" s="11">
        <f>IF(ROUNDUP(Z403/20,0)&gt;ROUNDUP(Z402/20,0),"Lần " &amp; ROUNDUP(Z403/20,0),"")</f>
        <v/>
      </c>
      <c r="AL403" s="6" t="n"/>
      <c r="AN403" t="inlineStr">
        <is>
          <t>Coc</t>
        </is>
      </c>
      <c r="AO403" t="n">
        <v>4</v>
      </c>
    </row>
    <row r="404" ht="19" customHeight="1">
      <c r="A404" s="6" t="n">
        <v>387</v>
      </c>
      <c r="B404" s="7" t="inlineStr">
        <is>
          <t>Cọc khoan nhồi C1 Mố M1 (D1.2m, L=20.0m)</t>
        </is>
      </c>
      <c r="C404" s="7" t="inlineStr">
        <is>
          <t>Cọc mố M1 L=20m (tr.64)</t>
        </is>
      </c>
      <c r="D404" s="18" t="inlineStr">
        <is>
          <t>P4</t>
        </is>
      </c>
      <c r="E404" s="19" t="n">
        <v>25</v>
      </c>
      <c r="F404" s="6" t="inlineStr">
        <is>
          <t>CB400-V</t>
        </is>
      </c>
      <c r="G404" s="7" t="inlineStr"/>
      <c r="H404" s="20" t="n">
        <v>11.7</v>
      </c>
      <c r="I404" s="21" t="n">
        <v>12</v>
      </c>
      <c r="J404" s="22" t="n">
        <v>3.853</v>
      </c>
      <c r="K404" s="9">
        <f>ROUND(H404*I404*J404, 2)</f>
        <v/>
      </c>
      <c r="L404" s="23">
        <f>ROUND(K404/1000, 3)</f>
        <v/>
      </c>
      <c r="M404" s="8">
        <f>IF(AO404="","",IF(INDEX(Theo_Doi_Tan_Suat_Be_Tong!$C:$C,AO404)="","",INDEX(Theo_Doi_Tan_Suat_Be_Tong!$C:$C,AO404)-VLOOKUP(AN404,$AQ$2:$AR$7,2,FALSE)))</f>
        <v/>
      </c>
      <c r="N404" s="6" t="n"/>
      <c r="O404" s="24">
        <f>IF(ROUNDUP(W404/20,0)&gt;ROUNDUP(W403/20,0),"TN Ø25 (Lần " &amp; ROUNDUP(W404/20,0) &amp; ")","")</f>
        <v/>
      </c>
      <c r="P404" s="20">
        <f>ROUND(P403+IF(AND(E404&lt;=10,F404&lt;&gt;"ASTM A416"),L404,0),3)</f>
        <v/>
      </c>
      <c r="Q404" s="20">
        <f>ROUND(Q403+IF(AND(E404=12,F404&lt;&gt;"ASTM A416"),L404,0),3)</f>
        <v/>
      </c>
      <c r="R404" s="20">
        <f>ROUND(R403+IF(AND(E404=14,F404&lt;&gt;"ASTM A416"),L404,0),3)</f>
        <v/>
      </c>
      <c r="S404" s="20">
        <f>ROUND(S403+IF(AND(E404=16,F404&lt;&gt;"ASTM A416"),L404,0),3)</f>
        <v/>
      </c>
      <c r="T404" s="20">
        <f>ROUND(T403+IF(AND(E404=18,F404&lt;&gt;"ASTM A416"),L404,0),3)</f>
        <v/>
      </c>
      <c r="U404" s="20">
        <f>ROUND(U403+IF(AND(E404=20,F404&lt;&gt;"ASTM A416"),L404,0),3)</f>
        <v/>
      </c>
      <c r="V404" s="20">
        <f>ROUND(V403+IF(AND(E404=22,F404&lt;&gt;"ASTM A416"),L404,0),3)</f>
        <v/>
      </c>
      <c r="W404" s="20">
        <f>ROUND(W403+IF(AND(E404=25,F404&lt;&gt;"ASTM A416"),L404,0),3)</f>
        <v/>
      </c>
      <c r="X404" s="20">
        <f>ROUND(X403+IF(AND(E404=28,F404&lt;&gt;"ASTM A416"),L404,0),3)</f>
        <v/>
      </c>
      <c r="Y404" s="20">
        <f>ROUND(Y403+IF(AND(E404=32,F404&lt;&gt;"ASTM A416"),L404,0),3)</f>
        <v/>
      </c>
      <c r="Z404" s="20">
        <f>ROUND(Z403+IF(F404="ASTM A416",L404,0),3)</f>
        <v/>
      </c>
      <c r="AA404" s="11">
        <f>IF(ROUNDUP(P404/20,0)&gt;ROUNDUP(P403/20,0),"Lần " &amp; ROUNDUP(P404/20,0),"")</f>
        <v/>
      </c>
      <c r="AB404" s="11">
        <f>IF(ROUNDUP(Q404/20,0)&gt;ROUNDUP(Q403/20,0),"Lần " &amp; ROUNDUP(Q404/20,0),"")</f>
        <v/>
      </c>
      <c r="AC404" s="11">
        <f>IF(ROUNDUP(R404/20,0)&gt;ROUNDUP(R403/20,0),"Lần " &amp; ROUNDUP(R404/20,0),"")</f>
        <v/>
      </c>
      <c r="AD404" s="11">
        <f>IF(ROUNDUP(S404/20,0)&gt;ROUNDUP(S403/20,0),"Lần " &amp; ROUNDUP(S404/20,0),"")</f>
        <v/>
      </c>
      <c r="AE404" s="11">
        <f>IF(ROUNDUP(T404/20,0)&gt;ROUNDUP(T403/20,0),"Lần " &amp; ROUNDUP(T404/20,0),"")</f>
        <v/>
      </c>
      <c r="AF404" s="11">
        <f>IF(ROUNDUP(U404/20,0)&gt;ROUNDUP(U403/20,0),"Lần " &amp; ROUNDUP(U404/20,0),"")</f>
        <v/>
      </c>
      <c r="AG404" s="11">
        <f>IF(ROUNDUP(V404/20,0)&gt;ROUNDUP(V403/20,0),"Lần " &amp; ROUNDUP(V404/20,0),"")</f>
        <v/>
      </c>
      <c r="AH404" s="11">
        <f>IF(ROUNDUP(W404/20,0)&gt;ROUNDUP(W403/20,0),"Lần " &amp; ROUNDUP(W404/20,0),"")</f>
        <v/>
      </c>
      <c r="AI404" s="11">
        <f>IF(ROUNDUP(X404/20,0)&gt;ROUNDUP(X403/20,0),"Lần " &amp; ROUNDUP(X404/20,0),"")</f>
        <v/>
      </c>
      <c r="AJ404" s="11">
        <f>IF(ROUNDUP(Y404/20,0)&gt;ROUNDUP(Y403/20,0),"Lần " &amp; ROUNDUP(Y404/20,0),"")</f>
        <v/>
      </c>
      <c r="AK404" s="11">
        <f>IF(ROUNDUP(Z404/20,0)&gt;ROUNDUP(Z403/20,0),"Lần " &amp; ROUNDUP(Z404/20,0),"")</f>
        <v/>
      </c>
      <c r="AL404" s="6" t="n"/>
      <c r="AN404" t="inlineStr">
        <is>
          <t>Coc</t>
        </is>
      </c>
      <c r="AO404" t="n">
        <v>4</v>
      </c>
    </row>
    <row r="405" ht="19" customHeight="1">
      <c r="A405" s="6" t="n">
        <v>388</v>
      </c>
      <c r="B405" s="7" t="inlineStr">
        <is>
          <t>Cọc khoan nhồi C1 Mố M1 (D1.2m, L=20.0m)</t>
        </is>
      </c>
      <c r="C405" s="7" t="inlineStr">
        <is>
          <t>Cọc mố M1 L=20m (tr.64)</t>
        </is>
      </c>
      <c r="D405" s="18" t="inlineStr">
        <is>
          <t>P6</t>
        </is>
      </c>
      <c r="E405" s="19" t="n">
        <v>25</v>
      </c>
      <c r="F405" s="6" t="inlineStr">
        <is>
          <t>CB400-V</t>
        </is>
      </c>
      <c r="G405" s="7" t="inlineStr"/>
      <c r="H405" s="20" t="n">
        <v>10.433</v>
      </c>
      <c r="I405" s="21" t="n">
        <v>12</v>
      </c>
      <c r="J405" s="22" t="n">
        <v>3.853</v>
      </c>
      <c r="K405" s="9">
        <f>ROUND(H405*I405*J405, 2)</f>
        <v/>
      </c>
      <c r="L405" s="23">
        <f>ROUND(K405/1000, 3)</f>
        <v/>
      </c>
      <c r="M405" s="8">
        <f>IF(AO405="","",IF(INDEX(Theo_Doi_Tan_Suat_Be_Tong!$C:$C,AO405)="","",INDEX(Theo_Doi_Tan_Suat_Be_Tong!$C:$C,AO405)-VLOOKUP(AN405,$AQ$2:$AR$7,2,FALSE)))</f>
        <v/>
      </c>
      <c r="N405" s="6" t="n"/>
      <c r="O405" s="24">
        <f>IF(ROUNDUP(W405/20,0)&gt;ROUNDUP(W404/20,0),"TN Ø25 (Lần " &amp; ROUNDUP(W405/20,0) &amp; ")","")</f>
        <v/>
      </c>
      <c r="P405" s="20">
        <f>ROUND(P404+IF(AND(E405&lt;=10,F405&lt;&gt;"ASTM A416"),L405,0),3)</f>
        <v/>
      </c>
      <c r="Q405" s="20">
        <f>ROUND(Q404+IF(AND(E405=12,F405&lt;&gt;"ASTM A416"),L405,0),3)</f>
        <v/>
      </c>
      <c r="R405" s="20">
        <f>ROUND(R404+IF(AND(E405=14,F405&lt;&gt;"ASTM A416"),L405,0),3)</f>
        <v/>
      </c>
      <c r="S405" s="20">
        <f>ROUND(S404+IF(AND(E405=16,F405&lt;&gt;"ASTM A416"),L405,0),3)</f>
        <v/>
      </c>
      <c r="T405" s="20">
        <f>ROUND(T404+IF(AND(E405=18,F405&lt;&gt;"ASTM A416"),L405,0),3)</f>
        <v/>
      </c>
      <c r="U405" s="20">
        <f>ROUND(U404+IF(AND(E405=20,F405&lt;&gt;"ASTM A416"),L405,0),3)</f>
        <v/>
      </c>
      <c r="V405" s="20">
        <f>ROUND(V404+IF(AND(E405=22,F405&lt;&gt;"ASTM A416"),L405,0),3)</f>
        <v/>
      </c>
      <c r="W405" s="20">
        <f>ROUND(W404+IF(AND(E405=25,F405&lt;&gt;"ASTM A416"),L405,0),3)</f>
        <v/>
      </c>
      <c r="X405" s="20">
        <f>ROUND(X404+IF(AND(E405=28,F405&lt;&gt;"ASTM A416"),L405,0),3)</f>
        <v/>
      </c>
      <c r="Y405" s="20">
        <f>ROUND(Y404+IF(AND(E405=32,F405&lt;&gt;"ASTM A416"),L405,0),3)</f>
        <v/>
      </c>
      <c r="Z405" s="20">
        <f>ROUND(Z404+IF(F405="ASTM A416",L405,0),3)</f>
        <v/>
      </c>
      <c r="AA405" s="11">
        <f>IF(ROUNDUP(P405/20,0)&gt;ROUNDUP(P404/20,0),"Lần " &amp; ROUNDUP(P405/20,0),"")</f>
        <v/>
      </c>
      <c r="AB405" s="11">
        <f>IF(ROUNDUP(Q405/20,0)&gt;ROUNDUP(Q404/20,0),"Lần " &amp; ROUNDUP(Q405/20,0),"")</f>
        <v/>
      </c>
      <c r="AC405" s="11">
        <f>IF(ROUNDUP(R405/20,0)&gt;ROUNDUP(R404/20,0),"Lần " &amp; ROUNDUP(R405/20,0),"")</f>
        <v/>
      </c>
      <c r="AD405" s="11">
        <f>IF(ROUNDUP(S405/20,0)&gt;ROUNDUP(S404/20,0),"Lần " &amp; ROUNDUP(S405/20,0),"")</f>
        <v/>
      </c>
      <c r="AE405" s="11">
        <f>IF(ROUNDUP(T405/20,0)&gt;ROUNDUP(T404/20,0),"Lần " &amp; ROUNDUP(T405/20,0),"")</f>
        <v/>
      </c>
      <c r="AF405" s="11">
        <f>IF(ROUNDUP(U405/20,0)&gt;ROUNDUP(U404/20,0),"Lần " &amp; ROUNDUP(U405/20,0),"")</f>
        <v/>
      </c>
      <c r="AG405" s="11">
        <f>IF(ROUNDUP(V405/20,0)&gt;ROUNDUP(V404/20,0),"Lần " &amp; ROUNDUP(V405/20,0),"")</f>
        <v/>
      </c>
      <c r="AH405" s="11">
        <f>IF(ROUNDUP(W405/20,0)&gt;ROUNDUP(W404/20,0),"Lần " &amp; ROUNDUP(W405/20,0),"")</f>
        <v/>
      </c>
      <c r="AI405" s="11">
        <f>IF(ROUNDUP(X405/20,0)&gt;ROUNDUP(X404/20,0),"Lần " &amp; ROUNDUP(X405/20,0),"")</f>
        <v/>
      </c>
      <c r="AJ405" s="11">
        <f>IF(ROUNDUP(Y405/20,0)&gt;ROUNDUP(Y404/20,0),"Lần " &amp; ROUNDUP(Y405/20,0),"")</f>
        <v/>
      </c>
      <c r="AK405" s="11">
        <f>IF(ROUNDUP(Z405/20,0)&gt;ROUNDUP(Z404/20,0),"Lần " &amp; ROUNDUP(Z405/20,0),"")</f>
        <v/>
      </c>
      <c r="AL405" s="6" t="n"/>
      <c r="AN405" t="inlineStr">
        <is>
          <t>Coc</t>
        </is>
      </c>
      <c r="AO405" t="n">
        <v>4</v>
      </c>
    </row>
    <row r="406" ht="19" customHeight="1">
      <c r="A406" s="6" t="n">
        <v>389</v>
      </c>
      <c r="B406" s="7" t="inlineStr">
        <is>
          <t>Cọc khoan nhồi C1 Mố M1 (D1.2m, L=20.0m)</t>
        </is>
      </c>
      <c r="C406" s="7" t="inlineStr">
        <is>
          <t>Cọc mố M1 L=20m (tr.64)</t>
        </is>
      </c>
      <c r="D406" s="18" t="inlineStr">
        <is>
          <t>P7</t>
        </is>
      </c>
      <c r="E406" s="19" t="n">
        <v>25</v>
      </c>
      <c r="F406" s="6" t="inlineStr">
        <is>
          <t>CB400-V</t>
        </is>
      </c>
      <c r="G406" s="7" t="inlineStr"/>
      <c r="H406" s="20" t="n">
        <v>11.433</v>
      </c>
      <c r="I406" s="21" t="n">
        <v>12</v>
      </c>
      <c r="J406" s="22" t="n">
        <v>3.853</v>
      </c>
      <c r="K406" s="9">
        <f>ROUND(H406*I406*J406, 2)</f>
        <v/>
      </c>
      <c r="L406" s="23">
        <f>ROUND(K406/1000, 3)</f>
        <v/>
      </c>
      <c r="M406" s="8">
        <f>IF(AO406="","",IF(INDEX(Theo_Doi_Tan_Suat_Be_Tong!$C:$C,AO406)="","",INDEX(Theo_Doi_Tan_Suat_Be_Tong!$C:$C,AO406)-VLOOKUP(AN406,$AQ$2:$AR$7,2,FALSE)))</f>
        <v/>
      </c>
      <c r="N406" s="6" t="n"/>
      <c r="O406" s="24">
        <f>IF(ROUNDUP(W406/20,0)&gt;ROUNDUP(W405/20,0),"TN Ø25 (Lần " &amp; ROUNDUP(W406/20,0) &amp; ")","")</f>
        <v/>
      </c>
      <c r="P406" s="20">
        <f>ROUND(P405+IF(AND(E406&lt;=10,F406&lt;&gt;"ASTM A416"),L406,0),3)</f>
        <v/>
      </c>
      <c r="Q406" s="20">
        <f>ROUND(Q405+IF(AND(E406=12,F406&lt;&gt;"ASTM A416"),L406,0),3)</f>
        <v/>
      </c>
      <c r="R406" s="20">
        <f>ROUND(R405+IF(AND(E406=14,F406&lt;&gt;"ASTM A416"),L406,0),3)</f>
        <v/>
      </c>
      <c r="S406" s="20">
        <f>ROUND(S405+IF(AND(E406=16,F406&lt;&gt;"ASTM A416"),L406,0),3)</f>
        <v/>
      </c>
      <c r="T406" s="20">
        <f>ROUND(T405+IF(AND(E406=18,F406&lt;&gt;"ASTM A416"),L406,0),3)</f>
        <v/>
      </c>
      <c r="U406" s="20">
        <f>ROUND(U405+IF(AND(E406=20,F406&lt;&gt;"ASTM A416"),L406,0),3)</f>
        <v/>
      </c>
      <c r="V406" s="20">
        <f>ROUND(V405+IF(AND(E406=22,F406&lt;&gt;"ASTM A416"),L406,0),3)</f>
        <v/>
      </c>
      <c r="W406" s="20">
        <f>ROUND(W405+IF(AND(E406=25,F406&lt;&gt;"ASTM A416"),L406,0),3)</f>
        <v/>
      </c>
      <c r="X406" s="20">
        <f>ROUND(X405+IF(AND(E406=28,F406&lt;&gt;"ASTM A416"),L406,0),3)</f>
        <v/>
      </c>
      <c r="Y406" s="20">
        <f>ROUND(Y405+IF(AND(E406=32,F406&lt;&gt;"ASTM A416"),L406,0),3)</f>
        <v/>
      </c>
      <c r="Z406" s="20">
        <f>ROUND(Z405+IF(F406="ASTM A416",L406,0),3)</f>
        <v/>
      </c>
      <c r="AA406" s="11">
        <f>IF(ROUNDUP(P406/20,0)&gt;ROUNDUP(P405/20,0),"Lần " &amp; ROUNDUP(P406/20,0),"")</f>
        <v/>
      </c>
      <c r="AB406" s="11">
        <f>IF(ROUNDUP(Q406/20,0)&gt;ROUNDUP(Q405/20,0),"Lần " &amp; ROUNDUP(Q406/20,0),"")</f>
        <v/>
      </c>
      <c r="AC406" s="11">
        <f>IF(ROUNDUP(R406/20,0)&gt;ROUNDUP(R405/20,0),"Lần " &amp; ROUNDUP(R406/20,0),"")</f>
        <v/>
      </c>
      <c r="AD406" s="11">
        <f>IF(ROUNDUP(S406/20,0)&gt;ROUNDUP(S405/20,0),"Lần " &amp; ROUNDUP(S406/20,0),"")</f>
        <v/>
      </c>
      <c r="AE406" s="11">
        <f>IF(ROUNDUP(T406/20,0)&gt;ROUNDUP(T405/20,0),"Lần " &amp; ROUNDUP(T406/20,0),"")</f>
        <v/>
      </c>
      <c r="AF406" s="11">
        <f>IF(ROUNDUP(U406/20,0)&gt;ROUNDUP(U405/20,0),"Lần " &amp; ROUNDUP(U406/20,0),"")</f>
        <v/>
      </c>
      <c r="AG406" s="11">
        <f>IF(ROUNDUP(V406/20,0)&gt;ROUNDUP(V405/20,0),"Lần " &amp; ROUNDUP(V406/20,0),"")</f>
        <v/>
      </c>
      <c r="AH406" s="11">
        <f>IF(ROUNDUP(W406/20,0)&gt;ROUNDUP(W405/20,0),"Lần " &amp; ROUNDUP(W406/20,0),"")</f>
        <v/>
      </c>
      <c r="AI406" s="11">
        <f>IF(ROUNDUP(X406/20,0)&gt;ROUNDUP(X405/20,0),"Lần " &amp; ROUNDUP(X406/20,0),"")</f>
        <v/>
      </c>
      <c r="AJ406" s="11">
        <f>IF(ROUNDUP(Y406/20,0)&gt;ROUNDUP(Y405/20,0),"Lần " &amp; ROUNDUP(Y406/20,0),"")</f>
        <v/>
      </c>
      <c r="AK406" s="11">
        <f>IF(ROUNDUP(Z406/20,0)&gt;ROUNDUP(Z405/20,0),"Lần " &amp; ROUNDUP(Z406/20,0),"")</f>
        <v/>
      </c>
      <c r="AL406" s="6" t="n"/>
      <c r="AN406" t="inlineStr">
        <is>
          <t>Coc</t>
        </is>
      </c>
      <c r="AO406" t="n">
        <v>4</v>
      </c>
    </row>
    <row r="407" ht="19" customHeight="1">
      <c r="A407" s="6" t="n">
        <v>390</v>
      </c>
      <c r="B407" s="7" t="inlineStr">
        <is>
          <t>Cọc khoan nhồi C1 Mố M1 (D1.2m, L=20.0m)</t>
        </is>
      </c>
      <c r="C407" s="7" t="inlineStr">
        <is>
          <t>Cọc mố M1 L=20m (tr.64)</t>
        </is>
      </c>
      <c r="D407" s="18" t="inlineStr">
        <is>
          <t>P8</t>
        </is>
      </c>
      <c r="E407" s="19" t="n">
        <v>12</v>
      </c>
      <c r="F407" s="6" t="inlineStr">
        <is>
          <t>CB400-V</t>
        </is>
      </c>
      <c r="G407" s="7" t="inlineStr"/>
      <c r="H407" s="20" t="n">
        <v>0.647</v>
      </c>
      <c r="I407" s="21" t="n">
        <v>8</v>
      </c>
      <c r="J407" s="22" t="n">
        <v>0.888</v>
      </c>
      <c r="K407" s="9">
        <f>ROUND(H407*I407*J407, 2)</f>
        <v/>
      </c>
      <c r="L407" s="23">
        <f>ROUND(K407/1000, 3)</f>
        <v/>
      </c>
      <c r="M407" s="8">
        <f>IF(AO407="","",IF(INDEX(Theo_Doi_Tan_Suat_Be_Tong!$C:$C,AO407)="","",INDEX(Theo_Doi_Tan_Suat_Be_Tong!$C:$C,AO407)-VLOOKUP(AN407,$AQ$2:$AR$7,2,FALSE)))</f>
        <v/>
      </c>
      <c r="N407" s="6" t="n"/>
      <c r="O407" s="24">
        <f>IF(ROUNDUP(Q407/20,0)&gt;ROUNDUP(Q406/20,0),"TN Ø12 (Lần " &amp; ROUNDUP(Q407/20,0) &amp; ")","")</f>
        <v/>
      </c>
      <c r="P407" s="20">
        <f>ROUND(P406+IF(AND(E407&lt;=10,F407&lt;&gt;"ASTM A416"),L407,0),3)</f>
        <v/>
      </c>
      <c r="Q407" s="20">
        <f>ROUND(Q406+IF(AND(E407=12,F407&lt;&gt;"ASTM A416"),L407,0),3)</f>
        <v/>
      </c>
      <c r="R407" s="20">
        <f>ROUND(R406+IF(AND(E407=14,F407&lt;&gt;"ASTM A416"),L407,0),3)</f>
        <v/>
      </c>
      <c r="S407" s="20">
        <f>ROUND(S406+IF(AND(E407=16,F407&lt;&gt;"ASTM A416"),L407,0),3)</f>
        <v/>
      </c>
      <c r="T407" s="20">
        <f>ROUND(T406+IF(AND(E407=18,F407&lt;&gt;"ASTM A416"),L407,0),3)</f>
        <v/>
      </c>
      <c r="U407" s="20">
        <f>ROUND(U406+IF(AND(E407=20,F407&lt;&gt;"ASTM A416"),L407,0),3)</f>
        <v/>
      </c>
      <c r="V407" s="20">
        <f>ROUND(V406+IF(AND(E407=22,F407&lt;&gt;"ASTM A416"),L407,0),3)</f>
        <v/>
      </c>
      <c r="W407" s="20">
        <f>ROUND(W406+IF(AND(E407=25,F407&lt;&gt;"ASTM A416"),L407,0),3)</f>
        <v/>
      </c>
      <c r="X407" s="20">
        <f>ROUND(X406+IF(AND(E407=28,F407&lt;&gt;"ASTM A416"),L407,0),3)</f>
        <v/>
      </c>
      <c r="Y407" s="20">
        <f>ROUND(Y406+IF(AND(E407=32,F407&lt;&gt;"ASTM A416"),L407,0),3)</f>
        <v/>
      </c>
      <c r="Z407" s="20">
        <f>ROUND(Z406+IF(F407="ASTM A416",L407,0),3)</f>
        <v/>
      </c>
      <c r="AA407" s="11">
        <f>IF(ROUNDUP(P407/20,0)&gt;ROUNDUP(P406/20,0),"Lần " &amp; ROUNDUP(P407/20,0),"")</f>
        <v/>
      </c>
      <c r="AB407" s="11">
        <f>IF(ROUNDUP(Q407/20,0)&gt;ROUNDUP(Q406/20,0),"Lần " &amp; ROUNDUP(Q407/20,0),"")</f>
        <v/>
      </c>
      <c r="AC407" s="11">
        <f>IF(ROUNDUP(R407/20,0)&gt;ROUNDUP(R406/20,0),"Lần " &amp; ROUNDUP(R407/20,0),"")</f>
        <v/>
      </c>
      <c r="AD407" s="11">
        <f>IF(ROUNDUP(S407/20,0)&gt;ROUNDUP(S406/20,0),"Lần " &amp; ROUNDUP(S407/20,0),"")</f>
        <v/>
      </c>
      <c r="AE407" s="11">
        <f>IF(ROUNDUP(T407/20,0)&gt;ROUNDUP(T406/20,0),"Lần " &amp; ROUNDUP(T407/20,0),"")</f>
        <v/>
      </c>
      <c r="AF407" s="11">
        <f>IF(ROUNDUP(U407/20,0)&gt;ROUNDUP(U406/20,0),"Lần " &amp; ROUNDUP(U407/20,0),"")</f>
        <v/>
      </c>
      <c r="AG407" s="11">
        <f>IF(ROUNDUP(V407/20,0)&gt;ROUNDUP(V406/20,0),"Lần " &amp; ROUNDUP(V407/20,0),"")</f>
        <v/>
      </c>
      <c r="AH407" s="11">
        <f>IF(ROUNDUP(W407/20,0)&gt;ROUNDUP(W406/20,0),"Lần " &amp; ROUNDUP(W407/20,0),"")</f>
        <v/>
      </c>
      <c r="AI407" s="11">
        <f>IF(ROUNDUP(X407/20,0)&gt;ROUNDUP(X406/20,0),"Lần " &amp; ROUNDUP(X407/20,0),"")</f>
        <v/>
      </c>
      <c r="AJ407" s="11">
        <f>IF(ROUNDUP(Y407/20,0)&gt;ROUNDUP(Y406/20,0),"Lần " &amp; ROUNDUP(Y407/20,0),"")</f>
        <v/>
      </c>
      <c r="AK407" s="11">
        <f>IF(ROUNDUP(Z407/20,0)&gt;ROUNDUP(Z406/20,0),"Lần " &amp; ROUNDUP(Z407/20,0),"")</f>
        <v/>
      </c>
      <c r="AL407" s="6" t="n"/>
      <c r="AN407" t="inlineStr">
        <is>
          <t>Coc</t>
        </is>
      </c>
      <c r="AO407" t="n">
        <v>4</v>
      </c>
    </row>
    <row r="408" ht="19" customHeight="1">
      <c r="A408" s="6" t="n">
        <v>391</v>
      </c>
      <c r="B408" s="7" t="inlineStr">
        <is>
          <t>Cọc khoan nhồi C1 Mố M1 (D1.2m, L=20.0m)</t>
        </is>
      </c>
      <c r="C408" s="7" t="inlineStr">
        <is>
          <t>Cọc mố M1 L=20m (tr.64)</t>
        </is>
      </c>
      <c r="D408" s="18" t="inlineStr">
        <is>
          <t>P9</t>
        </is>
      </c>
      <c r="E408" s="19" t="n">
        <v>12</v>
      </c>
      <c r="F408" s="6" t="inlineStr">
        <is>
          <t>CB400-V</t>
        </is>
      </c>
      <c r="G408" s="7" t="inlineStr"/>
      <c r="H408" s="20" t="n">
        <v>0.379</v>
      </c>
      <c r="I408" s="21" t="n">
        <v>24</v>
      </c>
      <c r="J408" s="22" t="n">
        <v>0.888</v>
      </c>
      <c r="K408" s="9">
        <f>ROUND(H408*I408*J408, 2)</f>
        <v/>
      </c>
      <c r="L408" s="23">
        <f>ROUND(K408/1000, 3)</f>
        <v/>
      </c>
      <c r="M408" s="8">
        <f>IF(AO408="","",IF(INDEX(Theo_Doi_Tan_Suat_Be_Tong!$C:$C,AO408)="","",INDEX(Theo_Doi_Tan_Suat_Be_Tong!$C:$C,AO408)-VLOOKUP(AN408,$AQ$2:$AR$7,2,FALSE)))</f>
        <v/>
      </c>
      <c r="N408" s="6" t="n"/>
      <c r="O408" s="24">
        <f>IF(ROUNDUP(Q408/20,0)&gt;ROUNDUP(Q407/20,0),"TN Ø12 (Lần " &amp; ROUNDUP(Q408/20,0) &amp; ")","")</f>
        <v/>
      </c>
      <c r="P408" s="20">
        <f>ROUND(P407+IF(AND(E408&lt;=10,F408&lt;&gt;"ASTM A416"),L408,0),3)</f>
        <v/>
      </c>
      <c r="Q408" s="20">
        <f>ROUND(Q407+IF(AND(E408=12,F408&lt;&gt;"ASTM A416"),L408,0),3)</f>
        <v/>
      </c>
      <c r="R408" s="20">
        <f>ROUND(R407+IF(AND(E408=14,F408&lt;&gt;"ASTM A416"),L408,0),3)</f>
        <v/>
      </c>
      <c r="S408" s="20">
        <f>ROUND(S407+IF(AND(E408=16,F408&lt;&gt;"ASTM A416"),L408,0),3)</f>
        <v/>
      </c>
      <c r="T408" s="20">
        <f>ROUND(T407+IF(AND(E408=18,F408&lt;&gt;"ASTM A416"),L408,0),3)</f>
        <v/>
      </c>
      <c r="U408" s="20">
        <f>ROUND(U407+IF(AND(E408=20,F408&lt;&gt;"ASTM A416"),L408,0),3)</f>
        <v/>
      </c>
      <c r="V408" s="20">
        <f>ROUND(V407+IF(AND(E408=22,F408&lt;&gt;"ASTM A416"),L408,0),3)</f>
        <v/>
      </c>
      <c r="W408" s="20">
        <f>ROUND(W407+IF(AND(E408=25,F408&lt;&gt;"ASTM A416"),L408,0),3)</f>
        <v/>
      </c>
      <c r="X408" s="20">
        <f>ROUND(X407+IF(AND(E408=28,F408&lt;&gt;"ASTM A416"),L408,0),3)</f>
        <v/>
      </c>
      <c r="Y408" s="20">
        <f>ROUND(Y407+IF(AND(E408=32,F408&lt;&gt;"ASTM A416"),L408,0),3)</f>
        <v/>
      </c>
      <c r="Z408" s="20">
        <f>ROUND(Z407+IF(F408="ASTM A416",L408,0),3)</f>
        <v/>
      </c>
      <c r="AA408" s="11">
        <f>IF(ROUNDUP(P408/20,0)&gt;ROUNDUP(P407/20,0),"Lần " &amp; ROUNDUP(P408/20,0),"")</f>
        <v/>
      </c>
      <c r="AB408" s="11">
        <f>IF(ROUNDUP(Q408/20,0)&gt;ROUNDUP(Q407/20,0),"Lần " &amp; ROUNDUP(Q408/20,0),"")</f>
        <v/>
      </c>
      <c r="AC408" s="11">
        <f>IF(ROUNDUP(R408/20,0)&gt;ROUNDUP(R407/20,0),"Lần " &amp; ROUNDUP(R408/20,0),"")</f>
        <v/>
      </c>
      <c r="AD408" s="11">
        <f>IF(ROUNDUP(S408/20,0)&gt;ROUNDUP(S407/20,0),"Lần " &amp; ROUNDUP(S408/20,0),"")</f>
        <v/>
      </c>
      <c r="AE408" s="11">
        <f>IF(ROUNDUP(T408/20,0)&gt;ROUNDUP(T407/20,0),"Lần " &amp; ROUNDUP(T408/20,0),"")</f>
        <v/>
      </c>
      <c r="AF408" s="11">
        <f>IF(ROUNDUP(U408/20,0)&gt;ROUNDUP(U407/20,0),"Lần " &amp; ROUNDUP(U408/20,0),"")</f>
        <v/>
      </c>
      <c r="AG408" s="11">
        <f>IF(ROUNDUP(V408/20,0)&gt;ROUNDUP(V407/20,0),"Lần " &amp; ROUNDUP(V408/20,0),"")</f>
        <v/>
      </c>
      <c r="AH408" s="11">
        <f>IF(ROUNDUP(W408/20,0)&gt;ROUNDUP(W407/20,0),"Lần " &amp; ROUNDUP(W408/20,0),"")</f>
        <v/>
      </c>
      <c r="AI408" s="11">
        <f>IF(ROUNDUP(X408/20,0)&gt;ROUNDUP(X407/20,0),"Lần " &amp; ROUNDUP(X408/20,0),"")</f>
        <v/>
      </c>
      <c r="AJ408" s="11">
        <f>IF(ROUNDUP(Y408/20,0)&gt;ROUNDUP(Y407/20,0),"Lần " &amp; ROUNDUP(Y408/20,0),"")</f>
        <v/>
      </c>
      <c r="AK408" s="11">
        <f>IF(ROUNDUP(Z408/20,0)&gt;ROUNDUP(Z407/20,0),"Lần " &amp; ROUNDUP(Z408/20,0),"")</f>
        <v/>
      </c>
      <c r="AL408" s="6" t="n"/>
      <c r="AN408" t="inlineStr">
        <is>
          <t>Coc</t>
        </is>
      </c>
      <c r="AO408" t="n">
        <v>4</v>
      </c>
    </row>
    <row r="409" ht="19" customHeight="1">
      <c r="A409" s="6" t="n">
        <v>392</v>
      </c>
      <c r="B409" s="7" t="inlineStr">
        <is>
          <t>Cọc khoan nhồi C1 Mố M1 (D1.2m, L=20.0m)</t>
        </is>
      </c>
      <c r="C409" s="7" t="inlineStr">
        <is>
          <t>Cọc mố M1 L=20m (tr.64)</t>
        </is>
      </c>
      <c r="D409" s="18" t="inlineStr">
        <is>
          <t>P10</t>
        </is>
      </c>
      <c r="E409" s="19" t="n">
        <v>20</v>
      </c>
      <c r="F409" s="6" t="inlineStr">
        <is>
          <t>CB400-V</t>
        </is>
      </c>
      <c r="G409" s="7" t="inlineStr"/>
      <c r="H409" s="20" t="n">
        <v>2.057</v>
      </c>
      <c r="I409" s="21" t="n">
        <v>1</v>
      </c>
      <c r="J409" s="22" t="n">
        <v>2.466</v>
      </c>
      <c r="K409" s="9">
        <f>ROUND(H409*I409*J409, 2)</f>
        <v/>
      </c>
      <c r="L409" s="23">
        <f>ROUND(K409/1000, 3)</f>
        <v/>
      </c>
      <c r="M409" s="8">
        <f>IF(AO409="","",IF(INDEX(Theo_Doi_Tan_Suat_Be_Tong!$C:$C,AO409)="","",INDEX(Theo_Doi_Tan_Suat_Be_Tong!$C:$C,AO409)-VLOOKUP(AN409,$AQ$2:$AR$7,2,FALSE)))</f>
        <v/>
      </c>
      <c r="N409" s="6" t="n"/>
      <c r="O409" s="24">
        <f>IF(ROUNDUP(U409/20,0)&gt;ROUNDUP(U408/20,0),"TN Ø20 (Lần " &amp; ROUNDUP(U409/20,0) &amp; ")","")</f>
        <v/>
      </c>
      <c r="P409" s="20">
        <f>ROUND(P408+IF(AND(E409&lt;=10,F409&lt;&gt;"ASTM A416"),L409,0),3)</f>
        <v/>
      </c>
      <c r="Q409" s="20">
        <f>ROUND(Q408+IF(AND(E409=12,F409&lt;&gt;"ASTM A416"),L409,0),3)</f>
        <v/>
      </c>
      <c r="R409" s="20">
        <f>ROUND(R408+IF(AND(E409=14,F409&lt;&gt;"ASTM A416"),L409,0),3)</f>
        <v/>
      </c>
      <c r="S409" s="20">
        <f>ROUND(S408+IF(AND(E409=16,F409&lt;&gt;"ASTM A416"),L409,0),3)</f>
        <v/>
      </c>
      <c r="T409" s="20">
        <f>ROUND(T408+IF(AND(E409=18,F409&lt;&gt;"ASTM A416"),L409,0),3)</f>
        <v/>
      </c>
      <c r="U409" s="20">
        <f>ROUND(U408+IF(AND(E409=20,F409&lt;&gt;"ASTM A416"),L409,0),3)</f>
        <v/>
      </c>
      <c r="V409" s="20">
        <f>ROUND(V408+IF(AND(E409=22,F409&lt;&gt;"ASTM A416"),L409,0),3)</f>
        <v/>
      </c>
      <c r="W409" s="20">
        <f>ROUND(W408+IF(AND(E409=25,F409&lt;&gt;"ASTM A416"),L409,0),3)</f>
        <v/>
      </c>
      <c r="X409" s="20">
        <f>ROUND(X408+IF(AND(E409=28,F409&lt;&gt;"ASTM A416"),L409,0),3)</f>
        <v/>
      </c>
      <c r="Y409" s="20">
        <f>ROUND(Y408+IF(AND(E409=32,F409&lt;&gt;"ASTM A416"),L409,0),3)</f>
        <v/>
      </c>
      <c r="Z409" s="20">
        <f>ROUND(Z408+IF(F409="ASTM A416",L409,0),3)</f>
        <v/>
      </c>
      <c r="AA409" s="11">
        <f>IF(ROUNDUP(P409/20,0)&gt;ROUNDUP(P408/20,0),"Lần " &amp; ROUNDUP(P409/20,0),"")</f>
        <v/>
      </c>
      <c r="AB409" s="11">
        <f>IF(ROUNDUP(Q409/20,0)&gt;ROUNDUP(Q408/20,0),"Lần " &amp; ROUNDUP(Q409/20,0),"")</f>
        <v/>
      </c>
      <c r="AC409" s="11">
        <f>IF(ROUNDUP(R409/20,0)&gt;ROUNDUP(R408/20,0),"Lần " &amp; ROUNDUP(R409/20,0),"")</f>
        <v/>
      </c>
      <c r="AD409" s="11">
        <f>IF(ROUNDUP(S409/20,0)&gt;ROUNDUP(S408/20,0),"Lần " &amp; ROUNDUP(S409/20,0),"")</f>
        <v/>
      </c>
      <c r="AE409" s="11">
        <f>IF(ROUNDUP(T409/20,0)&gt;ROUNDUP(T408/20,0),"Lần " &amp; ROUNDUP(T409/20,0),"")</f>
        <v/>
      </c>
      <c r="AF409" s="11">
        <f>IF(ROUNDUP(U409/20,0)&gt;ROUNDUP(U408/20,0),"Lần " &amp; ROUNDUP(U409/20,0),"")</f>
        <v/>
      </c>
      <c r="AG409" s="11">
        <f>IF(ROUNDUP(V409/20,0)&gt;ROUNDUP(V408/20,0),"Lần " &amp; ROUNDUP(V409/20,0),"")</f>
        <v/>
      </c>
      <c r="AH409" s="11">
        <f>IF(ROUNDUP(W409/20,0)&gt;ROUNDUP(W408/20,0),"Lần " &amp; ROUNDUP(W409/20,0),"")</f>
        <v/>
      </c>
      <c r="AI409" s="11">
        <f>IF(ROUNDUP(X409/20,0)&gt;ROUNDUP(X408/20,0),"Lần " &amp; ROUNDUP(X409/20,0),"")</f>
        <v/>
      </c>
      <c r="AJ409" s="11">
        <f>IF(ROUNDUP(Y409/20,0)&gt;ROUNDUP(Y408/20,0),"Lần " &amp; ROUNDUP(Y409/20,0),"")</f>
        <v/>
      </c>
      <c r="AK409" s="11">
        <f>IF(ROUNDUP(Z409/20,0)&gt;ROUNDUP(Z408/20,0),"Lần " &amp; ROUNDUP(Z409/20,0),"")</f>
        <v/>
      </c>
      <c r="AL409" s="6" t="n"/>
      <c r="AN409" t="inlineStr">
        <is>
          <t>Coc</t>
        </is>
      </c>
      <c r="AO409" t="n">
        <v>4</v>
      </c>
    </row>
    <row r="410" ht="19" customHeight="1">
      <c r="A410" s="6" t="n">
        <v>393</v>
      </c>
      <c r="B410" s="7" t="inlineStr">
        <is>
          <t>Cọc khoan nhồi C1 Mố M1 (D1.2m, L=20.0m)</t>
        </is>
      </c>
      <c r="C410" s="7" t="inlineStr">
        <is>
          <t>Cọc mố M1 L=20m (tr.64)</t>
        </is>
      </c>
      <c r="D410" s="18" t="inlineStr">
        <is>
          <t>P12</t>
        </is>
      </c>
      <c r="E410" s="19" t="n">
        <v>20</v>
      </c>
      <c r="F410" s="6" t="inlineStr">
        <is>
          <t>CB400-V</t>
        </is>
      </c>
      <c r="G410" s="7" t="inlineStr"/>
      <c r="H410" s="20" t="n">
        <v>0.583</v>
      </c>
      <c r="I410" s="21" t="n">
        <v>32</v>
      </c>
      <c r="J410" s="22" t="n">
        <v>2.466</v>
      </c>
      <c r="K410" s="9">
        <f>ROUND(H410*I410*J410, 2)</f>
        <v/>
      </c>
      <c r="L410" s="23">
        <f>ROUND(K410/1000, 3)</f>
        <v/>
      </c>
      <c r="M410" s="8">
        <f>IF(AO410="","",IF(INDEX(Theo_Doi_Tan_Suat_Be_Tong!$C:$C,AO410)="","",INDEX(Theo_Doi_Tan_Suat_Be_Tong!$C:$C,AO410)-VLOOKUP(AN410,$AQ$2:$AR$7,2,FALSE)))</f>
        <v/>
      </c>
      <c r="N410" s="6" t="n"/>
      <c r="O410" s="24">
        <f>IF(ROUNDUP(U410/20,0)&gt;ROUNDUP(U409/20,0),"TN Ø20 (Lần " &amp; ROUNDUP(U410/20,0) &amp; ")","")</f>
        <v/>
      </c>
      <c r="P410" s="20">
        <f>ROUND(P409+IF(AND(E410&lt;=10,F410&lt;&gt;"ASTM A416"),L410,0),3)</f>
        <v/>
      </c>
      <c r="Q410" s="20">
        <f>ROUND(Q409+IF(AND(E410=12,F410&lt;&gt;"ASTM A416"),L410,0),3)</f>
        <v/>
      </c>
      <c r="R410" s="20">
        <f>ROUND(R409+IF(AND(E410=14,F410&lt;&gt;"ASTM A416"),L410,0),3)</f>
        <v/>
      </c>
      <c r="S410" s="20">
        <f>ROUND(S409+IF(AND(E410=16,F410&lt;&gt;"ASTM A416"),L410,0),3)</f>
        <v/>
      </c>
      <c r="T410" s="20">
        <f>ROUND(T409+IF(AND(E410=18,F410&lt;&gt;"ASTM A416"),L410,0),3)</f>
        <v/>
      </c>
      <c r="U410" s="20">
        <f>ROUND(U409+IF(AND(E410=20,F410&lt;&gt;"ASTM A416"),L410,0),3)</f>
        <v/>
      </c>
      <c r="V410" s="20">
        <f>ROUND(V409+IF(AND(E410=22,F410&lt;&gt;"ASTM A416"),L410,0),3)</f>
        <v/>
      </c>
      <c r="W410" s="20">
        <f>ROUND(W409+IF(AND(E410=25,F410&lt;&gt;"ASTM A416"),L410,0),3)</f>
        <v/>
      </c>
      <c r="X410" s="20">
        <f>ROUND(X409+IF(AND(E410=28,F410&lt;&gt;"ASTM A416"),L410,0),3)</f>
        <v/>
      </c>
      <c r="Y410" s="20">
        <f>ROUND(Y409+IF(AND(E410=32,F410&lt;&gt;"ASTM A416"),L410,0),3)</f>
        <v/>
      </c>
      <c r="Z410" s="20">
        <f>ROUND(Z409+IF(F410="ASTM A416",L410,0),3)</f>
        <v/>
      </c>
      <c r="AA410" s="11">
        <f>IF(ROUNDUP(P410/20,0)&gt;ROUNDUP(P409/20,0),"Lần " &amp; ROUNDUP(P410/20,0),"")</f>
        <v/>
      </c>
      <c r="AB410" s="11">
        <f>IF(ROUNDUP(Q410/20,0)&gt;ROUNDUP(Q409/20,0),"Lần " &amp; ROUNDUP(Q410/20,0),"")</f>
        <v/>
      </c>
      <c r="AC410" s="11">
        <f>IF(ROUNDUP(R410/20,0)&gt;ROUNDUP(R409/20,0),"Lần " &amp; ROUNDUP(R410/20,0),"")</f>
        <v/>
      </c>
      <c r="AD410" s="11">
        <f>IF(ROUNDUP(S410/20,0)&gt;ROUNDUP(S409/20,0),"Lần " &amp; ROUNDUP(S410/20,0),"")</f>
        <v/>
      </c>
      <c r="AE410" s="11">
        <f>IF(ROUNDUP(T410/20,0)&gt;ROUNDUP(T409/20,0),"Lần " &amp; ROUNDUP(T410/20,0),"")</f>
        <v/>
      </c>
      <c r="AF410" s="11">
        <f>IF(ROUNDUP(U410/20,0)&gt;ROUNDUP(U409/20,0),"Lần " &amp; ROUNDUP(U410/20,0),"")</f>
        <v/>
      </c>
      <c r="AG410" s="11">
        <f>IF(ROUNDUP(V410/20,0)&gt;ROUNDUP(V409/20,0),"Lần " &amp; ROUNDUP(V410/20,0),"")</f>
        <v/>
      </c>
      <c r="AH410" s="11">
        <f>IF(ROUNDUP(W410/20,0)&gt;ROUNDUP(W409/20,0),"Lần " &amp; ROUNDUP(W410/20,0),"")</f>
        <v/>
      </c>
      <c r="AI410" s="11">
        <f>IF(ROUNDUP(X410/20,0)&gt;ROUNDUP(X409/20,0),"Lần " &amp; ROUNDUP(X410/20,0),"")</f>
        <v/>
      </c>
      <c r="AJ410" s="11">
        <f>IF(ROUNDUP(Y410/20,0)&gt;ROUNDUP(Y409/20,0),"Lần " &amp; ROUNDUP(Y410/20,0),"")</f>
        <v/>
      </c>
      <c r="AK410" s="11">
        <f>IF(ROUNDUP(Z410/20,0)&gt;ROUNDUP(Z409/20,0),"Lần " &amp; ROUNDUP(Z410/20,0),"")</f>
        <v/>
      </c>
      <c r="AL410" s="6" t="n"/>
      <c r="AN410" t="inlineStr">
        <is>
          <t>Coc</t>
        </is>
      </c>
      <c r="AO410" t="n">
        <v>4</v>
      </c>
    </row>
    <row r="411" ht="19" customHeight="1">
      <c r="A411" s="6" t="n">
        <v>394</v>
      </c>
      <c r="B411" s="7" t="inlineStr">
        <is>
          <t>Cọc khoan nhồi C1 Mố M1 (D1.2m, L=20.0m)</t>
        </is>
      </c>
      <c r="C411" s="7" t="inlineStr">
        <is>
          <t>Cọc mố M1 L=20m (tr.64)</t>
        </is>
      </c>
      <c r="D411" s="18" t="inlineStr">
        <is>
          <t>P11</t>
        </is>
      </c>
      <c r="E411" s="19" t="n">
        <v>16</v>
      </c>
      <c r="F411" s="6" t="inlineStr">
        <is>
          <t>CB400-V</t>
        </is>
      </c>
      <c r="G411" s="7" t="inlineStr"/>
      <c r="H411" s="20" t="n">
        <v>2.604</v>
      </c>
      <c r="I411" s="21" t="n">
        <v>4</v>
      </c>
      <c r="J411" s="22" t="n">
        <v>1.578</v>
      </c>
      <c r="K411" s="9">
        <f>ROUND(H411*I411*J411, 2)</f>
        <v/>
      </c>
      <c r="L411" s="23">
        <f>ROUND(K411/1000, 3)</f>
        <v/>
      </c>
      <c r="M411" s="8">
        <f>IF(AO411="","",IF(INDEX(Theo_Doi_Tan_Suat_Be_Tong!$C:$C,AO411)="","",INDEX(Theo_Doi_Tan_Suat_Be_Tong!$C:$C,AO411)-VLOOKUP(AN411,$AQ$2:$AR$7,2,FALSE)))</f>
        <v/>
      </c>
      <c r="N411" s="6" t="n"/>
      <c r="O411" s="24">
        <f>IF(ROUNDUP(S411/20,0)&gt;ROUNDUP(S410/20,0),"TN Ø16 (Lần " &amp; ROUNDUP(S411/20,0) &amp; ")","")</f>
        <v/>
      </c>
      <c r="P411" s="20">
        <f>ROUND(P410+IF(AND(E411&lt;=10,F411&lt;&gt;"ASTM A416"),L411,0),3)</f>
        <v/>
      </c>
      <c r="Q411" s="20">
        <f>ROUND(Q410+IF(AND(E411=12,F411&lt;&gt;"ASTM A416"),L411,0),3)</f>
        <v/>
      </c>
      <c r="R411" s="20">
        <f>ROUND(R410+IF(AND(E411=14,F411&lt;&gt;"ASTM A416"),L411,0),3)</f>
        <v/>
      </c>
      <c r="S411" s="20">
        <f>ROUND(S410+IF(AND(E411=16,F411&lt;&gt;"ASTM A416"),L411,0),3)</f>
        <v/>
      </c>
      <c r="T411" s="20">
        <f>ROUND(T410+IF(AND(E411=18,F411&lt;&gt;"ASTM A416"),L411,0),3)</f>
        <v/>
      </c>
      <c r="U411" s="20">
        <f>ROUND(U410+IF(AND(E411=20,F411&lt;&gt;"ASTM A416"),L411,0),3)</f>
        <v/>
      </c>
      <c r="V411" s="20">
        <f>ROUND(V410+IF(AND(E411=22,F411&lt;&gt;"ASTM A416"),L411,0),3)</f>
        <v/>
      </c>
      <c r="W411" s="20">
        <f>ROUND(W410+IF(AND(E411=25,F411&lt;&gt;"ASTM A416"),L411,0),3)</f>
        <v/>
      </c>
      <c r="X411" s="20">
        <f>ROUND(X410+IF(AND(E411=28,F411&lt;&gt;"ASTM A416"),L411,0),3)</f>
        <v/>
      </c>
      <c r="Y411" s="20">
        <f>ROUND(Y410+IF(AND(E411=32,F411&lt;&gt;"ASTM A416"),L411,0),3)</f>
        <v/>
      </c>
      <c r="Z411" s="20">
        <f>ROUND(Z410+IF(F411="ASTM A416",L411,0),3)</f>
        <v/>
      </c>
      <c r="AA411" s="11">
        <f>IF(ROUNDUP(P411/20,0)&gt;ROUNDUP(P410/20,0),"Lần " &amp; ROUNDUP(P411/20,0),"")</f>
        <v/>
      </c>
      <c r="AB411" s="11">
        <f>IF(ROUNDUP(Q411/20,0)&gt;ROUNDUP(Q410/20,0),"Lần " &amp; ROUNDUP(Q411/20,0),"")</f>
        <v/>
      </c>
      <c r="AC411" s="11">
        <f>IF(ROUNDUP(R411/20,0)&gt;ROUNDUP(R410/20,0),"Lần " &amp; ROUNDUP(R411/20,0),"")</f>
        <v/>
      </c>
      <c r="AD411" s="11">
        <f>IF(ROUNDUP(S411/20,0)&gt;ROUNDUP(S410/20,0),"Lần " &amp; ROUNDUP(S411/20,0),"")</f>
        <v/>
      </c>
      <c r="AE411" s="11">
        <f>IF(ROUNDUP(T411/20,0)&gt;ROUNDUP(T410/20,0),"Lần " &amp; ROUNDUP(T411/20,0),"")</f>
        <v/>
      </c>
      <c r="AF411" s="11">
        <f>IF(ROUNDUP(U411/20,0)&gt;ROUNDUP(U410/20,0),"Lần " &amp; ROUNDUP(U411/20,0),"")</f>
        <v/>
      </c>
      <c r="AG411" s="11">
        <f>IF(ROUNDUP(V411/20,0)&gt;ROUNDUP(V410/20,0),"Lần " &amp; ROUNDUP(V411/20,0),"")</f>
        <v/>
      </c>
      <c r="AH411" s="11">
        <f>IF(ROUNDUP(W411/20,0)&gt;ROUNDUP(W410/20,0),"Lần " &amp; ROUNDUP(W411/20,0),"")</f>
        <v/>
      </c>
      <c r="AI411" s="11">
        <f>IF(ROUNDUP(X411/20,0)&gt;ROUNDUP(X410/20,0),"Lần " &amp; ROUNDUP(X411/20,0),"")</f>
        <v/>
      </c>
      <c r="AJ411" s="11">
        <f>IF(ROUNDUP(Y411/20,0)&gt;ROUNDUP(Y410/20,0),"Lần " &amp; ROUNDUP(Y411/20,0),"")</f>
        <v/>
      </c>
      <c r="AK411" s="11">
        <f>IF(ROUNDUP(Z411/20,0)&gt;ROUNDUP(Z410/20,0),"Lần " &amp; ROUNDUP(Z411/20,0),"")</f>
        <v/>
      </c>
      <c r="AL411" s="6" t="n"/>
      <c r="AN411" t="inlineStr">
        <is>
          <t>Coc</t>
        </is>
      </c>
      <c r="AO411" t="n">
        <v>4</v>
      </c>
    </row>
    <row r="412" ht="19" customHeight="1">
      <c r="A412" s="17" t="inlineStr">
        <is>
          <t>--- CỌC KHOAN NHỒI C2 MỐ M1 (D1.2M, L=20.0M) ---</t>
        </is>
      </c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  <c r="AG412" s="35" t="n"/>
      <c r="AH412" s="35" t="n"/>
      <c r="AI412" s="35" t="n"/>
      <c r="AJ412" s="35" t="n"/>
      <c r="AK412" s="35" t="n"/>
      <c r="AL412" s="34" t="n"/>
    </row>
    <row r="413" ht="20" customHeight="1">
      <c r="A413" s="6" t="n">
        <v>395</v>
      </c>
      <c r="B413" s="7" t="inlineStr">
        <is>
          <t>Cọc khoan nhồi C2 Mố M1 (D1.2m, L=20.0m)</t>
        </is>
      </c>
      <c r="C413" s="7" t="inlineStr">
        <is>
          <t>Cọc mố M1 L=20m (tr.64)</t>
        </is>
      </c>
      <c r="D413" s="18" t="inlineStr">
        <is>
          <t>P1</t>
        </is>
      </c>
      <c r="E413" s="19" t="n">
        <v>10</v>
      </c>
      <c r="F413" s="6" t="inlineStr">
        <is>
          <t>CB240-T</t>
        </is>
      </c>
      <c r="G413" s="7" t="inlineStr"/>
      <c r="H413" s="20" t="n">
        <v>96.604</v>
      </c>
      <c r="I413" s="21" t="n">
        <v>1</v>
      </c>
      <c r="J413" s="22" t="n">
        <v>0.617</v>
      </c>
      <c r="K413" s="9">
        <f>ROUND(H413*I413*J413, 2)</f>
        <v/>
      </c>
      <c r="L413" s="23">
        <f>ROUND(K413/1000, 3)</f>
        <v/>
      </c>
      <c r="M413" s="8">
        <f>IF(AO413="","",IF(INDEX(Theo_Doi_Tan_Suat_Be_Tong!$C:$C,AO413)="","",INDEX(Theo_Doi_Tan_Suat_Be_Tong!$C:$C,AO413)-VLOOKUP(AN413,$AQ$2:$AR$7,2,FALSE)))</f>
        <v/>
      </c>
      <c r="N413" s="6" t="n"/>
      <c r="O413" s="24">
        <f>IF(ROUNDUP(P413/20,0)&gt;ROUNDUP(P411/20,0),"TN Ø10 (Lần " &amp; ROUNDUP(P413/20,0) &amp; ")","")</f>
        <v/>
      </c>
      <c r="P413" s="20">
        <f>ROUND(P411+IF(AND(E413&lt;=10,F413&lt;&gt;"ASTM A416"),L413,0),3)</f>
        <v/>
      </c>
      <c r="Q413" s="20">
        <f>ROUND(Q411+IF(AND(E413=12,F413&lt;&gt;"ASTM A416"),L413,0),3)</f>
        <v/>
      </c>
      <c r="R413" s="20">
        <f>ROUND(R411+IF(AND(E413=14,F413&lt;&gt;"ASTM A416"),L413,0),3)</f>
        <v/>
      </c>
      <c r="S413" s="20">
        <f>ROUND(S411+IF(AND(E413=16,F413&lt;&gt;"ASTM A416"),L413,0),3)</f>
        <v/>
      </c>
      <c r="T413" s="20">
        <f>ROUND(T411+IF(AND(E413=18,F413&lt;&gt;"ASTM A416"),L413,0),3)</f>
        <v/>
      </c>
      <c r="U413" s="20">
        <f>ROUND(U411+IF(AND(E413=20,F413&lt;&gt;"ASTM A416"),L413,0),3)</f>
        <v/>
      </c>
      <c r="V413" s="20">
        <f>ROUND(V411+IF(AND(E413=22,F413&lt;&gt;"ASTM A416"),L413,0),3)</f>
        <v/>
      </c>
      <c r="W413" s="20">
        <f>ROUND(W411+IF(AND(E413=25,F413&lt;&gt;"ASTM A416"),L413,0),3)</f>
        <v/>
      </c>
      <c r="X413" s="20">
        <f>ROUND(X411+IF(AND(E413=28,F413&lt;&gt;"ASTM A416"),L413,0),3)</f>
        <v/>
      </c>
      <c r="Y413" s="20">
        <f>ROUND(Y411+IF(AND(E413=32,F413&lt;&gt;"ASTM A416"),L413,0),3)</f>
        <v/>
      </c>
      <c r="Z413" s="20">
        <f>ROUND(Z411+IF(F413="ASTM A416",L413,0),3)</f>
        <v/>
      </c>
      <c r="AA413" s="11">
        <f>IF(ROUNDUP(P413/20,0)&gt;ROUNDUP(P411/20,0),"Lần " &amp; ROUNDUP(P413/20,0),"")</f>
        <v/>
      </c>
      <c r="AB413" s="11">
        <f>IF(ROUNDUP(Q413/20,0)&gt;ROUNDUP(Q411/20,0),"Lần " &amp; ROUNDUP(Q413/20,0),"")</f>
        <v/>
      </c>
      <c r="AC413" s="11">
        <f>IF(ROUNDUP(R413/20,0)&gt;ROUNDUP(R411/20,0),"Lần " &amp; ROUNDUP(R413/20,0),"")</f>
        <v/>
      </c>
      <c r="AD413" s="11">
        <f>IF(ROUNDUP(S413/20,0)&gt;ROUNDUP(S411/20,0),"Lần " &amp; ROUNDUP(S413/20,0),"")</f>
        <v/>
      </c>
      <c r="AE413" s="11">
        <f>IF(ROUNDUP(T413/20,0)&gt;ROUNDUP(T411/20,0),"Lần " &amp; ROUNDUP(T413/20,0),"")</f>
        <v/>
      </c>
      <c r="AF413" s="11">
        <f>IF(ROUNDUP(U413/20,0)&gt;ROUNDUP(U411/20,0),"Lần " &amp; ROUNDUP(U413/20,0),"")</f>
        <v/>
      </c>
      <c r="AG413" s="11">
        <f>IF(ROUNDUP(V413/20,0)&gt;ROUNDUP(V411/20,0),"Lần " &amp; ROUNDUP(V413/20,0),"")</f>
        <v/>
      </c>
      <c r="AH413" s="11">
        <f>IF(ROUNDUP(W413/20,0)&gt;ROUNDUP(W411/20,0),"Lần " &amp; ROUNDUP(W413/20,0),"")</f>
        <v/>
      </c>
      <c r="AI413" s="11">
        <f>IF(ROUNDUP(X413/20,0)&gt;ROUNDUP(X411/20,0),"Lần " &amp; ROUNDUP(X413/20,0),"")</f>
        <v/>
      </c>
      <c r="AJ413" s="11">
        <f>IF(ROUNDUP(Y413/20,0)&gt;ROUNDUP(Y411/20,0),"Lần " &amp; ROUNDUP(Y413/20,0),"")</f>
        <v/>
      </c>
      <c r="AK413" s="11">
        <f>IF(ROUNDUP(Z413/20,0)&gt;ROUNDUP(Z411/20,0),"Lần " &amp; ROUNDUP(Z413/20,0),"")</f>
        <v/>
      </c>
      <c r="AL413" s="6" t="n"/>
      <c r="AN413" t="inlineStr">
        <is>
          <t>Coc</t>
        </is>
      </c>
      <c r="AO413" t="n">
        <v>5</v>
      </c>
    </row>
    <row r="414" ht="19" customHeight="1">
      <c r="A414" s="6" t="n">
        <v>396</v>
      </c>
      <c r="B414" s="7" t="inlineStr">
        <is>
          <t>Cọc khoan nhồi C2 Mố M1 (D1.2m, L=20.0m)</t>
        </is>
      </c>
      <c r="C414" s="7" t="inlineStr">
        <is>
          <t>Cọc mố M1 L=20m (tr.64)</t>
        </is>
      </c>
      <c r="D414" s="18" t="inlineStr">
        <is>
          <t>P1A</t>
        </is>
      </c>
      <c r="E414" s="19" t="n">
        <v>10</v>
      </c>
      <c r="F414" s="6" t="inlineStr">
        <is>
          <t>CB240-T</t>
        </is>
      </c>
      <c r="G414" s="7" t="inlineStr"/>
      <c r="H414" s="20" t="n">
        <v>373.535</v>
      </c>
      <c r="I414" s="21" t="n">
        <v>1</v>
      </c>
      <c r="J414" s="22" t="n">
        <v>0.617</v>
      </c>
      <c r="K414" s="9">
        <f>ROUND(H414*I414*J414, 2)</f>
        <v/>
      </c>
      <c r="L414" s="23">
        <f>ROUND(K414/1000, 3)</f>
        <v/>
      </c>
      <c r="M414" s="8">
        <f>IF(AO414="","",IF(INDEX(Theo_Doi_Tan_Suat_Be_Tong!$C:$C,AO414)="","",INDEX(Theo_Doi_Tan_Suat_Be_Tong!$C:$C,AO414)-VLOOKUP(AN414,$AQ$2:$AR$7,2,FALSE)))</f>
        <v/>
      </c>
      <c r="N414" s="6" t="n"/>
      <c r="O414" s="24">
        <f>IF(ROUNDUP(P414/20,0)&gt;ROUNDUP(P413/20,0),"TN Ø10 (Lần " &amp; ROUNDUP(P414/20,0) &amp; ")","")</f>
        <v/>
      </c>
      <c r="P414" s="20">
        <f>ROUND(P413+IF(AND(E414&lt;=10,F414&lt;&gt;"ASTM A416"),L414,0),3)</f>
        <v/>
      </c>
      <c r="Q414" s="20">
        <f>ROUND(Q413+IF(AND(E414=12,F414&lt;&gt;"ASTM A416"),L414,0),3)</f>
        <v/>
      </c>
      <c r="R414" s="20">
        <f>ROUND(R413+IF(AND(E414=14,F414&lt;&gt;"ASTM A416"),L414,0),3)</f>
        <v/>
      </c>
      <c r="S414" s="20">
        <f>ROUND(S413+IF(AND(E414=16,F414&lt;&gt;"ASTM A416"),L414,0),3)</f>
        <v/>
      </c>
      <c r="T414" s="20">
        <f>ROUND(T413+IF(AND(E414=18,F414&lt;&gt;"ASTM A416"),L414,0),3)</f>
        <v/>
      </c>
      <c r="U414" s="20">
        <f>ROUND(U413+IF(AND(E414=20,F414&lt;&gt;"ASTM A416"),L414,0),3)</f>
        <v/>
      </c>
      <c r="V414" s="20">
        <f>ROUND(V413+IF(AND(E414=22,F414&lt;&gt;"ASTM A416"),L414,0),3)</f>
        <v/>
      </c>
      <c r="W414" s="20">
        <f>ROUND(W413+IF(AND(E414=25,F414&lt;&gt;"ASTM A416"),L414,0),3)</f>
        <v/>
      </c>
      <c r="X414" s="20">
        <f>ROUND(X413+IF(AND(E414=28,F414&lt;&gt;"ASTM A416"),L414,0),3)</f>
        <v/>
      </c>
      <c r="Y414" s="20">
        <f>ROUND(Y413+IF(AND(E414=32,F414&lt;&gt;"ASTM A416"),L414,0),3)</f>
        <v/>
      </c>
      <c r="Z414" s="20">
        <f>ROUND(Z413+IF(F414="ASTM A416",L414,0),3)</f>
        <v/>
      </c>
      <c r="AA414" s="11">
        <f>IF(ROUNDUP(P414/20,0)&gt;ROUNDUP(P413/20,0),"Lần " &amp; ROUNDUP(P414/20,0),"")</f>
        <v/>
      </c>
      <c r="AB414" s="11">
        <f>IF(ROUNDUP(Q414/20,0)&gt;ROUNDUP(Q413/20,0),"Lần " &amp; ROUNDUP(Q414/20,0),"")</f>
        <v/>
      </c>
      <c r="AC414" s="11">
        <f>IF(ROUNDUP(R414/20,0)&gt;ROUNDUP(R413/20,0),"Lần " &amp; ROUNDUP(R414/20,0),"")</f>
        <v/>
      </c>
      <c r="AD414" s="11">
        <f>IF(ROUNDUP(S414/20,0)&gt;ROUNDUP(S413/20,0),"Lần " &amp; ROUNDUP(S414/20,0),"")</f>
        <v/>
      </c>
      <c r="AE414" s="11">
        <f>IF(ROUNDUP(T414/20,0)&gt;ROUNDUP(T413/20,0),"Lần " &amp; ROUNDUP(T414/20,0),"")</f>
        <v/>
      </c>
      <c r="AF414" s="11">
        <f>IF(ROUNDUP(U414/20,0)&gt;ROUNDUP(U413/20,0),"Lần " &amp; ROUNDUP(U414/20,0),"")</f>
        <v/>
      </c>
      <c r="AG414" s="11">
        <f>IF(ROUNDUP(V414/20,0)&gt;ROUNDUP(V413/20,0),"Lần " &amp; ROUNDUP(V414/20,0),"")</f>
        <v/>
      </c>
      <c r="AH414" s="11">
        <f>IF(ROUNDUP(W414/20,0)&gt;ROUNDUP(W413/20,0),"Lần " &amp; ROUNDUP(W414/20,0),"")</f>
        <v/>
      </c>
      <c r="AI414" s="11">
        <f>IF(ROUNDUP(X414/20,0)&gt;ROUNDUP(X413/20,0),"Lần " &amp; ROUNDUP(X414/20,0),"")</f>
        <v/>
      </c>
      <c r="AJ414" s="11">
        <f>IF(ROUNDUP(Y414/20,0)&gt;ROUNDUP(Y413/20,0),"Lần " &amp; ROUNDUP(Y414/20,0),"")</f>
        <v/>
      </c>
      <c r="AK414" s="11">
        <f>IF(ROUNDUP(Z414/20,0)&gt;ROUNDUP(Z413/20,0),"Lần " &amp; ROUNDUP(Z414/20,0),"")</f>
        <v/>
      </c>
      <c r="AL414" s="6" t="n"/>
      <c r="AN414" t="inlineStr">
        <is>
          <t>Coc</t>
        </is>
      </c>
      <c r="AO414" t="n">
        <v>5</v>
      </c>
    </row>
    <row r="415" ht="19" customHeight="1">
      <c r="A415" s="6" t="n">
        <v>397</v>
      </c>
      <c r="B415" s="7" t="inlineStr">
        <is>
          <t>Cọc khoan nhồi C2 Mố M1 (D1.2m, L=20.0m)</t>
        </is>
      </c>
      <c r="C415" s="7" t="inlineStr">
        <is>
          <t>Cọc mố M1 L=20m (tr.64)</t>
        </is>
      </c>
      <c r="D415" s="18" t="inlineStr">
        <is>
          <t>P1C</t>
        </is>
      </c>
      <c r="E415" s="19" t="n">
        <v>10</v>
      </c>
      <c r="F415" s="6" t="inlineStr">
        <is>
          <t>CB240-T</t>
        </is>
      </c>
      <c r="G415" s="7" t="inlineStr"/>
      <c r="H415" s="20" t="n">
        <v>3.592</v>
      </c>
      <c r="I415" s="21" t="n">
        <v>2</v>
      </c>
      <c r="J415" s="22" t="n">
        <v>0.617</v>
      </c>
      <c r="K415" s="9">
        <f>ROUND(H415*I415*J415, 2)</f>
        <v/>
      </c>
      <c r="L415" s="23">
        <f>ROUND(K415/1000, 3)</f>
        <v/>
      </c>
      <c r="M415" s="8">
        <f>IF(AO415="","",IF(INDEX(Theo_Doi_Tan_Suat_Be_Tong!$C:$C,AO415)="","",INDEX(Theo_Doi_Tan_Suat_Be_Tong!$C:$C,AO415)-VLOOKUP(AN415,$AQ$2:$AR$7,2,FALSE)))</f>
        <v/>
      </c>
      <c r="N415" s="6" t="n"/>
      <c r="O415" s="24">
        <f>IF(ROUNDUP(P415/20,0)&gt;ROUNDUP(P414/20,0),"TN Ø10 (Lần " &amp; ROUNDUP(P415/20,0) &amp; ")","")</f>
        <v/>
      </c>
      <c r="P415" s="20">
        <f>ROUND(P414+IF(AND(E415&lt;=10,F415&lt;&gt;"ASTM A416"),L415,0),3)</f>
        <v/>
      </c>
      <c r="Q415" s="20">
        <f>ROUND(Q414+IF(AND(E415=12,F415&lt;&gt;"ASTM A416"),L415,0),3)</f>
        <v/>
      </c>
      <c r="R415" s="20">
        <f>ROUND(R414+IF(AND(E415=14,F415&lt;&gt;"ASTM A416"),L415,0),3)</f>
        <v/>
      </c>
      <c r="S415" s="20">
        <f>ROUND(S414+IF(AND(E415=16,F415&lt;&gt;"ASTM A416"),L415,0),3)</f>
        <v/>
      </c>
      <c r="T415" s="20">
        <f>ROUND(T414+IF(AND(E415=18,F415&lt;&gt;"ASTM A416"),L415,0),3)</f>
        <v/>
      </c>
      <c r="U415" s="20">
        <f>ROUND(U414+IF(AND(E415=20,F415&lt;&gt;"ASTM A416"),L415,0),3)</f>
        <v/>
      </c>
      <c r="V415" s="20">
        <f>ROUND(V414+IF(AND(E415=22,F415&lt;&gt;"ASTM A416"),L415,0),3)</f>
        <v/>
      </c>
      <c r="W415" s="20">
        <f>ROUND(W414+IF(AND(E415=25,F415&lt;&gt;"ASTM A416"),L415,0),3)</f>
        <v/>
      </c>
      <c r="X415" s="20">
        <f>ROUND(X414+IF(AND(E415=28,F415&lt;&gt;"ASTM A416"),L415,0),3)</f>
        <v/>
      </c>
      <c r="Y415" s="20">
        <f>ROUND(Y414+IF(AND(E415=32,F415&lt;&gt;"ASTM A416"),L415,0),3)</f>
        <v/>
      </c>
      <c r="Z415" s="20">
        <f>ROUND(Z414+IF(F415="ASTM A416",L415,0),3)</f>
        <v/>
      </c>
      <c r="AA415" s="11">
        <f>IF(ROUNDUP(P415/20,0)&gt;ROUNDUP(P414/20,0),"Lần " &amp; ROUNDUP(P415/20,0),"")</f>
        <v/>
      </c>
      <c r="AB415" s="11">
        <f>IF(ROUNDUP(Q415/20,0)&gt;ROUNDUP(Q414/20,0),"Lần " &amp; ROUNDUP(Q415/20,0),"")</f>
        <v/>
      </c>
      <c r="AC415" s="11">
        <f>IF(ROUNDUP(R415/20,0)&gt;ROUNDUP(R414/20,0),"Lần " &amp; ROUNDUP(R415/20,0),"")</f>
        <v/>
      </c>
      <c r="AD415" s="11">
        <f>IF(ROUNDUP(S415/20,0)&gt;ROUNDUP(S414/20,0),"Lần " &amp; ROUNDUP(S415/20,0),"")</f>
        <v/>
      </c>
      <c r="AE415" s="11">
        <f>IF(ROUNDUP(T415/20,0)&gt;ROUNDUP(T414/20,0),"Lần " &amp; ROUNDUP(T415/20,0),"")</f>
        <v/>
      </c>
      <c r="AF415" s="11">
        <f>IF(ROUNDUP(U415/20,0)&gt;ROUNDUP(U414/20,0),"Lần " &amp; ROUNDUP(U415/20,0),"")</f>
        <v/>
      </c>
      <c r="AG415" s="11">
        <f>IF(ROUNDUP(V415/20,0)&gt;ROUNDUP(V414/20,0),"Lần " &amp; ROUNDUP(V415/20,0),"")</f>
        <v/>
      </c>
      <c r="AH415" s="11">
        <f>IF(ROUNDUP(W415/20,0)&gt;ROUNDUP(W414/20,0),"Lần " &amp; ROUNDUP(W415/20,0),"")</f>
        <v/>
      </c>
      <c r="AI415" s="11">
        <f>IF(ROUNDUP(X415/20,0)&gt;ROUNDUP(X414/20,0),"Lần " &amp; ROUNDUP(X415/20,0),"")</f>
        <v/>
      </c>
      <c r="AJ415" s="11">
        <f>IF(ROUNDUP(Y415/20,0)&gt;ROUNDUP(Y414/20,0),"Lần " &amp; ROUNDUP(Y415/20,0),"")</f>
        <v/>
      </c>
      <c r="AK415" s="11">
        <f>IF(ROUNDUP(Z415/20,0)&gt;ROUNDUP(Z414/20,0),"Lần " &amp; ROUNDUP(Z415/20,0),"")</f>
        <v/>
      </c>
      <c r="AL415" s="6" t="n"/>
      <c r="AN415" t="inlineStr">
        <is>
          <t>Coc</t>
        </is>
      </c>
      <c r="AO415" t="n">
        <v>5</v>
      </c>
    </row>
    <row r="416" ht="19" customHeight="1">
      <c r="A416" s="6" t="n">
        <v>398</v>
      </c>
      <c r="B416" s="7" t="inlineStr">
        <is>
          <t>Cọc khoan nhồi C2 Mố M1 (D1.2m, L=20.0m)</t>
        </is>
      </c>
      <c r="C416" s="7" t="inlineStr">
        <is>
          <t>Cọc mố M1 L=20m (tr.64)</t>
        </is>
      </c>
      <c r="D416" s="18" t="inlineStr">
        <is>
          <t>P1D</t>
        </is>
      </c>
      <c r="E416" s="19" t="n">
        <v>10</v>
      </c>
      <c r="F416" s="6" t="inlineStr">
        <is>
          <t>CB240-T</t>
        </is>
      </c>
      <c r="G416" s="7" t="inlineStr"/>
      <c r="H416" s="20" t="n">
        <v>19.721</v>
      </c>
      <c r="I416" s="21" t="n">
        <v>1</v>
      </c>
      <c r="J416" s="22" t="n">
        <v>0.617</v>
      </c>
      <c r="K416" s="9">
        <f>ROUND(H416*I416*J416, 2)</f>
        <v/>
      </c>
      <c r="L416" s="23">
        <f>ROUND(K416/1000, 3)</f>
        <v/>
      </c>
      <c r="M416" s="8">
        <f>IF(AO416="","",IF(INDEX(Theo_Doi_Tan_Suat_Be_Tong!$C:$C,AO416)="","",INDEX(Theo_Doi_Tan_Suat_Be_Tong!$C:$C,AO416)-VLOOKUP(AN416,$AQ$2:$AR$7,2,FALSE)))</f>
        <v/>
      </c>
      <c r="N416" s="6" t="n"/>
      <c r="O416" s="24">
        <f>IF(ROUNDUP(P416/20,0)&gt;ROUNDUP(P415/20,0),"TN Ø10 (Lần " &amp; ROUNDUP(P416/20,0) &amp; ")","")</f>
        <v/>
      </c>
      <c r="P416" s="20">
        <f>ROUND(P415+IF(AND(E416&lt;=10,F416&lt;&gt;"ASTM A416"),L416,0),3)</f>
        <v/>
      </c>
      <c r="Q416" s="20">
        <f>ROUND(Q415+IF(AND(E416=12,F416&lt;&gt;"ASTM A416"),L416,0),3)</f>
        <v/>
      </c>
      <c r="R416" s="20">
        <f>ROUND(R415+IF(AND(E416=14,F416&lt;&gt;"ASTM A416"),L416,0),3)</f>
        <v/>
      </c>
      <c r="S416" s="20">
        <f>ROUND(S415+IF(AND(E416=16,F416&lt;&gt;"ASTM A416"),L416,0),3)</f>
        <v/>
      </c>
      <c r="T416" s="20">
        <f>ROUND(T415+IF(AND(E416=18,F416&lt;&gt;"ASTM A416"),L416,0),3)</f>
        <v/>
      </c>
      <c r="U416" s="20">
        <f>ROUND(U415+IF(AND(E416=20,F416&lt;&gt;"ASTM A416"),L416,0),3)</f>
        <v/>
      </c>
      <c r="V416" s="20">
        <f>ROUND(V415+IF(AND(E416=22,F416&lt;&gt;"ASTM A416"),L416,0),3)</f>
        <v/>
      </c>
      <c r="W416" s="20">
        <f>ROUND(W415+IF(AND(E416=25,F416&lt;&gt;"ASTM A416"),L416,0),3)</f>
        <v/>
      </c>
      <c r="X416" s="20">
        <f>ROUND(X415+IF(AND(E416=28,F416&lt;&gt;"ASTM A416"),L416,0),3)</f>
        <v/>
      </c>
      <c r="Y416" s="20">
        <f>ROUND(Y415+IF(AND(E416=32,F416&lt;&gt;"ASTM A416"),L416,0),3)</f>
        <v/>
      </c>
      <c r="Z416" s="20">
        <f>ROUND(Z415+IF(F416="ASTM A416",L416,0),3)</f>
        <v/>
      </c>
      <c r="AA416" s="11">
        <f>IF(ROUNDUP(P416/20,0)&gt;ROUNDUP(P415/20,0),"Lần " &amp; ROUNDUP(P416/20,0),"")</f>
        <v/>
      </c>
      <c r="AB416" s="11">
        <f>IF(ROUNDUP(Q416/20,0)&gt;ROUNDUP(Q415/20,0),"Lần " &amp; ROUNDUP(Q416/20,0),"")</f>
        <v/>
      </c>
      <c r="AC416" s="11">
        <f>IF(ROUNDUP(R416/20,0)&gt;ROUNDUP(R415/20,0),"Lần " &amp; ROUNDUP(R416/20,0),"")</f>
        <v/>
      </c>
      <c r="AD416" s="11">
        <f>IF(ROUNDUP(S416/20,0)&gt;ROUNDUP(S415/20,0),"Lần " &amp; ROUNDUP(S416/20,0),"")</f>
        <v/>
      </c>
      <c r="AE416" s="11">
        <f>IF(ROUNDUP(T416/20,0)&gt;ROUNDUP(T415/20,0),"Lần " &amp; ROUNDUP(T416/20,0),"")</f>
        <v/>
      </c>
      <c r="AF416" s="11">
        <f>IF(ROUNDUP(U416/20,0)&gt;ROUNDUP(U415/20,0),"Lần " &amp; ROUNDUP(U416/20,0),"")</f>
        <v/>
      </c>
      <c r="AG416" s="11">
        <f>IF(ROUNDUP(V416/20,0)&gt;ROUNDUP(V415/20,0),"Lần " &amp; ROUNDUP(V416/20,0),"")</f>
        <v/>
      </c>
      <c r="AH416" s="11">
        <f>IF(ROUNDUP(W416/20,0)&gt;ROUNDUP(W415/20,0),"Lần " &amp; ROUNDUP(W416/20,0),"")</f>
        <v/>
      </c>
      <c r="AI416" s="11">
        <f>IF(ROUNDUP(X416/20,0)&gt;ROUNDUP(X415/20,0),"Lần " &amp; ROUNDUP(X416/20,0),"")</f>
        <v/>
      </c>
      <c r="AJ416" s="11">
        <f>IF(ROUNDUP(Y416/20,0)&gt;ROUNDUP(Y415/20,0),"Lần " &amp; ROUNDUP(Y416/20,0),"")</f>
        <v/>
      </c>
      <c r="AK416" s="11">
        <f>IF(ROUNDUP(Z416/20,0)&gt;ROUNDUP(Z415/20,0),"Lần " &amp; ROUNDUP(Z416/20,0),"")</f>
        <v/>
      </c>
      <c r="AL416" s="6" t="n"/>
      <c r="AN416" t="inlineStr">
        <is>
          <t>Coc</t>
        </is>
      </c>
      <c r="AO416" t="n">
        <v>5</v>
      </c>
    </row>
    <row r="417" ht="19" customHeight="1">
      <c r="A417" s="6" t="n">
        <v>399</v>
      </c>
      <c r="B417" s="7" t="inlineStr">
        <is>
          <t>Cọc khoan nhồi C2 Mố M1 (D1.2m, L=20.0m)</t>
        </is>
      </c>
      <c r="C417" s="7" t="inlineStr">
        <is>
          <t>Cọc mố M1 L=20m (tr.64)</t>
        </is>
      </c>
      <c r="D417" s="18" t="inlineStr">
        <is>
          <t>P2B</t>
        </is>
      </c>
      <c r="E417" s="19" t="n">
        <v>25</v>
      </c>
      <c r="F417" s="6" t="inlineStr">
        <is>
          <t>CB400-V</t>
        </is>
      </c>
      <c r="G417" s="7" t="inlineStr"/>
      <c r="H417" s="20" t="n">
        <v>2.985</v>
      </c>
      <c r="I417" s="21" t="n">
        <v>8</v>
      </c>
      <c r="J417" s="22" t="n">
        <v>3.853</v>
      </c>
      <c r="K417" s="9">
        <f>ROUND(H417*I417*J417, 2)</f>
        <v/>
      </c>
      <c r="L417" s="23">
        <f>ROUND(K417/1000, 3)</f>
        <v/>
      </c>
      <c r="M417" s="8">
        <f>IF(AO417="","",IF(INDEX(Theo_Doi_Tan_Suat_Be_Tong!$C:$C,AO417)="","",INDEX(Theo_Doi_Tan_Suat_Be_Tong!$C:$C,AO417)-VLOOKUP(AN417,$AQ$2:$AR$7,2,FALSE)))</f>
        <v/>
      </c>
      <c r="N417" s="6" t="n"/>
      <c r="O417" s="24">
        <f>IF(ROUNDUP(W417/20,0)&gt;ROUNDUP(W416/20,0),"TN Ø25 (Lần " &amp; ROUNDUP(W417/20,0) &amp; ")","")</f>
        <v/>
      </c>
      <c r="P417" s="20">
        <f>ROUND(P416+IF(AND(E417&lt;=10,F417&lt;&gt;"ASTM A416"),L417,0),3)</f>
        <v/>
      </c>
      <c r="Q417" s="20">
        <f>ROUND(Q416+IF(AND(E417=12,F417&lt;&gt;"ASTM A416"),L417,0),3)</f>
        <v/>
      </c>
      <c r="R417" s="20">
        <f>ROUND(R416+IF(AND(E417=14,F417&lt;&gt;"ASTM A416"),L417,0),3)</f>
        <v/>
      </c>
      <c r="S417" s="20">
        <f>ROUND(S416+IF(AND(E417=16,F417&lt;&gt;"ASTM A416"),L417,0),3)</f>
        <v/>
      </c>
      <c r="T417" s="20">
        <f>ROUND(T416+IF(AND(E417=18,F417&lt;&gt;"ASTM A416"),L417,0),3)</f>
        <v/>
      </c>
      <c r="U417" s="20">
        <f>ROUND(U416+IF(AND(E417=20,F417&lt;&gt;"ASTM A416"),L417,0),3)</f>
        <v/>
      </c>
      <c r="V417" s="20">
        <f>ROUND(V416+IF(AND(E417=22,F417&lt;&gt;"ASTM A416"),L417,0),3)</f>
        <v/>
      </c>
      <c r="W417" s="20">
        <f>ROUND(W416+IF(AND(E417=25,F417&lt;&gt;"ASTM A416"),L417,0),3)</f>
        <v/>
      </c>
      <c r="X417" s="20">
        <f>ROUND(X416+IF(AND(E417=28,F417&lt;&gt;"ASTM A416"),L417,0),3)</f>
        <v/>
      </c>
      <c r="Y417" s="20">
        <f>ROUND(Y416+IF(AND(E417=32,F417&lt;&gt;"ASTM A416"),L417,0),3)</f>
        <v/>
      </c>
      <c r="Z417" s="20">
        <f>ROUND(Z416+IF(F417="ASTM A416",L417,0),3)</f>
        <v/>
      </c>
      <c r="AA417" s="11">
        <f>IF(ROUNDUP(P417/20,0)&gt;ROUNDUP(P416/20,0),"Lần " &amp; ROUNDUP(P417/20,0),"")</f>
        <v/>
      </c>
      <c r="AB417" s="11">
        <f>IF(ROUNDUP(Q417/20,0)&gt;ROUNDUP(Q416/20,0),"Lần " &amp; ROUNDUP(Q417/20,0),"")</f>
        <v/>
      </c>
      <c r="AC417" s="11">
        <f>IF(ROUNDUP(R417/20,0)&gt;ROUNDUP(R416/20,0),"Lần " &amp; ROUNDUP(R417/20,0),"")</f>
        <v/>
      </c>
      <c r="AD417" s="11">
        <f>IF(ROUNDUP(S417/20,0)&gt;ROUNDUP(S416/20,0),"Lần " &amp; ROUNDUP(S417/20,0),"")</f>
        <v/>
      </c>
      <c r="AE417" s="11">
        <f>IF(ROUNDUP(T417/20,0)&gt;ROUNDUP(T416/20,0),"Lần " &amp; ROUNDUP(T417/20,0),"")</f>
        <v/>
      </c>
      <c r="AF417" s="11">
        <f>IF(ROUNDUP(U417/20,0)&gt;ROUNDUP(U416/20,0),"Lần " &amp; ROUNDUP(U417/20,0),"")</f>
        <v/>
      </c>
      <c r="AG417" s="11">
        <f>IF(ROUNDUP(V417/20,0)&gt;ROUNDUP(V416/20,0),"Lần " &amp; ROUNDUP(V417/20,0),"")</f>
        <v/>
      </c>
      <c r="AH417" s="11">
        <f>IF(ROUNDUP(W417/20,0)&gt;ROUNDUP(W416/20,0),"Lần " &amp; ROUNDUP(W417/20,0),"")</f>
        <v/>
      </c>
      <c r="AI417" s="11">
        <f>IF(ROUNDUP(X417/20,0)&gt;ROUNDUP(X416/20,0),"Lần " &amp; ROUNDUP(X417/20,0),"")</f>
        <v/>
      </c>
      <c r="AJ417" s="11">
        <f>IF(ROUNDUP(Y417/20,0)&gt;ROUNDUP(Y416/20,0),"Lần " &amp; ROUNDUP(Y417/20,0),"")</f>
        <v/>
      </c>
      <c r="AK417" s="11">
        <f>IF(ROUNDUP(Z417/20,0)&gt;ROUNDUP(Z416/20,0),"Lần " &amp; ROUNDUP(Z417/20,0),"")</f>
        <v/>
      </c>
      <c r="AL417" s="6" t="n"/>
      <c r="AN417" t="inlineStr">
        <is>
          <t>Coc</t>
        </is>
      </c>
      <c r="AO417" t="n">
        <v>5</v>
      </c>
    </row>
    <row r="418" ht="19" customHeight="1">
      <c r="A418" s="6" t="n">
        <v>400</v>
      </c>
      <c r="B418" s="7" t="inlineStr">
        <is>
          <t>Cọc khoan nhồi C2 Mố M1 (D1.2m, L=20.0m)</t>
        </is>
      </c>
      <c r="C418" s="7" t="inlineStr">
        <is>
          <t>Cọc mố M1 L=20m (tr.64)</t>
        </is>
      </c>
      <c r="D418" s="18" t="inlineStr">
        <is>
          <t>P3</t>
        </is>
      </c>
      <c r="E418" s="19" t="n">
        <v>25</v>
      </c>
      <c r="F418" s="6" t="inlineStr">
        <is>
          <t>CB400-V</t>
        </is>
      </c>
      <c r="G418" s="7" t="inlineStr"/>
      <c r="H418" s="20" t="n">
        <v>10.7</v>
      </c>
      <c r="I418" s="21" t="n">
        <v>12</v>
      </c>
      <c r="J418" s="22" t="n">
        <v>3.853</v>
      </c>
      <c r="K418" s="9">
        <f>ROUND(H418*I418*J418, 2)</f>
        <v/>
      </c>
      <c r="L418" s="23">
        <f>ROUND(K418/1000, 3)</f>
        <v/>
      </c>
      <c r="M418" s="8">
        <f>IF(AO418="","",IF(INDEX(Theo_Doi_Tan_Suat_Be_Tong!$C:$C,AO418)="","",INDEX(Theo_Doi_Tan_Suat_Be_Tong!$C:$C,AO418)-VLOOKUP(AN418,$AQ$2:$AR$7,2,FALSE)))</f>
        <v/>
      </c>
      <c r="N418" s="6" t="n"/>
      <c r="O418" s="24">
        <f>IF(ROUNDUP(W418/20,0)&gt;ROUNDUP(W417/20,0),"TN Ø25 (Lần " &amp; ROUNDUP(W418/20,0) &amp; ")","")</f>
        <v/>
      </c>
      <c r="P418" s="20">
        <f>ROUND(P417+IF(AND(E418&lt;=10,F418&lt;&gt;"ASTM A416"),L418,0),3)</f>
        <v/>
      </c>
      <c r="Q418" s="20">
        <f>ROUND(Q417+IF(AND(E418=12,F418&lt;&gt;"ASTM A416"),L418,0),3)</f>
        <v/>
      </c>
      <c r="R418" s="20">
        <f>ROUND(R417+IF(AND(E418=14,F418&lt;&gt;"ASTM A416"),L418,0),3)</f>
        <v/>
      </c>
      <c r="S418" s="20">
        <f>ROUND(S417+IF(AND(E418=16,F418&lt;&gt;"ASTM A416"),L418,0),3)</f>
        <v/>
      </c>
      <c r="T418" s="20">
        <f>ROUND(T417+IF(AND(E418=18,F418&lt;&gt;"ASTM A416"),L418,0),3)</f>
        <v/>
      </c>
      <c r="U418" s="20">
        <f>ROUND(U417+IF(AND(E418=20,F418&lt;&gt;"ASTM A416"),L418,0),3)</f>
        <v/>
      </c>
      <c r="V418" s="20">
        <f>ROUND(V417+IF(AND(E418=22,F418&lt;&gt;"ASTM A416"),L418,0),3)</f>
        <v/>
      </c>
      <c r="W418" s="20">
        <f>ROUND(W417+IF(AND(E418=25,F418&lt;&gt;"ASTM A416"),L418,0),3)</f>
        <v/>
      </c>
      <c r="X418" s="20">
        <f>ROUND(X417+IF(AND(E418=28,F418&lt;&gt;"ASTM A416"),L418,0),3)</f>
        <v/>
      </c>
      <c r="Y418" s="20">
        <f>ROUND(Y417+IF(AND(E418=32,F418&lt;&gt;"ASTM A416"),L418,0),3)</f>
        <v/>
      </c>
      <c r="Z418" s="20">
        <f>ROUND(Z417+IF(F418="ASTM A416",L418,0),3)</f>
        <v/>
      </c>
      <c r="AA418" s="11">
        <f>IF(ROUNDUP(P418/20,0)&gt;ROUNDUP(P417/20,0),"Lần " &amp; ROUNDUP(P418/20,0),"")</f>
        <v/>
      </c>
      <c r="AB418" s="11">
        <f>IF(ROUNDUP(Q418/20,0)&gt;ROUNDUP(Q417/20,0),"Lần " &amp; ROUNDUP(Q418/20,0),"")</f>
        <v/>
      </c>
      <c r="AC418" s="11">
        <f>IF(ROUNDUP(R418/20,0)&gt;ROUNDUP(R417/20,0),"Lần " &amp; ROUNDUP(R418/20,0),"")</f>
        <v/>
      </c>
      <c r="AD418" s="11">
        <f>IF(ROUNDUP(S418/20,0)&gt;ROUNDUP(S417/20,0),"Lần " &amp; ROUNDUP(S418/20,0),"")</f>
        <v/>
      </c>
      <c r="AE418" s="11">
        <f>IF(ROUNDUP(T418/20,0)&gt;ROUNDUP(T417/20,0),"Lần " &amp; ROUNDUP(T418/20,0),"")</f>
        <v/>
      </c>
      <c r="AF418" s="11">
        <f>IF(ROUNDUP(U418/20,0)&gt;ROUNDUP(U417/20,0),"Lần " &amp; ROUNDUP(U418/20,0),"")</f>
        <v/>
      </c>
      <c r="AG418" s="11">
        <f>IF(ROUNDUP(V418/20,0)&gt;ROUNDUP(V417/20,0),"Lần " &amp; ROUNDUP(V418/20,0),"")</f>
        <v/>
      </c>
      <c r="AH418" s="11">
        <f>IF(ROUNDUP(W418/20,0)&gt;ROUNDUP(W417/20,0),"Lần " &amp; ROUNDUP(W418/20,0),"")</f>
        <v/>
      </c>
      <c r="AI418" s="11">
        <f>IF(ROUNDUP(X418/20,0)&gt;ROUNDUP(X417/20,0),"Lần " &amp; ROUNDUP(X418/20,0),"")</f>
        <v/>
      </c>
      <c r="AJ418" s="11">
        <f>IF(ROUNDUP(Y418/20,0)&gt;ROUNDUP(Y417/20,0),"Lần " &amp; ROUNDUP(Y418/20,0),"")</f>
        <v/>
      </c>
      <c r="AK418" s="11">
        <f>IF(ROUNDUP(Z418/20,0)&gt;ROUNDUP(Z417/20,0),"Lần " &amp; ROUNDUP(Z418/20,0),"")</f>
        <v/>
      </c>
      <c r="AL418" s="6" t="n"/>
      <c r="AN418" t="inlineStr">
        <is>
          <t>Coc</t>
        </is>
      </c>
      <c r="AO418" t="n">
        <v>5</v>
      </c>
    </row>
    <row r="419" ht="19" customHeight="1">
      <c r="A419" s="6" t="n">
        <v>401</v>
      </c>
      <c r="B419" s="7" t="inlineStr">
        <is>
          <t>Cọc khoan nhồi C2 Mố M1 (D1.2m, L=20.0m)</t>
        </is>
      </c>
      <c r="C419" s="7" t="inlineStr">
        <is>
          <t>Cọc mố M1 L=20m (tr.64)</t>
        </is>
      </c>
      <c r="D419" s="18" t="inlineStr">
        <is>
          <t>P4</t>
        </is>
      </c>
      <c r="E419" s="19" t="n">
        <v>25</v>
      </c>
      <c r="F419" s="6" t="inlineStr">
        <is>
          <t>CB400-V</t>
        </is>
      </c>
      <c r="G419" s="7" t="inlineStr"/>
      <c r="H419" s="20" t="n">
        <v>11.7</v>
      </c>
      <c r="I419" s="21" t="n">
        <v>12</v>
      </c>
      <c r="J419" s="22" t="n">
        <v>3.853</v>
      </c>
      <c r="K419" s="9">
        <f>ROUND(H419*I419*J419, 2)</f>
        <v/>
      </c>
      <c r="L419" s="23">
        <f>ROUND(K419/1000, 3)</f>
        <v/>
      </c>
      <c r="M419" s="8">
        <f>IF(AO419="","",IF(INDEX(Theo_Doi_Tan_Suat_Be_Tong!$C:$C,AO419)="","",INDEX(Theo_Doi_Tan_Suat_Be_Tong!$C:$C,AO419)-VLOOKUP(AN419,$AQ$2:$AR$7,2,FALSE)))</f>
        <v/>
      </c>
      <c r="N419" s="6" t="n"/>
      <c r="O419" s="24">
        <f>IF(ROUNDUP(W419/20,0)&gt;ROUNDUP(W418/20,0),"TN Ø25 (Lần " &amp; ROUNDUP(W419/20,0) &amp; ")","")</f>
        <v/>
      </c>
      <c r="P419" s="20">
        <f>ROUND(P418+IF(AND(E419&lt;=10,F419&lt;&gt;"ASTM A416"),L419,0),3)</f>
        <v/>
      </c>
      <c r="Q419" s="20">
        <f>ROUND(Q418+IF(AND(E419=12,F419&lt;&gt;"ASTM A416"),L419,0),3)</f>
        <v/>
      </c>
      <c r="R419" s="20">
        <f>ROUND(R418+IF(AND(E419=14,F419&lt;&gt;"ASTM A416"),L419,0),3)</f>
        <v/>
      </c>
      <c r="S419" s="20">
        <f>ROUND(S418+IF(AND(E419=16,F419&lt;&gt;"ASTM A416"),L419,0),3)</f>
        <v/>
      </c>
      <c r="T419" s="20">
        <f>ROUND(T418+IF(AND(E419=18,F419&lt;&gt;"ASTM A416"),L419,0),3)</f>
        <v/>
      </c>
      <c r="U419" s="20">
        <f>ROUND(U418+IF(AND(E419=20,F419&lt;&gt;"ASTM A416"),L419,0),3)</f>
        <v/>
      </c>
      <c r="V419" s="20">
        <f>ROUND(V418+IF(AND(E419=22,F419&lt;&gt;"ASTM A416"),L419,0),3)</f>
        <v/>
      </c>
      <c r="W419" s="20">
        <f>ROUND(W418+IF(AND(E419=25,F419&lt;&gt;"ASTM A416"),L419,0),3)</f>
        <v/>
      </c>
      <c r="X419" s="20">
        <f>ROUND(X418+IF(AND(E419=28,F419&lt;&gt;"ASTM A416"),L419,0),3)</f>
        <v/>
      </c>
      <c r="Y419" s="20">
        <f>ROUND(Y418+IF(AND(E419=32,F419&lt;&gt;"ASTM A416"),L419,0),3)</f>
        <v/>
      </c>
      <c r="Z419" s="20">
        <f>ROUND(Z418+IF(F419="ASTM A416",L419,0),3)</f>
        <v/>
      </c>
      <c r="AA419" s="11">
        <f>IF(ROUNDUP(P419/20,0)&gt;ROUNDUP(P418/20,0),"Lần " &amp; ROUNDUP(P419/20,0),"")</f>
        <v/>
      </c>
      <c r="AB419" s="11">
        <f>IF(ROUNDUP(Q419/20,0)&gt;ROUNDUP(Q418/20,0),"Lần " &amp; ROUNDUP(Q419/20,0),"")</f>
        <v/>
      </c>
      <c r="AC419" s="11">
        <f>IF(ROUNDUP(R419/20,0)&gt;ROUNDUP(R418/20,0),"Lần " &amp; ROUNDUP(R419/20,0),"")</f>
        <v/>
      </c>
      <c r="AD419" s="11">
        <f>IF(ROUNDUP(S419/20,0)&gt;ROUNDUP(S418/20,0),"Lần " &amp; ROUNDUP(S419/20,0),"")</f>
        <v/>
      </c>
      <c r="AE419" s="11">
        <f>IF(ROUNDUP(T419/20,0)&gt;ROUNDUP(T418/20,0),"Lần " &amp; ROUNDUP(T419/20,0),"")</f>
        <v/>
      </c>
      <c r="AF419" s="11">
        <f>IF(ROUNDUP(U419/20,0)&gt;ROUNDUP(U418/20,0),"Lần " &amp; ROUNDUP(U419/20,0),"")</f>
        <v/>
      </c>
      <c r="AG419" s="11">
        <f>IF(ROUNDUP(V419/20,0)&gt;ROUNDUP(V418/20,0),"Lần " &amp; ROUNDUP(V419/20,0),"")</f>
        <v/>
      </c>
      <c r="AH419" s="11">
        <f>IF(ROUNDUP(W419/20,0)&gt;ROUNDUP(W418/20,0),"Lần " &amp; ROUNDUP(W419/20,0),"")</f>
        <v/>
      </c>
      <c r="AI419" s="11">
        <f>IF(ROUNDUP(X419/20,0)&gt;ROUNDUP(X418/20,0),"Lần " &amp; ROUNDUP(X419/20,0),"")</f>
        <v/>
      </c>
      <c r="AJ419" s="11">
        <f>IF(ROUNDUP(Y419/20,0)&gt;ROUNDUP(Y418/20,0),"Lần " &amp; ROUNDUP(Y419/20,0),"")</f>
        <v/>
      </c>
      <c r="AK419" s="11">
        <f>IF(ROUNDUP(Z419/20,0)&gt;ROUNDUP(Z418/20,0),"Lần " &amp; ROUNDUP(Z419/20,0),"")</f>
        <v/>
      </c>
      <c r="AL419" s="6" t="n"/>
      <c r="AN419" t="inlineStr">
        <is>
          <t>Coc</t>
        </is>
      </c>
      <c r="AO419" t="n">
        <v>5</v>
      </c>
    </row>
    <row r="420" ht="19" customHeight="1">
      <c r="A420" s="6" t="n">
        <v>402</v>
      </c>
      <c r="B420" s="7" t="inlineStr">
        <is>
          <t>Cọc khoan nhồi C2 Mố M1 (D1.2m, L=20.0m)</t>
        </is>
      </c>
      <c r="C420" s="7" t="inlineStr">
        <is>
          <t>Cọc mố M1 L=20m (tr.64)</t>
        </is>
      </c>
      <c r="D420" s="18" t="inlineStr">
        <is>
          <t>P6</t>
        </is>
      </c>
      <c r="E420" s="19" t="n">
        <v>25</v>
      </c>
      <c r="F420" s="6" t="inlineStr">
        <is>
          <t>CB400-V</t>
        </is>
      </c>
      <c r="G420" s="7" t="inlineStr"/>
      <c r="H420" s="20" t="n">
        <v>10.433</v>
      </c>
      <c r="I420" s="21" t="n">
        <v>12</v>
      </c>
      <c r="J420" s="22" t="n">
        <v>3.853</v>
      </c>
      <c r="K420" s="9">
        <f>ROUND(H420*I420*J420, 2)</f>
        <v/>
      </c>
      <c r="L420" s="23">
        <f>ROUND(K420/1000, 3)</f>
        <v/>
      </c>
      <c r="M420" s="8">
        <f>IF(AO420="","",IF(INDEX(Theo_Doi_Tan_Suat_Be_Tong!$C:$C,AO420)="","",INDEX(Theo_Doi_Tan_Suat_Be_Tong!$C:$C,AO420)-VLOOKUP(AN420,$AQ$2:$AR$7,2,FALSE)))</f>
        <v/>
      </c>
      <c r="N420" s="6" t="n"/>
      <c r="O420" s="24">
        <f>IF(ROUNDUP(W420/20,0)&gt;ROUNDUP(W419/20,0),"TN Ø25 (Lần " &amp; ROUNDUP(W420/20,0) &amp; ")","")</f>
        <v/>
      </c>
      <c r="P420" s="20">
        <f>ROUND(P419+IF(AND(E420&lt;=10,F420&lt;&gt;"ASTM A416"),L420,0),3)</f>
        <v/>
      </c>
      <c r="Q420" s="20">
        <f>ROUND(Q419+IF(AND(E420=12,F420&lt;&gt;"ASTM A416"),L420,0),3)</f>
        <v/>
      </c>
      <c r="R420" s="20">
        <f>ROUND(R419+IF(AND(E420=14,F420&lt;&gt;"ASTM A416"),L420,0),3)</f>
        <v/>
      </c>
      <c r="S420" s="20">
        <f>ROUND(S419+IF(AND(E420=16,F420&lt;&gt;"ASTM A416"),L420,0),3)</f>
        <v/>
      </c>
      <c r="T420" s="20">
        <f>ROUND(T419+IF(AND(E420=18,F420&lt;&gt;"ASTM A416"),L420,0),3)</f>
        <v/>
      </c>
      <c r="U420" s="20">
        <f>ROUND(U419+IF(AND(E420=20,F420&lt;&gt;"ASTM A416"),L420,0),3)</f>
        <v/>
      </c>
      <c r="V420" s="20">
        <f>ROUND(V419+IF(AND(E420=22,F420&lt;&gt;"ASTM A416"),L420,0),3)</f>
        <v/>
      </c>
      <c r="W420" s="20">
        <f>ROUND(W419+IF(AND(E420=25,F420&lt;&gt;"ASTM A416"),L420,0),3)</f>
        <v/>
      </c>
      <c r="X420" s="20">
        <f>ROUND(X419+IF(AND(E420=28,F420&lt;&gt;"ASTM A416"),L420,0),3)</f>
        <v/>
      </c>
      <c r="Y420" s="20">
        <f>ROUND(Y419+IF(AND(E420=32,F420&lt;&gt;"ASTM A416"),L420,0),3)</f>
        <v/>
      </c>
      <c r="Z420" s="20">
        <f>ROUND(Z419+IF(F420="ASTM A416",L420,0),3)</f>
        <v/>
      </c>
      <c r="AA420" s="11">
        <f>IF(ROUNDUP(P420/20,0)&gt;ROUNDUP(P419/20,0),"Lần " &amp; ROUNDUP(P420/20,0),"")</f>
        <v/>
      </c>
      <c r="AB420" s="11">
        <f>IF(ROUNDUP(Q420/20,0)&gt;ROUNDUP(Q419/20,0),"Lần " &amp; ROUNDUP(Q420/20,0),"")</f>
        <v/>
      </c>
      <c r="AC420" s="11">
        <f>IF(ROUNDUP(R420/20,0)&gt;ROUNDUP(R419/20,0),"Lần " &amp; ROUNDUP(R420/20,0),"")</f>
        <v/>
      </c>
      <c r="AD420" s="11">
        <f>IF(ROUNDUP(S420/20,0)&gt;ROUNDUP(S419/20,0),"Lần " &amp; ROUNDUP(S420/20,0),"")</f>
        <v/>
      </c>
      <c r="AE420" s="11">
        <f>IF(ROUNDUP(T420/20,0)&gt;ROUNDUP(T419/20,0),"Lần " &amp; ROUNDUP(T420/20,0),"")</f>
        <v/>
      </c>
      <c r="AF420" s="11">
        <f>IF(ROUNDUP(U420/20,0)&gt;ROUNDUP(U419/20,0),"Lần " &amp; ROUNDUP(U420/20,0),"")</f>
        <v/>
      </c>
      <c r="AG420" s="11">
        <f>IF(ROUNDUP(V420/20,0)&gt;ROUNDUP(V419/20,0),"Lần " &amp; ROUNDUP(V420/20,0),"")</f>
        <v/>
      </c>
      <c r="AH420" s="11">
        <f>IF(ROUNDUP(W420/20,0)&gt;ROUNDUP(W419/20,0),"Lần " &amp; ROUNDUP(W420/20,0),"")</f>
        <v/>
      </c>
      <c r="AI420" s="11">
        <f>IF(ROUNDUP(X420/20,0)&gt;ROUNDUP(X419/20,0),"Lần " &amp; ROUNDUP(X420/20,0),"")</f>
        <v/>
      </c>
      <c r="AJ420" s="11">
        <f>IF(ROUNDUP(Y420/20,0)&gt;ROUNDUP(Y419/20,0),"Lần " &amp; ROUNDUP(Y420/20,0),"")</f>
        <v/>
      </c>
      <c r="AK420" s="11">
        <f>IF(ROUNDUP(Z420/20,0)&gt;ROUNDUP(Z419/20,0),"Lần " &amp; ROUNDUP(Z420/20,0),"")</f>
        <v/>
      </c>
      <c r="AL420" s="6" t="n"/>
      <c r="AN420" t="inlineStr">
        <is>
          <t>Coc</t>
        </is>
      </c>
      <c r="AO420" t="n">
        <v>5</v>
      </c>
    </row>
    <row r="421" ht="19" customHeight="1">
      <c r="A421" s="6" t="n">
        <v>403</v>
      </c>
      <c r="B421" s="7" t="inlineStr">
        <is>
          <t>Cọc khoan nhồi C2 Mố M1 (D1.2m, L=20.0m)</t>
        </is>
      </c>
      <c r="C421" s="7" t="inlineStr">
        <is>
          <t>Cọc mố M1 L=20m (tr.64)</t>
        </is>
      </c>
      <c r="D421" s="18" t="inlineStr">
        <is>
          <t>P7</t>
        </is>
      </c>
      <c r="E421" s="19" t="n">
        <v>25</v>
      </c>
      <c r="F421" s="6" t="inlineStr">
        <is>
          <t>CB400-V</t>
        </is>
      </c>
      <c r="G421" s="7" t="inlineStr"/>
      <c r="H421" s="20" t="n">
        <v>11.433</v>
      </c>
      <c r="I421" s="21" t="n">
        <v>12</v>
      </c>
      <c r="J421" s="22" t="n">
        <v>3.853</v>
      </c>
      <c r="K421" s="9">
        <f>ROUND(H421*I421*J421, 2)</f>
        <v/>
      </c>
      <c r="L421" s="23">
        <f>ROUND(K421/1000, 3)</f>
        <v/>
      </c>
      <c r="M421" s="8">
        <f>IF(AO421="","",IF(INDEX(Theo_Doi_Tan_Suat_Be_Tong!$C:$C,AO421)="","",INDEX(Theo_Doi_Tan_Suat_Be_Tong!$C:$C,AO421)-VLOOKUP(AN421,$AQ$2:$AR$7,2,FALSE)))</f>
        <v/>
      </c>
      <c r="N421" s="6" t="n"/>
      <c r="O421" s="24">
        <f>IF(ROUNDUP(W421/20,0)&gt;ROUNDUP(W420/20,0),"TN Ø25 (Lần " &amp; ROUNDUP(W421/20,0) &amp; ")","")</f>
        <v/>
      </c>
      <c r="P421" s="20">
        <f>ROUND(P420+IF(AND(E421&lt;=10,F421&lt;&gt;"ASTM A416"),L421,0),3)</f>
        <v/>
      </c>
      <c r="Q421" s="20">
        <f>ROUND(Q420+IF(AND(E421=12,F421&lt;&gt;"ASTM A416"),L421,0),3)</f>
        <v/>
      </c>
      <c r="R421" s="20">
        <f>ROUND(R420+IF(AND(E421=14,F421&lt;&gt;"ASTM A416"),L421,0),3)</f>
        <v/>
      </c>
      <c r="S421" s="20">
        <f>ROUND(S420+IF(AND(E421=16,F421&lt;&gt;"ASTM A416"),L421,0),3)</f>
        <v/>
      </c>
      <c r="T421" s="20">
        <f>ROUND(T420+IF(AND(E421=18,F421&lt;&gt;"ASTM A416"),L421,0),3)</f>
        <v/>
      </c>
      <c r="U421" s="20">
        <f>ROUND(U420+IF(AND(E421=20,F421&lt;&gt;"ASTM A416"),L421,0),3)</f>
        <v/>
      </c>
      <c r="V421" s="20">
        <f>ROUND(V420+IF(AND(E421=22,F421&lt;&gt;"ASTM A416"),L421,0),3)</f>
        <v/>
      </c>
      <c r="W421" s="20">
        <f>ROUND(W420+IF(AND(E421=25,F421&lt;&gt;"ASTM A416"),L421,0),3)</f>
        <v/>
      </c>
      <c r="X421" s="20">
        <f>ROUND(X420+IF(AND(E421=28,F421&lt;&gt;"ASTM A416"),L421,0),3)</f>
        <v/>
      </c>
      <c r="Y421" s="20">
        <f>ROUND(Y420+IF(AND(E421=32,F421&lt;&gt;"ASTM A416"),L421,0),3)</f>
        <v/>
      </c>
      <c r="Z421" s="20">
        <f>ROUND(Z420+IF(F421="ASTM A416",L421,0),3)</f>
        <v/>
      </c>
      <c r="AA421" s="11">
        <f>IF(ROUNDUP(P421/20,0)&gt;ROUNDUP(P420/20,0),"Lần " &amp; ROUNDUP(P421/20,0),"")</f>
        <v/>
      </c>
      <c r="AB421" s="11">
        <f>IF(ROUNDUP(Q421/20,0)&gt;ROUNDUP(Q420/20,0),"Lần " &amp; ROUNDUP(Q421/20,0),"")</f>
        <v/>
      </c>
      <c r="AC421" s="11">
        <f>IF(ROUNDUP(R421/20,0)&gt;ROUNDUP(R420/20,0),"Lần " &amp; ROUNDUP(R421/20,0),"")</f>
        <v/>
      </c>
      <c r="AD421" s="11">
        <f>IF(ROUNDUP(S421/20,0)&gt;ROUNDUP(S420/20,0),"Lần " &amp; ROUNDUP(S421/20,0),"")</f>
        <v/>
      </c>
      <c r="AE421" s="11">
        <f>IF(ROUNDUP(T421/20,0)&gt;ROUNDUP(T420/20,0),"Lần " &amp; ROUNDUP(T421/20,0),"")</f>
        <v/>
      </c>
      <c r="AF421" s="11">
        <f>IF(ROUNDUP(U421/20,0)&gt;ROUNDUP(U420/20,0),"Lần " &amp; ROUNDUP(U421/20,0),"")</f>
        <v/>
      </c>
      <c r="AG421" s="11">
        <f>IF(ROUNDUP(V421/20,0)&gt;ROUNDUP(V420/20,0),"Lần " &amp; ROUNDUP(V421/20,0),"")</f>
        <v/>
      </c>
      <c r="AH421" s="11">
        <f>IF(ROUNDUP(W421/20,0)&gt;ROUNDUP(W420/20,0),"Lần " &amp; ROUNDUP(W421/20,0),"")</f>
        <v/>
      </c>
      <c r="AI421" s="11">
        <f>IF(ROUNDUP(X421/20,0)&gt;ROUNDUP(X420/20,0),"Lần " &amp; ROUNDUP(X421/20,0),"")</f>
        <v/>
      </c>
      <c r="AJ421" s="11">
        <f>IF(ROUNDUP(Y421/20,0)&gt;ROUNDUP(Y420/20,0),"Lần " &amp; ROUNDUP(Y421/20,0),"")</f>
        <v/>
      </c>
      <c r="AK421" s="11">
        <f>IF(ROUNDUP(Z421/20,0)&gt;ROUNDUP(Z420/20,0),"Lần " &amp; ROUNDUP(Z421/20,0),"")</f>
        <v/>
      </c>
      <c r="AL421" s="6" t="n"/>
      <c r="AN421" t="inlineStr">
        <is>
          <t>Coc</t>
        </is>
      </c>
      <c r="AO421" t="n">
        <v>5</v>
      </c>
    </row>
    <row r="422" ht="19" customHeight="1">
      <c r="A422" s="6" t="n">
        <v>404</v>
      </c>
      <c r="B422" s="7" t="inlineStr">
        <is>
          <t>Cọc khoan nhồi C2 Mố M1 (D1.2m, L=20.0m)</t>
        </is>
      </c>
      <c r="C422" s="7" t="inlineStr">
        <is>
          <t>Cọc mố M1 L=20m (tr.64)</t>
        </is>
      </c>
      <c r="D422" s="18" t="inlineStr">
        <is>
          <t>P8</t>
        </is>
      </c>
      <c r="E422" s="19" t="n">
        <v>12</v>
      </c>
      <c r="F422" s="6" t="inlineStr">
        <is>
          <t>CB400-V</t>
        </is>
      </c>
      <c r="G422" s="7" t="inlineStr"/>
      <c r="H422" s="20" t="n">
        <v>0.647</v>
      </c>
      <c r="I422" s="21" t="n">
        <v>8</v>
      </c>
      <c r="J422" s="22" t="n">
        <v>0.888</v>
      </c>
      <c r="K422" s="9">
        <f>ROUND(H422*I422*J422, 2)</f>
        <v/>
      </c>
      <c r="L422" s="23">
        <f>ROUND(K422/1000, 3)</f>
        <v/>
      </c>
      <c r="M422" s="8">
        <f>IF(AO422="","",IF(INDEX(Theo_Doi_Tan_Suat_Be_Tong!$C:$C,AO422)="","",INDEX(Theo_Doi_Tan_Suat_Be_Tong!$C:$C,AO422)-VLOOKUP(AN422,$AQ$2:$AR$7,2,FALSE)))</f>
        <v/>
      </c>
      <c r="N422" s="6" t="n"/>
      <c r="O422" s="24">
        <f>IF(ROUNDUP(Q422/20,0)&gt;ROUNDUP(Q421/20,0),"TN Ø12 (Lần " &amp; ROUNDUP(Q422/20,0) &amp; ")","")</f>
        <v/>
      </c>
      <c r="P422" s="20">
        <f>ROUND(P421+IF(AND(E422&lt;=10,F422&lt;&gt;"ASTM A416"),L422,0),3)</f>
        <v/>
      </c>
      <c r="Q422" s="20">
        <f>ROUND(Q421+IF(AND(E422=12,F422&lt;&gt;"ASTM A416"),L422,0),3)</f>
        <v/>
      </c>
      <c r="R422" s="20">
        <f>ROUND(R421+IF(AND(E422=14,F422&lt;&gt;"ASTM A416"),L422,0),3)</f>
        <v/>
      </c>
      <c r="S422" s="20">
        <f>ROUND(S421+IF(AND(E422=16,F422&lt;&gt;"ASTM A416"),L422,0),3)</f>
        <v/>
      </c>
      <c r="T422" s="20">
        <f>ROUND(T421+IF(AND(E422=18,F422&lt;&gt;"ASTM A416"),L422,0),3)</f>
        <v/>
      </c>
      <c r="U422" s="20">
        <f>ROUND(U421+IF(AND(E422=20,F422&lt;&gt;"ASTM A416"),L422,0),3)</f>
        <v/>
      </c>
      <c r="V422" s="20">
        <f>ROUND(V421+IF(AND(E422=22,F422&lt;&gt;"ASTM A416"),L422,0),3)</f>
        <v/>
      </c>
      <c r="W422" s="20">
        <f>ROUND(W421+IF(AND(E422=25,F422&lt;&gt;"ASTM A416"),L422,0),3)</f>
        <v/>
      </c>
      <c r="X422" s="20">
        <f>ROUND(X421+IF(AND(E422=28,F422&lt;&gt;"ASTM A416"),L422,0),3)</f>
        <v/>
      </c>
      <c r="Y422" s="20">
        <f>ROUND(Y421+IF(AND(E422=32,F422&lt;&gt;"ASTM A416"),L422,0),3)</f>
        <v/>
      </c>
      <c r="Z422" s="20">
        <f>ROUND(Z421+IF(F422="ASTM A416",L422,0),3)</f>
        <v/>
      </c>
      <c r="AA422" s="11">
        <f>IF(ROUNDUP(P422/20,0)&gt;ROUNDUP(P421/20,0),"Lần " &amp; ROUNDUP(P422/20,0),"")</f>
        <v/>
      </c>
      <c r="AB422" s="11">
        <f>IF(ROUNDUP(Q422/20,0)&gt;ROUNDUP(Q421/20,0),"Lần " &amp; ROUNDUP(Q422/20,0),"")</f>
        <v/>
      </c>
      <c r="AC422" s="11">
        <f>IF(ROUNDUP(R422/20,0)&gt;ROUNDUP(R421/20,0),"Lần " &amp; ROUNDUP(R422/20,0),"")</f>
        <v/>
      </c>
      <c r="AD422" s="11">
        <f>IF(ROUNDUP(S422/20,0)&gt;ROUNDUP(S421/20,0),"Lần " &amp; ROUNDUP(S422/20,0),"")</f>
        <v/>
      </c>
      <c r="AE422" s="11">
        <f>IF(ROUNDUP(T422/20,0)&gt;ROUNDUP(T421/20,0),"Lần " &amp; ROUNDUP(T422/20,0),"")</f>
        <v/>
      </c>
      <c r="AF422" s="11">
        <f>IF(ROUNDUP(U422/20,0)&gt;ROUNDUP(U421/20,0),"Lần " &amp; ROUNDUP(U422/20,0),"")</f>
        <v/>
      </c>
      <c r="AG422" s="11">
        <f>IF(ROUNDUP(V422/20,0)&gt;ROUNDUP(V421/20,0),"Lần " &amp; ROUNDUP(V422/20,0),"")</f>
        <v/>
      </c>
      <c r="AH422" s="11">
        <f>IF(ROUNDUP(W422/20,0)&gt;ROUNDUP(W421/20,0),"Lần " &amp; ROUNDUP(W422/20,0),"")</f>
        <v/>
      </c>
      <c r="AI422" s="11">
        <f>IF(ROUNDUP(X422/20,0)&gt;ROUNDUP(X421/20,0),"Lần " &amp; ROUNDUP(X422/20,0),"")</f>
        <v/>
      </c>
      <c r="AJ422" s="11">
        <f>IF(ROUNDUP(Y422/20,0)&gt;ROUNDUP(Y421/20,0),"Lần " &amp; ROUNDUP(Y422/20,0),"")</f>
        <v/>
      </c>
      <c r="AK422" s="11">
        <f>IF(ROUNDUP(Z422/20,0)&gt;ROUNDUP(Z421/20,0),"Lần " &amp; ROUNDUP(Z422/20,0),"")</f>
        <v/>
      </c>
      <c r="AL422" s="6" t="n"/>
      <c r="AN422" t="inlineStr">
        <is>
          <t>Coc</t>
        </is>
      </c>
      <c r="AO422" t="n">
        <v>5</v>
      </c>
    </row>
    <row r="423" ht="19" customHeight="1">
      <c r="A423" s="6" t="n">
        <v>405</v>
      </c>
      <c r="B423" s="7" t="inlineStr">
        <is>
          <t>Cọc khoan nhồi C2 Mố M1 (D1.2m, L=20.0m)</t>
        </is>
      </c>
      <c r="C423" s="7" t="inlineStr">
        <is>
          <t>Cọc mố M1 L=20m (tr.64)</t>
        </is>
      </c>
      <c r="D423" s="18" t="inlineStr">
        <is>
          <t>P9</t>
        </is>
      </c>
      <c r="E423" s="19" t="n">
        <v>12</v>
      </c>
      <c r="F423" s="6" t="inlineStr">
        <is>
          <t>CB400-V</t>
        </is>
      </c>
      <c r="G423" s="7" t="inlineStr"/>
      <c r="H423" s="20" t="n">
        <v>0.379</v>
      </c>
      <c r="I423" s="21" t="n">
        <v>24</v>
      </c>
      <c r="J423" s="22" t="n">
        <v>0.888</v>
      </c>
      <c r="K423" s="9">
        <f>ROUND(H423*I423*J423, 2)</f>
        <v/>
      </c>
      <c r="L423" s="23">
        <f>ROUND(K423/1000, 3)</f>
        <v/>
      </c>
      <c r="M423" s="8">
        <f>IF(AO423="","",IF(INDEX(Theo_Doi_Tan_Suat_Be_Tong!$C:$C,AO423)="","",INDEX(Theo_Doi_Tan_Suat_Be_Tong!$C:$C,AO423)-VLOOKUP(AN423,$AQ$2:$AR$7,2,FALSE)))</f>
        <v/>
      </c>
      <c r="N423" s="6" t="n"/>
      <c r="O423" s="24">
        <f>IF(ROUNDUP(Q423/20,0)&gt;ROUNDUP(Q422/20,0),"TN Ø12 (Lần " &amp; ROUNDUP(Q423/20,0) &amp; ")","")</f>
        <v/>
      </c>
      <c r="P423" s="20">
        <f>ROUND(P422+IF(AND(E423&lt;=10,F423&lt;&gt;"ASTM A416"),L423,0),3)</f>
        <v/>
      </c>
      <c r="Q423" s="20">
        <f>ROUND(Q422+IF(AND(E423=12,F423&lt;&gt;"ASTM A416"),L423,0),3)</f>
        <v/>
      </c>
      <c r="R423" s="20">
        <f>ROUND(R422+IF(AND(E423=14,F423&lt;&gt;"ASTM A416"),L423,0),3)</f>
        <v/>
      </c>
      <c r="S423" s="20">
        <f>ROUND(S422+IF(AND(E423=16,F423&lt;&gt;"ASTM A416"),L423,0),3)</f>
        <v/>
      </c>
      <c r="T423" s="20">
        <f>ROUND(T422+IF(AND(E423=18,F423&lt;&gt;"ASTM A416"),L423,0),3)</f>
        <v/>
      </c>
      <c r="U423" s="20">
        <f>ROUND(U422+IF(AND(E423=20,F423&lt;&gt;"ASTM A416"),L423,0),3)</f>
        <v/>
      </c>
      <c r="V423" s="20">
        <f>ROUND(V422+IF(AND(E423=22,F423&lt;&gt;"ASTM A416"),L423,0),3)</f>
        <v/>
      </c>
      <c r="W423" s="20">
        <f>ROUND(W422+IF(AND(E423=25,F423&lt;&gt;"ASTM A416"),L423,0),3)</f>
        <v/>
      </c>
      <c r="X423" s="20">
        <f>ROUND(X422+IF(AND(E423=28,F423&lt;&gt;"ASTM A416"),L423,0),3)</f>
        <v/>
      </c>
      <c r="Y423" s="20">
        <f>ROUND(Y422+IF(AND(E423=32,F423&lt;&gt;"ASTM A416"),L423,0),3)</f>
        <v/>
      </c>
      <c r="Z423" s="20">
        <f>ROUND(Z422+IF(F423="ASTM A416",L423,0),3)</f>
        <v/>
      </c>
      <c r="AA423" s="11">
        <f>IF(ROUNDUP(P423/20,0)&gt;ROUNDUP(P422/20,0),"Lần " &amp; ROUNDUP(P423/20,0),"")</f>
        <v/>
      </c>
      <c r="AB423" s="11">
        <f>IF(ROUNDUP(Q423/20,0)&gt;ROUNDUP(Q422/20,0),"Lần " &amp; ROUNDUP(Q423/20,0),"")</f>
        <v/>
      </c>
      <c r="AC423" s="11">
        <f>IF(ROUNDUP(R423/20,0)&gt;ROUNDUP(R422/20,0),"Lần " &amp; ROUNDUP(R423/20,0),"")</f>
        <v/>
      </c>
      <c r="AD423" s="11">
        <f>IF(ROUNDUP(S423/20,0)&gt;ROUNDUP(S422/20,0),"Lần " &amp; ROUNDUP(S423/20,0),"")</f>
        <v/>
      </c>
      <c r="AE423" s="11">
        <f>IF(ROUNDUP(T423/20,0)&gt;ROUNDUP(T422/20,0),"Lần " &amp; ROUNDUP(T423/20,0),"")</f>
        <v/>
      </c>
      <c r="AF423" s="11">
        <f>IF(ROUNDUP(U423/20,0)&gt;ROUNDUP(U422/20,0),"Lần " &amp; ROUNDUP(U423/20,0),"")</f>
        <v/>
      </c>
      <c r="AG423" s="11">
        <f>IF(ROUNDUP(V423/20,0)&gt;ROUNDUP(V422/20,0),"Lần " &amp; ROUNDUP(V423/20,0),"")</f>
        <v/>
      </c>
      <c r="AH423" s="11">
        <f>IF(ROUNDUP(W423/20,0)&gt;ROUNDUP(W422/20,0),"Lần " &amp; ROUNDUP(W423/20,0),"")</f>
        <v/>
      </c>
      <c r="AI423" s="11">
        <f>IF(ROUNDUP(X423/20,0)&gt;ROUNDUP(X422/20,0),"Lần " &amp; ROUNDUP(X423/20,0),"")</f>
        <v/>
      </c>
      <c r="AJ423" s="11">
        <f>IF(ROUNDUP(Y423/20,0)&gt;ROUNDUP(Y422/20,0),"Lần " &amp; ROUNDUP(Y423/20,0),"")</f>
        <v/>
      </c>
      <c r="AK423" s="11">
        <f>IF(ROUNDUP(Z423/20,0)&gt;ROUNDUP(Z422/20,0),"Lần " &amp; ROUNDUP(Z423/20,0),"")</f>
        <v/>
      </c>
      <c r="AL423" s="6" t="n"/>
      <c r="AN423" t="inlineStr">
        <is>
          <t>Coc</t>
        </is>
      </c>
      <c r="AO423" t="n">
        <v>5</v>
      </c>
    </row>
    <row r="424" ht="19" customHeight="1">
      <c r="A424" s="6" t="n">
        <v>406</v>
      </c>
      <c r="B424" s="7" t="inlineStr">
        <is>
          <t>Cọc khoan nhồi C2 Mố M1 (D1.2m, L=20.0m)</t>
        </is>
      </c>
      <c r="C424" s="7" t="inlineStr">
        <is>
          <t>Cọc mố M1 L=20m (tr.64)</t>
        </is>
      </c>
      <c r="D424" s="18" t="inlineStr">
        <is>
          <t>P10</t>
        </is>
      </c>
      <c r="E424" s="19" t="n">
        <v>20</v>
      </c>
      <c r="F424" s="6" t="inlineStr">
        <is>
          <t>CB400-V</t>
        </is>
      </c>
      <c r="G424" s="7" t="inlineStr"/>
      <c r="H424" s="20" t="n">
        <v>2.057</v>
      </c>
      <c r="I424" s="21" t="n">
        <v>1</v>
      </c>
      <c r="J424" s="22" t="n">
        <v>2.466</v>
      </c>
      <c r="K424" s="9">
        <f>ROUND(H424*I424*J424, 2)</f>
        <v/>
      </c>
      <c r="L424" s="23">
        <f>ROUND(K424/1000, 3)</f>
        <v/>
      </c>
      <c r="M424" s="8">
        <f>IF(AO424="","",IF(INDEX(Theo_Doi_Tan_Suat_Be_Tong!$C:$C,AO424)="","",INDEX(Theo_Doi_Tan_Suat_Be_Tong!$C:$C,AO424)-VLOOKUP(AN424,$AQ$2:$AR$7,2,FALSE)))</f>
        <v/>
      </c>
      <c r="N424" s="6" t="n"/>
      <c r="O424" s="24">
        <f>IF(ROUNDUP(U424/20,0)&gt;ROUNDUP(U423/20,0),"TN Ø20 (Lần " &amp; ROUNDUP(U424/20,0) &amp; ")","")</f>
        <v/>
      </c>
      <c r="P424" s="20">
        <f>ROUND(P423+IF(AND(E424&lt;=10,F424&lt;&gt;"ASTM A416"),L424,0),3)</f>
        <v/>
      </c>
      <c r="Q424" s="20">
        <f>ROUND(Q423+IF(AND(E424=12,F424&lt;&gt;"ASTM A416"),L424,0),3)</f>
        <v/>
      </c>
      <c r="R424" s="20">
        <f>ROUND(R423+IF(AND(E424=14,F424&lt;&gt;"ASTM A416"),L424,0),3)</f>
        <v/>
      </c>
      <c r="S424" s="20">
        <f>ROUND(S423+IF(AND(E424=16,F424&lt;&gt;"ASTM A416"),L424,0),3)</f>
        <v/>
      </c>
      <c r="T424" s="20">
        <f>ROUND(T423+IF(AND(E424=18,F424&lt;&gt;"ASTM A416"),L424,0),3)</f>
        <v/>
      </c>
      <c r="U424" s="20">
        <f>ROUND(U423+IF(AND(E424=20,F424&lt;&gt;"ASTM A416"),L424,0),3)</f>
        <v/>
      </c>
      <c r="V424" s="20">
        <f>ROUND(V423+IF(AND(E424=22,F424&lt;&gt;"ASTM A416"),L424,0),3)</f>
        <v/>
      </c>
      <c r="W424" s="20">
        <f>ROUND(W423+IF(AND(E424=25,F424&lt;&gt;"ASTM A416"),L424,0),3)</f>
        <v/>
      </c>
      <c r="X424" s="20">
        <f>ROUND(X423+IF(AND(E424=28,F424&lt;&gt;"ASTM A416"),L424,0),3)</f>
        <v/>
      </c>
      <c r="Y424" s="20">
        <f>ROUND(Y423+IF(AND(E424=32,F424&lt;&gt;"ASTM A416"),L424,0),3)</f>
        <v/>
      </c>
      <c r="Z424" s="20">
        <f>ROUND(Z423+IF(F424="ASTM A416",L424,0),3)</f>
        <v/>
      </c>
      <c r="AA424" s="11">
        <f>IF(ROUNDUP(P424/20,0)&gt;ROUNDUP(P423/20,0),"Lần " &amp; ROUNDUP(P424/20,0),"")</f>
        <v/>
      </c>
      <c r="AB424" s="11">
        <f>IF(ROUNDUP(Q424/20,0)&gt;ROUNDUP(Q423/20,0),"Lần " &amp; ROUNDUP(Q424/20,0),"")</f>
        <v/>
      </c>
      <c r="AC424" s="11">
        <f>IF(ROUNDUP(R424/20,0)&gt;ROUNDUP(R423/20,0),"Lần " &amp; ROUNDUP(R424/20,0),"")</f>
        <v/>
      </c>
      <c r="AD424" s="11">
        <f>IF(ROUNDUP(S424/20,0)&gt;ROUNDUP(S423/20,0),"Lần " &amp; ROUNDUP(S424/20,0),"")</f>
        <v/>
      </c>
      <c r="AE424" s="11">
        <f>IF(ROUNDUP(T424/20,0)&gt;ROUNDUP(T423/20,0),"Lần " &amp; ROUNDUP(T424/20,0),"")</f>
        <v/>
      </c>
      <c r="AF424" s="11">
        <f>IF(ROUNDUP(U424/20,0)&gt;ROUNDUP(U423/20,0),"Lần " &amp; ROUNDUP(U424/20,0),"")</f>
        <v/>
      </c>
      <c r="AG424" s="11">
        <f>IF(ROUNDUP(V424/20,0)&gt;ROUNDUP(V423/20,0),"Lần " &amp; ROUNDUP(V424/20,0),"")</f>
        <v/>
      </c>
      <c r="AH424" s="11">
        <f>IF(ROUNDUP(W424/20,0)&gt;ROUNDUP(W423/20,0),"Lần " &amp; ROUNDUP(W424/20,0),"")</f>
        <v/>
      </c>
      <c r="AI424" s="11">
        <f>IF(ROUNDUP(X424/20,0)&gt;ROUNDUP(X423/20,0),"Lần " &amp; ROUNDUP(X424/20,0),"")</f>
        <v/>
      </c>
      <c r="AJ424" s="11">
        <f>IF(ROUNDUP(Y424/20,0)&gt;ROUNDUP(Y423/20,0),"Lần " &amp; ROUNDUP(Y424/20,0),"")</f>
        <v/>
      </c>
      <c r="AK424" s="11">
        <f>IF(ROUNDUP(Z424/20,0)&gt;ROUNDUP(Z423/20,0),"Lần " &amp; ROUNDUP(Z424/20,0),"")</f>
        <v/>
      </c>
      <c r="AL424" s="6" t="n"/>
      <c r="AN424" t="inlineStr">
        <is>
          <t>Coc</t>
        </is>
      </c>
      <c r="AO424" t="n">
        <v>5</v>
      </c>
    </row>
    <row r="425" ht="19" customHeight="1">
      <c r="A425" s="6" t="n">
        <v>407</v>
      </c>
      <c r="B425" s="7" t="inlineStr">
        <is>
          <t>Cọc khoan nhồi C2 Mố M1 (D1.2m, L=20.0m)</t>
        </is>
      </c>
      <c r="C425" s="7" t="inlineStr">
        <is>
          <t>Cọc mố M1 L=20m (tr.64)</t>
        </is>
      </c>
      <c r="D425" s="18" t="inlineStr">
        <is>
          <t>P12</t>
        </is>
      </c>
      <c r="E425" s="19" t="n">
        <v>20</v>
      </c>
      <c r="F425" s="6" t="inlineStr">
        <is>
          <t>CB400-V</t>
        </is>
      </c>
      <c r="G425" s="7" t="inlineStr"/>
      <c r="H425" s="20" t="n">
        <v>0.583</v>
      </c>
      <c r="I425" s="21" t="n">
        <v>32</v>
      </c>
      <c r="J425" s="22" t="n">
        <v>2.466</v>
      </c>
      <c r="K425" s="9">
        <f>ROUND(H425*I425*J425, 2)</f>
        <v/>
      </c>
      <c r="L425" s="23">
        <f>ROUND(K425/1000, 3)</f>
        <v/>
      </c>
      <c r="M425" s="8">
        <f>IF(AO425="","",IF(INDEX(Theo_Doi_Tan_Suat_Be_Tong!$C:$C,AO425)="","",INDEX(Theo_Doi_Tan_Suat_Be_Tong!$C:$C,AO425)-VLOOKUP(AN425,$AQ$2:$AR$7,2,FALSE)))</f>
        <v/>
      </c>
      <c r="N425" s="6" t="n"/>
      <c r="O425" s="24">
        <f>IF(ROUNDUP(U425/20,0)&gt;ROUNDUP(U424/20,0),"TN Ø20 (Lần " &amp; ROUNDUP(U425/20,0) &amp; ")","")</f>
        <v/>
      </c>
      <c r="P425" s="20">
        <f>ROUND(P424+IF(AND(E425&lt;=10,F425&lt;&gt;"ASTM A416"),L425,0),3)</f>
        <v/>
      </c>
      <c r="Q425" s="20">
        <f>ROUND(Q424+IF(AND(E425=12,F425&lt;&gt;"ASTM A416"),L425,0),3)</f>
        <v/>
      </c>
      <c r="R425" s="20">
        <f>ROUND(R424+IF(AND(E425=14,F425&lt;&gt;"ASTM A416"),L425,0),3)</f>
        <v/>
      </c>
      <c r="S425" s="20">
        <f>ROUND(S424+IF(AND(E425=16,F425&lt;&gt;"ASTM A416"),L425,0),3)</f>
        <v/>
      </c>
      <c r="T425" s="20">
        <f>ROUND(T424+IF(AND(E425=18,F425&lt;&gt;"ASTM A416"),L425,0),3)</f>
        <v/>
      </c>
      <c r="U425" s="20">
        <f>ROUND(U424+IF(AND(E425=20,F425&lt;&gt;"ASTM A416"),L425,0),3)</f>
        <v/>
      </c>
      <c r="V425" s="20">
        <f>ROUND(V424+IF(AND(E425=22,F425&lt;&gt;"ASTM A416"),L425,0),3)</f>
        <v/>
      </c>
      <c r="W425" s="20">
        <f>ROUND(W424+IF(AND(E425=25,F425&lt;&gt;"ASTM A416"),L425,0),3)</f>
        <v/>
      </c>
      <c r="X425" s="20">
        <f>ROUND(X424+IF(AND(E425=28,F425&lt;&gt;"ASTM A416"),L425,0),3)</f>
        <v/>
      </c>
      <c r="Y425" s="20">
        <f>ROUND(Y424+IF(AND(E425=32,F425&lt;&gt;"ASTM A416"),L425,0),3)</f>
        <v/>
      </c>
      <c r="Z425" s="20">
        <f>ROUND(Z424+IF(F425="ASTM A416",L425,0),3)</f>
        <v/>
      </c>
      <c r="AA425" s="11">
        <f>IF(ROUNDUP(P425/20,0)&gt;ROUNDUP(P424/20,0),"Lần " &amp; ROUNDUP(P425/20,0),"")</f>
        <v/>
      </c>
      <c r="AB425" s="11">
        <f>IF(ROUNDUP(Q425/20,0)&gt;ROUNDUP(Q424/20,0),"Lần " &amp; ROUNDUP(Q425/20,0),"")</f>
        <v/>
      </c>
      <c r="AC425" s="11">
        <f>IF(ROUNDUP(R425/20,0)&gt;ROUNDUP(R424/20,0),"Lần " &amp; ROUNDUP(R425/20,0),"")</f>
        <v/>
      </c>
      <c r="AD425" s="11">
        <f>IF(ROUNDUP(S425/20,0)&gt;ROUNDUP(S424/20,0),"Lần " &amp; ROUNDUP(S425/20,0),"")</f>
        <v/>
      </c>
      <c r="AE425" s="11">
        <f>IF(ROUNDUP(T425/20,0)&gt;ROUNDUP(T424/20,0),"Lần " &amp; ROUNDUP(T425/20,0),"")</f>
        <v/>
      </c>
      <c r="AF425" s="11">
        <f>IF(ROUNDUP(U425/20,0)&gt;ROUNDUP(U424/20,0),"Lần " &amp; ROUNDUP(U425/20,0),"")</f>
        <v/>
      </c>
      <c r="AG425" s="11">
        <f>IF(ROUNDUP(V425/20,0)&gt;ROUNDUP(V424/20,0),"Lần " &amp; ROUNDUP(V425/20,0),"")</f>
        <v/>
      </c>
      <c r="AH425" s="11">
        <f>IF(ROUNDUP(W425/20,0)&gt;ROUNDUP(W424/20,0),"Lần " &amp; ROUNDUP(W425/20,0),"")</f>
        <v/>
      </c>
      <c r="AI425" s="11">
        <f>IF(ROUNDUP(X425/20,0)&gt;ROUNDUP(X424/20,0),"Lần " &amp; ROUNDUP(X425/20,0),"")</f>
        <v/>
      </c>
      <c r="AJ425" s="11">
        <f>IF(ROUNDUP(Y425/20,0)&gt;ROUNDUP(Y424/20,0),"Lần " &amp; ROUNDUP(Y425/20,0),"")</f>
        <v/>
      </c>
      <c r="AK425" s="11">
        <f>IF(ROUNDUP(Z425/20,0)&gt;ROUNDUP(Z424/20,0),"Lần " &amp; ROUNDUP(Z425/20,0),"")</f>
        <v/>
      </c>
      <c r="AL425" s="6" t="n"/>
      <c r="AN425" t="inlineStr">
        <is>
          <t>Coc</t>
        </is>
      </c>
      <c r="AO425" t="n">
        <v>5</v>
      </c>
    </row>
    <row r="426" ht="19" customHeight="1">
      <c r="A426" s="6" t="n">
        <v>408</v>
      </c>
      <c r="B426" s="7" t="inlineStr">
        <is>
          <t>Cọc khoan nhồi C2 Mố M1 (D1.2m, L=20.0m)</t>
        </is>
      </c>
      <c r="C426" s="7" t="inlineStr">
        <is>
          <t>Cọc mố M1 L=20m (tr.64)</t>
        </is>
      </c>
      <c r="D426" s="18" t="inlineStr">
        <is>
          <t>P11</t>
        </is>
      </c>
      <c r="E426" s="19" t="n">
        <v>16</v>
      </c>
      <c r="F426" s="6" t="inlineStr">
        <is>
          <t>CB400-V</t>
        </is>
      </c>
      <c r="G426" s="7" t="inlineStr"/>
      <c r="H426" s="20" t="n">
        <v>2.604</v>
      </c>
      <c r="I426" s="21" t="n">
        <v>4</v>
      </c>
      <c r="J426" s="22" t="n">
        <v>1.578</v>
      </c>
      <c r="K426" s="9">
        <f>ROUND(H426*I426*J426, 2)</f>
        <v/>
      </c>
      <c r="L426" s="23">
        <f>ROUND(K426/1000, 3)</f>
        <v/>
      </c>
      <c r="M426" s="8">
        <f>IF(AO426="","",IF(INDEX(Theo_Doi_Tan_Suat_Be_Tong!$C:$C,AO426)="","",INDEX(Theo_Doi_Tan_Suat_Be_Tong!$C:$C,AO426)-VLOOKUP(AN426,$AQ$2:$AR$7,2,FALSE)))</f>
        <v/>
      </c>
      <c r="N426" s="6" t="n"/>
      <c r="O426" s="24">
        <f>IF(ROUNDUP(S426/20,0)&gt;ROUNDUP(S425/20,0),"TN Ø16 (Lần " &amp; ROUNDUP(S426/20,0) &amp; ")","")</f>
        <v/>
      </c>
      <c r="P426" s="20">
        <f>ROUND(P425+IF(AND(E426&lt;=10,F426&lt;&gt;"ASTM A416"),L426,0),3)</f>
        <v/>
      </c>
      <c r="Q426" s="20">
        <f>ROUND(Q425+IF(AND(E426=12,F426&lt;&gt;"ASTM A416"),L426,0),3)</f>
        <v/>
      </c>
      <c r="R426" s="20">
        <f>ROUND(R425+IF(AND(E426=14,F426&lt;&gt;"ASTM A416"),L426,0),3)</f>
        <v/>
      </c>
      <c r="S426" s="20">
        <f>ROUND(S425+IF(AND(E426=16,F426&lt;&gt;"ASTM A416"),L426,0),3)</f>
        <v/>
      </c>
      <c r="T426" s="20">
        <f>ROUND(T425+IF(AND(E426=18,F426&lt;&gt;"ASTM A416"),L426,0),3)</f>
        <v/>
      </c>
      <c r="U426" s="20">
        <f>ROUND(U425+IF(AND(E426=20,F426&lt;&gt;"ASTM A416"),L426,0),3)</f>
        <v/>
      </c>
      <c r="V426" s="20">
        <f>ROUND(V425+IF(AND(E426=22,F426&lt;&gt;"ASTM A416"),L426,0),3)</f>
        <v/>
      </c>
      <c r="W426" s="20">
        <f>ROUND(W425+IF(AND(E426=25,F426&lt;&gt;"ASTM A416"),L426,0),3)</f>
        <v/>
      </c>
      <c r="X426" s="20">
        <f>ROUND(X425+IF(AND(E426=28,F426&lt;&gt;"ASTM A416"),L426,0),3)</f>
        <v/>
      </c>
      <c r="Y426" s="20">
        <f>ROUND(Y425+IF(AND(E426=32,F426&lt;&gt;"ASTM A416"),L426,0),3)</f>
        <v/>
      </c>
      <c r="Z426" s="20">
        <f>ROUND(Z425+IF(F426="ASTM A416",L426,0),3)</f>
        <v/>
      </c>
      <c r="AA426" s="11">
        <f>IF(ROUNDUP(P426/20,0)&gt;ROUNDUP(P425/20,0),"Lần " &amp; ROUNDUP(P426/20,0),"")</f>
        <v/>
      </c>
      <c r="AB426" s="11">
        <f>IF(ROUNDUP(Q426/20,0)&gt;ROUNDUP(Q425/20,0),"Lần " &amp; ROUNDUP(Q426/20,0),"")</f>
        <v/>
      </c>
      <c r="AC426" s="11">
        <f>IF(ROUNDUP(R426/20,0)&gt;ROUNDUP(R425/20,0),"Lần " &amp; ROUNDUP(R426/20,0),"")</f>
        <v/>
      </c>
      <c r="AD426" s="11">
        <f>IF(ROUNDUP(S426/20,0)&gt;ROUNDUP(S425/20,0),"Lần " &amp; ROUNDUP(S426/20,0),"")</f>
        <v/>
      </c>
      <c r="AE426" s="11">
        <f>IF(ROUNDUP(T426/20,0)&gt;ROUNDUP(T425/20,0),"Lần " &amp; ROUNDUP(T426/20,0),"")</f>
        <v/>
      </c>
      <c r="AF426" s="11">
        <f>IF(ROUNDUP(U426/20,0)&gt;ROUNDUP(U425/20,0),"Lần " &amp; ROUNDUP(U426/20,0),"")</f>
        <v/>
      </c>
      <c r="AG426" s="11">
        <f>IF(ROUNDUP(V426/20,0)&gt;ROUNDUP(V425/20,0),"Lần " &amp; ROUNDUP(V426/20,0),"")</f>
        <v/>
      </c>
      <c r="AH426" s="11">
        <f>IF(ROUNDUP(W426/20,0)&gt;ROUNDUP(W425/20,0),"Lần " &amp; ROUNDUP(W426/20,0),"")</f>
        <v/>
      </c>
      <c r="AI426" s="11">
        <f>IF(ROUNDUP(X426/20,0)&gt;ROUNDUP(X425/20,0),"Lần " &amp; ROUNDUP(X426/20,0),"")</f>
        <v/>
      </c>
      <c r="AJ426" s="11">
        <f>IF(ROUNDUP(Y426/20,0)&gt;ROUNDUP(Y425/20,0),"Lần " &amp; ROUNDUP(Y426/20,0),"")</f>
        <v/>
      </c>
      <c r="AK426" s="11">
        <f>IF(ROUNDUP(Z426/20,0)&gt;ROUNDUP(Z425/20,0),"Lần " &amp; ROUNDUP(Z426/20,0),"")</f>
        <v/>
      </c>
      <c r="AL426" s="6" t="n"/>
      <c r="AN426" t="inlineStr">
        <is>
          <t>Coc</t>
        </is>
      </c>
      <c r="AO426" t="n">
        <v>5</v>
      </c>
    </row>
    <row r="427" ht="19" customHeight="1">
      <c r="A427" s="17" t="inlineStr">
        <is>
          <t>--- CỌC KHOAN NHỒI C3 MỐ M1 (D1.2M, L=20.0M) ---</t>
        </is>
      </c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  <c r="AG427" s="35" t="n"/>
      <c r="AH427" s="35" t="n"/>
      <c r="AI427" s="35" t="n"/>
      <c r="AJ427" s="35" t="n"/>
      <c r="AK427" s="35" t="n"/>
      <c r="AL427" s="34" t="n"/>
    </row>
    <row r="428" ht="19" customHeight="1">
      <c r="A428" s="6" t="n">
        <v>409</v>
      </c>
      <c r="B428" s="7" t="inlineStr">
        <is>
          <t>Cọc khoan nhồi C3 Mố M1 (D1.2m, L=20.0m)</t>
        </is>
      </c>
      <c r="C428" s="7" t="inlineStr">
        <is>
          <t>Cọc mố M1 L=20m (tr.64)</t>
        </is>
      </c>
      <c r="D428" s="18" t="inlineStr">
        <is>
          <t>P1</t>
        </is>
      </c>
      <c r="E428" s="19" t="n">
        <v>10</v>
      </c>
      <c r="F428" s="6" t="inlineStr">
        <is>
          <t>CB240-T</t>
        </is>
      </c>
      <c r="G428" s="7" t="inlineStr"/>
      <c r="H428" s="20" t="n">
        <v>96.604</v>
      </c>
      <c r="I428" s="21" t="n">
        <v>1</v>
      </c>
      <c r="J428" s="22" t="n">
        <v>0.617</v>
      </c>
      <c r="K428" s="9">
        <f>ROUND(H428*I428*J428, 2)</f>
        <v/>
      </c>
      <c r="L428" s="23">
        <f>ROUND(K428/1000, 3)</f>
        <v/>
      </c>
      <c r="M428" s="8">
        <f>IF(AO428="","",IF(INDEX(Theo_Doi_Tan_Suat_Be_Tong!$C:$C,AO428)="","",INDEX(Theo_Doi_Tan_Suat_Be_Tong!$C:$C,AO428)-VLOOKUP(AN428,$AQ$2:$AR$7,2,FALSE)))</f>
        <v/>
      </c>
      <c r="N428" s="6" t="n"/>
      <c r="O428" s="24">
        <f>IF(ROUNDUP(P428/20,0)&gt;ROUNDUP(P426/20,0),"TN Ø10 (Lần " &amp; ROUNDUP(P428/20,0) &amp; ")","")</f>
        <v/>
      </c>
      <c r="P428" s="20">
        <f>ROUND(P426+IF(AND(E428&lt;=10,F428&lt;&gt;"ASTM A416"),L428,0),3)</f>
        <v/>
      </c>
      <c r="Q428" s="20">
        <f>ROUND(Q426+IF(AND(E428=12,F428&lt;&gt;"ASTM A416"),L428,0),3)</f>
        <v/>
      </c>
      <c r="R428" s="20">
        <f>ROUND(R426+IF(AND(E428=14,F428&lt;&gt;"ASTM A416"),L428,0),3)</f>
        <v/>
      </c>
      <c r="S428" s="20">
        <f>ROUND(S426+IF(AND(E428=16,F428&lt;&gt;"ASTM A416"),L428,0),3)</f>
        <v/>
      </c>
      <c r="T428" s="20">
        <f>ROUND(T426+IF(AND(E428=18,F428&lt;&gt;"ASTM A416"),L428,0),3)</f>
        <v/>
      </c>
      <c r="U428" s="20">
        <f>ROUND(U426+IF(AND(E428=20,F428&lt;&gt;"ASTM A416"),L428,0),3)</f>
        <v/>
      </c>
      <c r="V428" s="20">
        <f>ROUND(V426+IF(AND(E428=22,F428&lt;&gt;"ASTM A416"),L428,0),3)</f>
        <v/>
      </c>
      <c r="W428" s="20">
        <f>ROUND(W426+IF(AND(E428=25,F428&lt;&gt;"ASTM A416"),L428,0),3)</f>
        <v/>
      </c>
      <c r="X428" s="20">
        <f>ROUND(X426+IF(AND(E428=28,F428&lt;&gt;"ASTM A416"),L428,0),3)</f>
        <v/>
      </c>
      <c r="Y428" s="20">
        <f>ROUND(Y426+IF(AND(E428=32,F428&lt;&gt;"ASTM A416"),L428,0),3)</f>
        <v/>
      </c>
      <c r="Z428" s="20">
        <f>ROUND(Z426+IF(F428="ASTM A416",L428,0),3)</f>
        <v/>
      </c>
      <c r="AA428" s="11">
        <f>IF(ROUNDUP(P428/20,0)&gt;ROUNDUP(P426/20,0),"Lần " &amp; ROUNDUP(P428/20,0),"")</f>
        <v/>
      </c>
      <c r="AB428" s="11">
        <f>IF(ROUNDUP(Q428/20,0)&gt;ROUNDUP(Q426/20,0),"Lần " &amp; ROUNDUP(Q428/20,0),"")</f>
        <v/>
      </c>
      <c r="AC428" s="11">
        <f>IF(ROUNDUP(R428/20,0)&gt;ROUNDUP(R426/20,0),"Lần " &amp; ROUNDUP(R428/20,0),"")</f>
        <v/>
      </c>
      <c r="AD428" s="11">
        <f>IF(ROUNDUP(S428/20,0)&gt;ROUNDUP(S426/20,0),"Lần " &amp; ROUNDUP(S428/20,0),"")</f>
        <v/>
      </c>
      <c r="AE428" s="11">
        <f>IF(ROUNDUP(T428/20,0)&gt;ROUNDUP(T426/20,0),"Lần " &amp; ROUNDUP(T428/20,0),"")</f>
        <v/>
      </c>
      <c r="AF428" s="11">
        <f>IF(ROUNDUP(U428/20,0)&gt;ROUNDUP(U426/20,0),"Lần " &amp; ROUNDUP(U428/20,0),"")</f>
        <v/>
      </c>
      <c r="AG428" s="11">
        <f>IF(ROUNDUP(V428/20,0)&gt;ROUNDUP(V426/20,0),"Lần " &amp; ROUNDUP(V428/20,0),"")</f>
        <v/>
      </c>
      <c r="AH428" s="11">
        <f>IF(ROUNDUP(W428/20,0)&gt;ROUNDUP(W426/20,0),"Lần " &amp; ROUNDUP(W428/20,0),"")</f>
        <v/>
      </c>
      <c r="AI428" s="11">
        <f>IF(ROUNDUP(X428/20,0)&gt;ROUNDUP(X426/20,0),"Lần " &amp; ROUNDUP(X428/20,0),"")</f>
        <v/>
      </c>
      <c r="AJ428" s="11">
        <f>IF(ROUNDUP(Y428/20,0)&gt;ROUNDUP(Y426/20,0),"Lần " &amp; ROUNDUP(Y428/20,0),"")</f>
        <v/>
      </c>
      <c r="AK428" s="11">
        <f>IF(ROUNDUP(Z428/20,0)&gt;ROUNDUP(Z426/20,0),"Lần " &amp; ROUNDUP(Z428/20,0),"")</f>
        <v/>
      </c>
      <c r="AL428" s="6" t="n"/>
      <c r="AN428" t="inlineStr">
        <is>
          <t>Coc</t>
        </is>
      </c>
      <c r="AO428" t="n">
        <v>6</v>
      </c>
    </row>
    <row r="429" ht="19" customHeight="1">
      <c r="A429" s="6" t="n">
        <v>410</v>
      </c>
      <c r="B429" s="7" t="inlineStr">
        <is>
          <t>Cọc khoan nhồi C3 Mố M1 (D1.2m, L=20.0m)</t>
        </is>
      </c>
      <c r="C429" s="7" t="inlineStr">
        <is>
          <t>Cọc mố M1 L=20m (tr.64)</t>
        </is>
      </c>
      <c r="D429" s="18" t="inlineStr">
        <is>
          <t>P1A</t>
        </is>
      </c>
      <c r="E429" s="19" t="n">
        <v>10</v>
      </c>
      <c r="F429" s="6" t="inlineStr">
        <is>
          <t>CB240-T</t>
        </is>
      </c>
      <c r="G429" s="7" t="inlineStr"/>
      <c r="H429" s="20" t="n">
        <v>373.535</v>
      </c>
      <c r="I429" s="21" t="n">
        <v>1</v>
      </c>
      <c r="J429" s="22" t="n">
        <v>0.617</v>
      </c>
      <c r="K429" s="9">
        <f>ROUND(H429*I429*J429, 2)</f>
        <v/>
      </c>
      <c r="L429" s="23">
        <f>ROUND(K429/1000, 3)</f>
        <v/>
      </c>
      <c r="M429" s="8">
        <f>IF(AO429="","",IF(INDEX(Theo_Doi_Tan_Suat_Be_Tong!$C:$C,AO429)="","",INDEX(Theo_Doi_Tan_Suat_Be_Tong!$C:$C,AO429)-VLOOKUP(AN429,$AQ$2:$AR$7,2,FALSE)))</f>
        <v/>
      </c>
      <c r="N429" s="6" t="n"/>
      <c r="O429" s="24">
        <f>IF(ROUNDUP(P429/20,0)&gt;ROUNDUP(P428/20,0),"TN Ø10 (Lần " &amp; ROUNDUP(P429/20,0) &amp; ")","")</f>
        <v/>
      </c>
      <c r="P429" s="20">
        <f>ROUND(P428+IF(AND(E429&lt;=10,F429&lt;&gt;"ASTM A416"),L429,0),3)</f>
        <v/>
      </c>
      <c r="Q429" s="20">
        <f>ROUND(Q428+IF(AND(E429=12,F429&lt;&gt;"ASTM A416"),L429,0),3)</f>
        <v/>
      </c>
      <c r="R429" s="20">
        <f>ROUND(R428+IF(AND(E429=14,F429&lt;&gt;"ASTM A416"),L429,0),3)</f>
        <v/>
      </c>
      <c r="S429" s="20">
        <f>ROUND(S428+IF(AND(E429=16,F429&lt;&gt;"ASTM A416"),L429,0),3)</f>
        <v/>
      </c>
      <c r="T429" s="20">
        <f>ROUND(T428+IF(AND(E429=18,F429&lt;&gt;"ASTM A416"),L429,0),3)</f>
        <v/>
      </c>
      <c r="U429" s="20">
        <f>ROUND(U428+IF(AND(E429=20,F429&lt;&gt;"ASTM A416"),L429,0),3)</f>
        <v/>
      </c>
      <c r="V429" s="20">
        <f>ROUND(V428+IF(AND(E429=22,F429&lt;&gt;"ASTM A416"),L429,0),3)</f>
        <v/>
      </c>
      <c r="W429" s="20">
        <f>ROUND(W428+IF(AND(E429=25,F429&lt;&gt;"ASTM A416"),L429,0),3)</f>
        <v/>
      </c>
      <c r="X429" s="20">
        <f>ROUND(X428+IF(AND(E429=28,F429&lt;&gt;"ASTM A416"),L429,0),3)</f>
        <v/>
      </c>
      <c r="Y429" s="20">
        <f>ROUND(Y428+IF(AND(E429=32,F429&lt;&gt;"ASTM A416"),L429,0),3)</f>
        <v/>
      </c>
      <c r="Z429" s="20">
        <f>ROUND(Z428+IF(F429="ASTM A416",L429,0),3)</f>
        <v/>
      </c>
      <c r="AA429" s="11">
        <f>IF(ROUNDUP(P429/20,0)&gt;ROUNDUP(P428/20,0),"Lần " &amp; ROUNDUP(P429/20,0),"")</f>
        <v/>
      </c>
      <c r="AB429" s="11">
        <f>IF(ROUNDUP(Q429/20,0)&gt;ROUNDUP(Q428/20,0),"Lần " &amp; ROUNDUP(Q429/20,0),"")</f>
        <v/>
      </c>
      <c r="AC429" s="11">
        <f>IF(ROUNDUP(R429/20,0)&gt;ROUNDUP(R428/20,0),"Lần " &amp; ROUNDUP(R429/20,0),"")</f>
        <v/>
      </c>
      <c r="AD429" s="11">
        <f>IF(ROUNDUP(S429/20,0)&gt;ROUNDUP(S428/20,0),"Lần " &amp; ROUNDUP(S429/20,0),"")</f>
        <v/>
      </c>
      <c r="AE429" s="11">
        <f>IF(ROUNDUP(T429/20,0)&gt;ROUNDUP(T428/20,0),"Lần " &amp; ROUNDUP(T429/20,0),"")</f>
        <v/>
      </c>
      <c r="AF429" s="11">
        <f>IF(ROUNDUP(U429/20,0)&gt;ROUNDUP(U428/20,0),"Lần " &amp; ROUNDUP(U429/20,0),"")</f>
        <v/>
      </c>
      <c r="AG429" s="11">
        <f>IF(ROUNDUP(V429/20,0)&gt;ROUNDUP(V428/20,0),"Lần " &amp; ROUNDUP(V429/20,0),"")</f>
        <v/>
      </c>
      <c r="AH429" s="11">
        <f>IF(ROUNDUP(W429/20,0)&gt;ROUNDUP(W428/20,0),"Lần " &amp; ROUNDUP(W429/20,0),"")</f>
        <v/>
      </c>
      <c r="AI429" s="11">
        <f>IF(ROUNDUP(X429/20,0)&gt;ROUNDUP(X428/20,0),"Lần " &amp; ROUNDUP(X429/20,0),"")</f>
        <v/>
      </c>
      <c r="AJ429" s="11">
        <f>IF(ROUNDUP(Y429/20,0)&gt;ROUNDUP(Y428/20,0),"Lần " &amp; ROUNDUP(Y429/20,0),"")</f>
        <v/>
      </c>
      <c r="AK429" s="11">
        <f>IF(ROUNDUP(Z429/20,0)&gt;ROUNDUP(Z428/20,0),"Lần " &amp; ROUNDUP(Z429/20,0),"")</f>
        <v/>
      </c>
      <c r="AL429" s="6" t="n"/>
      <c r="AN429" t="inlineStr">
        <is>
          <t>Coc</t>
        </is>
      </c>
      <c r="AO429" t="n">
        <v>6</v>
      </c>
    </row>
    <row r="430" ht="19" customHeight="1">
      <c r="A430" s="6" t="n">
        <v>411</v>
      </c>
      <c r="B430" s="7" t="inlineStr">
        <is>
          <t>Cọc khoan nhồi C3 Mố M1 (D1.2m, L=20.0m)</t>
        </is>
      </c>
      <c r="C430" s="7" t="inlineStr">
        <is>
          <t>Cọc mố M1 L=20m (tr.64)</t>
        </is>
      </c>
      <c r="D430" s="18" t="inlineStr">
        <is>
          <t>P1C</t>
        </is>
      </c>
      <c r="E430" s="19" t="n">
        <v>10</v>
      </c>
      <c r="F430" s="6" t="inlineStr">
        <is>
          <t>CB240-T</t>
        </is>
      </c>
      <c r="G430" s="7" t="inlineStr"/>
      <c r="H430" s="20" t="n">
        <v>3.592</v>
      </c>
      <c r="I430" s="21" t="n">
        <v>2</v>
      </c>
      <c r="J430" s="22" t="n">
        <v>0.617</v>
      </c>
      <c r="K430" s="9">
        <f>ROUND(H430*I430*J430, 2)</f>
        <v/>
      </c>
      <c r="L430" s="23">
        <f>ROUND(K430/1000, 3)</f>
        <v/>
      </c>
      <c r="M430" s="8">
        <f>IF(AO430="","",IF(INDEX(Theo_Doi_Tan_Suat_Be_Tong!$C:$C,AO430)="","",INDEX(Theo_Doi_Tan_Suat_Be_Tong!$C:$C,AO430)-VLOOKUP(AN430,$AQ$2:$AR$7,2,FALSE)))</f>
        <v/>
      </c>
      <c r="N430" s="6" t="n"/>
      <c r="O430" s="24">
        <f>IF(ROUNDUP(P430/20,0)&gt;ROUNDUP(P429/20,0),"TN Ø10 (Lần " &amp; ROUNDUP(P430/20,0) &amp; ")","")</f>
        <v/>
      </c>
      <c r="P430" s="20">
        <f>ROUND(P429+IF(AND(E430&lt;=10,F430&lt;&gt;"ASTM A416"),L430,0),3)</f>
        <v/>
      </c>
      <c r="Q430" s="20">
        <f>ROUND(Q429+IF(AND(E430=12,F430&lt;&gt;"ASTM A416"),L430,0),3)</f>
        <v/>
      </c>
      <c r="R430" s="20">
        <f>ROUND(R429+IF(AND(E430=14,F430&lt;&gt;"ASTM A416"),L430,0),3)</f>
        <v/>
      </c>
      <c r="S430" s="20">
        <f>ROUND(S429+IF(AND(E430=16,F430&lt;&gt;"ASTM A416"),L430,0),3)</f>
        <v/>
      </c>
      <c r="T430" s="20">
        <f>ROUND(T429+IF(AND(E430=18,F430&lt;&gt;"ASTM A416"),L430,0),3)</f>
        <v/>
      </c>
      <c r="U430" s="20">
        <f>ROUND(U429+IF(AND(E430=20,F430&lt;&gt;"ASTM A416"),L430,0),3)</f>
        <v/>
      </c>
      <c r="V430" s="20">
        <f>ROUND(V429+IF(AND(E430=22,F430&lt;&gt;"ASTM A416"),L430,0),3)</f>
        <v/>
      </c>
      <c r="W430" s="20">
        <f>ROUND(W429+IF(AND(E430=25,F430&lt;&gt;"ASTM A416"),L430,0),3)</f>
        <v/>
      </c>
      <c r="X430" s="20">
        <f>ROUND(X429+IF(AND(E430=28,F430&lt;&gt;"ASTM A416"),L430,0),3)</f>
        <v/>
      </c>
      <c r="Y430" s="20">
        <f>ROUND(Y429+IF(AND(E430=32,F430&lt;&gt;"ASTM A416"),L430,0),3)</f>
        <v/>
      </c>
      <c r="Z430" s="20">
        <f>ROUND(Z429+IF(F430="ASTM A416",L430,0),3)</f>
        <v/>
      </c>
      <c r="AA430" s="11">
        <f>IF(ROUNDUP(P430/20,0)&gt;ROUNDUP(P429/20,0),"Lần " &amp; ROUNDUP(P430/20,0),"")</f>
        <v/>
      </c>
      <c r="AB430" s="11">
        <f>IF(ROUNDUP(Q430/20,0)&gt;ROUNDUP(Q429/20,0),"Lần " &amp; ROUNDUP(Q430/20,0),"")</f>
        <v/>
      </c>
      <c r="AC430" s="11">
        <f>IF(ROUNDUP(R430/20,0)&gt;ROUNDUP(R429/20,0),"Lần " &amp; ROUNDUP(R430/20,0),"")</f>
        <v/>
      </c>
      <c r="AD430" s="11">
        <f>IF(ROUNDUP(S430/20,0)&gt;ROUNDUP(S429/20,0),"Lần " &amp; ROUNDUP(S430/20,0),"")</f>
        <v/>
      </c>
      <c r="AE430" s="11">
        <f>IF(ROUNDUP(T430/20,0)&gt;ROUNDUP(T429/20,0),"Lần " &amp; ROUNDUP(T430/20,0),"")</f>
        <v/>
      </c>
      <c r="AF430" s="11">
        <f>IF(ROUNDUP(U430/20,0)&gt;ROUNDUP(U429/20,0),"Lần " &amp; ROUNDUP(U430/20,0),"")</f>
        <v/>
      </c>
      <c r="AG430" s="11">
        <f>IF(ROUNDUP(V430/20,0)&gt;ROUNDUP(V429/20,0),"Lần " &amp; ROUNDUP(V430/20,0),"")</f>
        <v/>
      </c>
      <c r="AH430" s="11">
        <f>IF(ROUNDUP(W430/20,0)&gt;ROUNDUP(W429/20,0),"Lần " &amp; ROUNDUP(W430/20,0),"")</f>
        <v/>
      </c>
      <c r="AI430" s="11">
        <f>IF(ROUNDUP(X430/20,0)&gt;ROUNDUP(X429/20,0),"Lần " &amp; ROUNDUP(X430/20,0),"")</f>
        <v/>
      </c>
      <c r="AJ430" s="11">
        <f>IF(ROUNDUP(Y430/20,0)&gt;ROUNDUP(Y429/20,0),"Lần " &amp; ROUNDUP(Y430/20,0),"")</f>
        <v/>
      </c>
      <c r="AK430" s="11">
        <f>IF(ROUNDUP(Z430/20,0)&gt;ROUNDUP(Z429/20,0),"Lần " &amp; ROUNDUP(Z430/20,0),"")</f>
        <v/>
      </c>
      <c r="AL430" s="6" t="n"/>
      <c r="AN430" t="inlineStr">
        <is>
          <t>Coc</t>
        </is>
      </c>
      <c r="AO430" t="n">
        <v>6</v>
      </c>
    </row>
    <row r="431" ht="20" customHeight="1">
      <c r="A431" s="6" t="n">
        <v>412</v>
      </c>
      <c r="B431" s="7" t="inlineStr">
        <is>
          <t>Cọc khoan nhồi C3 Mố M1 (D1.2m, L=20.0m)</t>
        </is>
      </c>
      <c r="C431" s="7" t="inlineStr">
        <is>
          <t>Cọc mố M1 L=20m (tr.64)</t>
        </is>
      </c>
      <c r="D431" s="18" t="inlineStr">
        <is>
          <t>P1D</t>
        </is>
      </c>
      <c r="E431" s="19" t="n">
        <v>10</v>
      </c>
      <c r="F431" s="6" t="inlineStr">
        <is>
          <t>CB240-T</t>
        </is>
      </c>
      <c r="G431" s="7" t="inlineStr"/>
      <c r="H431" s="20" t="n">
        <v>19.721</v>
      </c>
      <c r="I431" s="21" t="n">
        <v>1</v>
      </c>
      <c r="J431" s="22" t="n">
        <v>0.617</v>
      </c>
      <c r="K431" s="9">
        <f>ROUND(H431*I431*J431, 2)</f>
        <v/>
      </c>
      <c r="L431" s="23">
        <f>ROUND(K431/1000, 3)</f>
        <v/>
      </c>
      <c r="M431" s="8">
        <f>IF(AO431="","",IF(INDEX(Theo_Doi_Tan_Suat_Be_Tong!$C:$C,AO431)="","",INDEX(Theo_Doi_Tan_Suat_Be_Tong!$C:$C,AO431)-VLOOKUP(AN431,$AQ$2:$AR$7,2,FALSE)))</f>
        <v/>
      </c>
      <c r="N431" s="6" t="n"/>
      <c r="O431" s="24">
        <f>IF(ROUNDUP(P431/20,0)&gt;ROUNDUP(P430/20,0),"TN Ø10 (Lần " &amp; ROUNDUP(P431/20,0) &amp; ")","")</f>
        <v/>
      </c>
      <c r="P431" s="20">
        <f>ROUND(P430+IF(AND(E431&lt;=10,F431&lt;&gt;"ASTM A416"),L431,0),3)</f>
        <v/>
      </c>
      <c r="Q431" s="20">
        <f>ROUND(Q430+IF(AND(E431=12,F431&lt;&gt;"ASTM A416"),L431,0),3)</f>
        <v/>
      </c>
      <c r="R431" s="20">
        <f>ROUND(R430+IF(AND(E431=14,F431&lt;&gt;"ASTM A416"),L431,0),3)</f>
        <v/>
      </c>
      <c r="S431" s="20">
        <f>ROUND(S430+IF(AND(E431=16,F431&lt;&gt;"ASTM A416"),L431,0),3)</f>
        <v/>
      </c>
      <c r="T431" s="20">
        <f>ROUND(T430+IF(AND(E431=18,F431&lt;&gt;"ASTM A416"),L431,0),3)</f>
        <v/>
      </c>
      <c r="U431" s="20">
        <f>ROUND(U430+IF(AND(E431=20,F431&lt;&gt;"ASTM A416"),L431,0),3)</f>
        <v/>
      </c>
      <c r="V431" s="20">
        <f>ROUND(V430+IF(AND(E431=22,F431&lt;&gt;"ASTM A416"),L431,0),3)</f>
        <v/>
      </c>
      <c r="W431" s="20">
        <f>ROUND(W430+IF(AND(E431=25,F431&lt;&gt;"ASTM A416"),L431,0),3)</f>
        <v/>
      </c>
      <c r="X431" s="20">
        <f>ROUND(X430+IF(AND(E431=28,F431&lt;&gt;"ASTM A416"),L431,0),3)</f>
        <v/>
      </c>
      <c r="Y431" s="20">
        <f>ROUND(Y430+IF(AND(E431=32,F431&lt;&gt;"ASTM A416"),L431,0),3)</f>
        <v/>
      </c>
      <c r="Z431" s="20">
        <f>ROUND(Z430+IF(F431="ASTM A416",L431,0),3)</f>
        <v/>
      </c>
      <c r="AA431" s="11">
        <f>IF(ROUNDUP(P431/20,0)&gt;ROUNDUP(P430/20,0),"Lần " &amp; ROUNDUP(P431/20,0),"")</f>
        <v/>
      </c>
      <c r="AB431" s="11">
        <f>IF(ROUNDUP(Q431/20,0)&gt;ROUNDUP(Q430/20,0),"Lần " &amp; ROUNDUP(Q431/20,0),"")</f>
        <v/>
      </c>
      <c r="AC431" s="11">
        <f>IF(ROUNDUP(R431/20,0)&gt;ROUNDUP(R430/20,0),"Lần " &amp; ROUNDUP(R431/20,0),"")</f>
        <v/>
      </c>
      <c r="AD431" s="11">
        <f>IF(ROUNDUP(S431/20,0)&gt;ROUNDUP(S430/20,0),"Lần " &amp; ROUNDUP(S431/20,0),"")</f>
        <v/>
      </c>
      <c r="AE431" s="11">
        <f>IF(ROUNDUP(T431/20,0)&gt;ROUNDUP(T430/20,0),"Lần " &amp; ROUNDUP(T431/20,0),"")</f>
        <v/>
      </c>
      <c r="AF431" s="11">
        <f>IF(ROUNDUP(U431/20,0)&gt;ROUNDUP(U430/20,0),"Lần " &amp; ROUNDUP(U431/20,0),"")</f>
        <v/>
      </c>
      <c r="AG431" s="11">
        <f>IF(ROUNDUP(V431/20,0)&gt;ROUNDUP(V430/20,0),"Lần " &amp; ROUNDUP(V431/20,0),"")</f>
        <v/>
      </c>
      <c r="AH431" s="11">
        <f>IF(ROUNDUP(W431/20,0)&gt;ROUNDUP(W430/20,0),"Lần " &amp; ROUNDUP(W431/20,0),"")</f>
        <v/>
      </c>
      <c r="AI431" s="11">
        <f>IF(ROUNDUP(X431/20,0)&gt;ROUNDUP(X430/20,0),"Lần " &amp; ROUNDUP(X431/20,0),"")</f>
        <v/>
      </c>
      <c r="AJ431" s="11">
        <f>IF(ROUNDUP(Y431/20,0)&gt;ROUNDUP(Y430/20,0),"Lần " &amp; ROUNDUP(Y431/20,0),"")</f>
        <v/>
      </c>
      <c r="AK431" s="11">
        <f>IF(ROUNDUP(Z431/20,0)&gt;ROUNDUP(Z430/20,0),"Lần " &amp; ROUNDUP(Z431/20,0),"")</f>
        <v/>
      </c>
      <c r="AL431" s="6" t="n"/>
      <c r="AN431" t="inlineStr">
        <is>
          <t>Coc</t>
        </is>
      </c>
      <c r="AO431" t="n">
        <v>6</v>
      </c>
    </row>
    <row r="432" ht="19" customHeight="1">
      <c r="A432" s="6" t="n">
        <v>413</v>
      </c>
      <c r="B432" s="7" t="inlineStr">
        <is>
          <t>Cọc khoan nhồi C3 Mố M1 (D1.2m, L=20.0m)</t>
        </is>
      </c>
      <c r="C432" s="7" t="inlineStr">
        <is>
          <t>Cọc mố M1 L=20m (tr.64)</t>
        </is>
      </c>
      <c r="D432" s="18" t="inlineStr">
        <is>
          <t>P2B</t>
        </is>
      </c>
      <c r="E432" s="19" t="n">
        <v>25</v>
      </c>
      <c r="F432" s="6" t="inlineStr">
        <is>
          <t>CB400-V</t>
        </is>
      </c>
      <c r="G432" s="7" t="inlineStr"/>
      <c r="H432" s="20" t="n">
        <v>2.985</v>
      </c>
      <c r="I432" s="21" t="n">
        <v>8</v>
      </c>
      <c r="J432" s="22" t="n">
        <v>3.853</v>
      </c>
      <c r="K432" s="9">
        <f>ROUND(H432*I432*J432, 2)</f>
        <v/>
      </c>
      <c r="L432" s="23">
        <f>ROUND(K432/1000, 3)</f>
        <v/>
      </c>
      <c r="M432" s="8">
        <f>IF(AO432="","",IF(INDEX(Theo_Doi_Tan_Suat_Be_Tong!$C:$C,AO432)="","",INDEX(Theo_Doi_Tan_Suat_Be_Tong!$C:$C,AO432)-VLOOKUP(AN432,$AQ$2:$AR$7,2,FALSE)))</f>
        <v/>
      </c>
      <c r="N432" s="6" t="n"/>
      <c r="O432" s="24">
        <f>IF(ROUNDUP(W432/20,0)&gt;ROUNDUP(W431/20,0),"TN Ø25 (Lần " &amp; ROUNDUP(W432/20,0) &amp; ")","")</f>
        <v/>
      </c>
      <c r="P432" s="20">
        <f>ROUND(P431+IF(AND(E432&lt;=10,F432&lt;&gt;"ASTM A416"),L432,0),3)</f>
        <v/>
      </c>
      <c r="Q432" s="20">
        <f>ROUND(Q431+IF(AND(E432=12,F432&lt;&gt;"ASTM A416"),L432,0),3)</f>
        <v/>
      </c>
      <c r="R432" s="20">
        <f>ROUND(R431+IF(AND(E432=14,F432&lt;&gt;"ASTM A416"),L432,0),3)</f>
        <v/>
      </c>
      <c r="S432" s="20">
        <f>ROUND(S431+IF(AND(E432=16,F432&lt;&gt;"ASTM A416"),L432,0),3)</f>
        <v/>
      </c>
      <c r="T432" s="20">
        <f>ROUND(T431+IF(AND(E432=18,F432&lt;&gt;"ASTM A416"),L432,0),3)</f>
        <v/>
      </c>
      <c r="U432" s="20">
        <f>ROUND(U431+IF(AND(E432=20,F432&lt;&gt;"ASTM A416"),L432,0),3)</f>
        <v/>
      </c>
      <c r="V432" s="20">
        <f>ROUND(V431+IF(AND(E432=22,F432&lt;&gt;"ASTM A416"),L432,0),3)</f>
        <v/>
      </c>
      <c r="W432" s="20">
        <f>ROUND(W431+IF(AND(E432=25,F432&lt;&gt;"ASTM A416"),L432,0),3)</f>
        <v/>
      </c>
      <c r="X432" s="20">
        <f>ROUND(X431+IF(AND(E432=28,F432&lt;&gt;"ASTM A416"),L432,0),3)</f>
        <v/>
      </c>
      <c r="Y432" s="20">
        <f>ROUND(Y431+IF(AND(E432=32,F432&lt;&gt;"ASTM A416"),L432,0),3)</f>
        <v/>
      </c>
      <c r="Z432" s="20">
        <f>ROUND(Z431+IF(F432="ASTM A416",L432,0),3)</f>
        <v/>
      </c>
      <c r="AA432" s="11">
        <f>IF(ROUNDUP(P432/20,0)&gt;ROUNDUP(P431/20,0),"Lần " &amp; ROUNDUP(P432/20,0),"")</f>
        <v/>
      </c>
      <c r="AB432" s="11">
        <f>IF(ROUNDUP(Q432/20,0)&gt;ROUNDUP(Q431/20,0),"Lần " &amp; ROUNDUP(Q432/20,0),"")</f>
        <v/>
      </c>
      <c r="AC432" s="11">
        <f>IF(ROUNDUP(R432/20,0)&gt;ROUNDUP(R431/20,0),"Lần " &amp; ROUNDUP(R432/20,0),"")</f>
        <v/>
      </c>
      <c r="AD432" s="11">
        <f>IF(ROUNDUP(S432/20,0)&gt;ROUNDUP(S431/20,0),"Lần " &amp; ROUNDUP(S432/20,0),"")</f>
        <v/>
      </c>
      <c r="AE432" s="11">
        <f>IF(ROUNDUP(T432/20,0)&gt;ROUNDUP(T431/20,0),"Lần " &amp; ROUNDUP(T432/20,0),"")</f>
        <v/>
      </c>
      <c r="AF432" s="11">
        <f>IF(ROUNDUP(U432/20,0)&gt;ROUNDUP(U431/20,0),"Lần " &amp; ROUNDUP(U432/20,0),"")</f>
        <v/>
      </c>
      <c r="AG432" s="11">
        <f>IF(ROUNDUP(V432/20,0)&gt;ROUNDUP(V431/20,0),"Lần " &amp; ROUNDUP(V432/20,0),"")</f>
        <v/>
      </c>
      <c r="AH432" s="11">
        <f>IF(ROUNDUP(W432/20,0)&gt;ROUNDUP(W431/20,0),"Lần " &amp; ROUNDUP(W432/20,0),"")</f>
        <v/>
      </c>
      <c r="AI432" s="11">
        <f>IF(ROUNDUP(X432/20,0)&gt;ROUNDUP(X431/20,0),"Lần " &amp; ROUNDUP(X432/20,0),"")</f>
        <v/>
      </c>
      <c r="AJ432" s="11">
        <f>IF(ROUNDUP(Y432/20,0)&gt;ROUNDUP(Y431/20,0),"Lần " &amp; ROUNDUP(Y432/20,0),"")</f>
        <v/>
      </c>
      <c r="AK432" s="11">
        <f>IF(ROUNDUP(Z432/20,0)&gt;ROUNDUP(Z431/20,0),"Lần " &amp; ROUNDUP(Z432/20,0),"")</f>
        <v/>
      </c>
      <c r="AL432" s="6" t="n"/>
      <c r="AN432" t="inlineStr">
        <is>
          <t>Coc</t>
        </is>
      </c>
      <c r="AO432" t="n">
        <v>6</v>
      </c>
    </row>
    <row r="433" ht="19" customHeight="1">
      <c r="A433" s="6" t="n">
        <v>414</v>
      </c>
      <c r="B433" s="7" t="inlineStr">
        <is>
          <t>Cọc khoan nhồi C3 Mố M1 (D1.2m, L=20.0m)</t>
        </is>
      </c>
      <c r="C433" s="7" t="inlineStr">
        <is>
          <t>Cọc mố M1 L=20m (tr.64)</t>
        </is>
      </c>
      <c r="D433" s="18" t="inlineStr">
        <is>
          <t>P3</t>
        </is>
      </c>
      <c r="E433" s="19" t="n">
        <v>25</v>
      </c>
      <c r="F433" s="6" t="inlineStr">
        <is>
          <t>CB400-V</t>
        </is>
      </c>
      <c r="G433" s="7" t="inlineStr"/>
      <c r="H433" s="20" t="n">
        <v>10.7</v>
      </c>
      <c r="I433" s="21" t="n">
        <v>12</v>
      </c>
      <c r="J433" s="22" t="n">
        <v>3.853</v>
      </c>
      <c r="K433" s="9">
        <f>ROUND(H433*I433*J433, 2)</f>
        <v/>
      </c>
      <c r="L433" s="23">
        <f>ROUND(K433/1000, 3)</f>
        <v/>
      </c>
      <c r="M433" s="8">
        <f>IF(AO433="","",IF(INDEX(Theo_Doi_Tan_Suat_Be_Tong!$C:$C,AO433)="","",INDEX(Theo_Doi_Tan_Suat_Be_Tong!$C:$C,AO433)-VLOOKUP(AN433,$AQ$2:$AR$7,2,FALSE)))</f>
        <v/>
      </c>
      <c r="N433" s="6" t="n"/>
      <c r="O433" s="24">
        <f>IF(ROUNDUP(W433/20,0)&gt;ROUNDUP(W432/20,0),"TN Ø25 (Lần " &amp; ROUNDUP(W433/20,0) &amp; ")","")</f>
        <v/>
      </c>
      <c r="P433" s="20">
        <f>ROUND(P432+IF(AND(E433&lt;=10,F433&lt;&gt;"ASTM A416"),L433,0),3)</f>
        <v/>
      </c>
      <c r="Q433" s="20">
        <f>ROUND(Q432+IF(AND(E433=12,F433&lt;&gt;"ASTM A416"),L433,0),3)</f>
        <v/>
      </c>
      <c r="R433" s="20">
        <f>ROUND(R432+IF(AND(E433=14,F433&lt;&gt;"ASTM A416"),L433,0),3)</f>
        <v/>
      </c>
      <c r="S433" s="20">
        <f>ROUND(S432+IF(AND(E433=16,F433&lt;&gt;"ASTM A416"),L433,0),3)</f>
        <v/>
      </c>
      <c r="T433" s="20">
        <f>ROUND(T432+IF(AND(E433=18,F433&lt;&gt;"ASTM A416"),L433,0),3)</f>
        <v/>
      </c>
      <c r="U433" s="20">
        <f>ROUND(U432+IF(AND(E433=20,F433&lt;&gt;"ASTM A416"),L433,0),3)</f>
        <v/>
      </c>
      <c r="V433" s="20">
        <f>ROUND(V432+IF(AND(E433=22,F433&lt;&gt;"ASTM A416"),L433,0),3)</f>
        <v/>
      </c>
      <c r="W433" s="20">
        <f>ROUND(W432+IF(AND(E433=25,F433&lt;&gt;"ASTM A416"),L433,0),3)</f>
        <v/>
      </c>
      <c r="X433" s="20">
        <f>ROUND(X432+IF(AND(E433=28,F433&lt;&gt;"ASTM A416"),L433,0),3)</f>
        <v/>
      </c>
      <c r="Y433" s="20">
        <f>ROUND(Y432+IF(AND(E433=32,F433&lt;&gt;"ASTM A416"),L433,0),3)</f>
        <v/>
      </c>
      <c r="Z433" s="20">
        <f>ROUND(Z432+IF(F433="ASTM A416",L433,0),3)</f>
        <v/>
      </c>
      <c r="AA433" s="11">
        <f>IF(ROUNDUP(P433/20,0)&gt;ROUNDUP(P432/20,0),"Lần " &amp; ROUNDUP(P433/20,0),"")</f>
        <v/>
      </c>
      <c r="AB433" s="11">
        <f>IF(ROUNDUP(Q433/20,0)&gt;ROUNDUP(Q432/20,0),"Lần " &amp; ROUNDUP(Q433/20,0),"")</f>
        <v/>
      </c>
      <c r="AC433" s="11">
        <f>IF(ROUNDUP(R433/20,0)&gt;ROUNDUP(R432/20,0),"Lần " &amp; ROUNDUP(R433/20,0),"")</f>
        <v/>
      </c>
      <c r="AD433" s="11">
        <f>IF(ROUNDUP(S433/20,0)&gt;ROUNDUP(S432/20,0),"Lần " &amp; ROUNDUP(S433/20,0),"")</f>
        <v/>
      </c>
      <c r="AE433" s="11">
        <f>IF(ROUNDUP(T433/20,0)&gt;ROUNDUP(T432/20,0),"Lần " &amp; ROUNDUP(T433/20,0),"")</f>
        <v/>
      </c>
      <c r="AF433" s="11">
        <f>IF(ROUNDUP(U433/20,0)&gt;ROUNDUP(U432/20,0),"Lần " &amp; ROUNDUP(U433/20,0),"")</f>
        <v/>
      </c>
      <c r="AG433" s="11">
        <f>IF(ROUNDUP(V433/20,0)&gt;ROUNDUP(V432/20,0),"Lần " &amp; ROUNDUP(V433/20,0),"")</f>
        <v/>
      </c>
      <c r="AH433" s="11">
        <f>IF(ROUNDUP(W433/20,0)&gt;ROUNDUP(W432/20,0),"Lần " &amp; ROUNDUP(W433/20,0),"")</f>
        <v/>
      </c>
      <c r="AI433" s="11">
        <f>IF(ROUNDUP(X433/20,0)&gt;ROUNDUP(X432/20,0),"Lần " &amp; ROUNDUP(X433/20,0),"")</f>
        <v/>
      </c>
      <c r="AJ433" s="11">
        <f>IF(ROUNDUP(Y433/20,0)&gt;ROUNDUP(Y432/20,0),"Lần " &amp; ROUNDUP(Y433/20,0),"")</f>
        <v/>
      </c>
      <c r="AK433" s="11">
        <f>IF(ROUNDUP(Z433/20,0)&gt;ROUNDUP(Z432/20,0),"Lần " &amp; ROUNDUP(Z433/20,0),"")</f>
        <v/>
      </c>
      <c r="AL433" s="6" t="n"/>
      <c r="AN433" t="inlineStr">
        <is>
          <t>Coc</t>
        </is>
      </c>
      <c r="AO433" t="n">
        <v>6</v>
      </c>
    </row>
    <row r="434" ht="19" customHeight="1">
      <c r="A434" s="6" t="n">
        <v>415</v>
      </c>
      <c r="B434" s="7" t="inlineStr">
        <is>
          <t>Cọc khoan nhồi C3 Mố M1 (D1.2m, L=20.0m)</t>
        </is>
      </c>
      <c r="C434" s="7" t="inlineStr">
        <is>
          <t>Cọc mố M1 L=20m (tr.64)</t>
        </is>
      </c>
      <c r="D434" s="18" t="inlineStr">
        <is>
          <t>P4</t>
        </is>
      </c>
      <c r="E434" s="19" t="n">
        <v>25</v>
      </c>
      <c r="F434" s="6" t="inlineStr">
        <is>
          <t>CB400-V</t>
        </is>
      </c>
      <c r="G434" s="7" t="inlineStr"/>
      <c r="H434" s="20" t="n">
        <v>11.7</v>
      </c>
      <c r="I434" s="21" t="n">
        <v>12</v>
      </c>
      <c r="J434" s="22" t="n">
        <v>3.853</v>
      </c>
      <c r="K434" s="9">
        <f>ROUND(H434*I434*J434, 2)</f>
        <v/>
      </c>
      <c r="L434" s="23">
        <f>ROUND(K434/1000, 3)</f>
        <v/>
      </c>
      <c r="M434" s="8">
        <f>IF(AO434="","",IF(INDEX(Theo_Doi_Tan_Suat_Be_Tong!$C:$C,AO434)="","",INDEX(Theo_Doi_Tan_Suat_Be_Tong!$C:$C,AO434)-VLOOKUP(AN434,$AQ$2:$AR$7,2,FALSE)))</f>
        <v/>
      </c>
      <c r="N434" s="6" t="n"/>
      <c r="O434" s="24">
        <f>IF(ROUNDUP(W434/20,0)&gt;ROUNDUP(W433/20,0),"TN Ø25 (Lần " &amp; ROUNDUP(W434/20,0) &amp; ")","")</f>
        <v/>
      </c>
      <c r="P434" s="20">
        <f>ROUND(P433+IF(AND(E434&lt;=10,F434&lt;&gt;"ASTM A416"),L434,0),3)</f>
        <v/>
      </c>
      <c r="Q434" s="20">
        <f>ROUND(Q433+IF(AND(E434=12,F434&lt;&gt;"ASTM A416"),L434,0),3)</f>
        <v/>
      </c>
      <c r="R434" s="20">
        <f>ROUND(R433+IF(AND(E434=14,F434&lt;&gt;"ASTM A416"),L434,0),3)</f>
        <v/>
      </c>
      <c r="S434" s="20">
        <f>ROUND(S433+IF(AND(E434=16,F434&lt;&gt;"ASTM A416"),L434,0),3)</f>
        <v/>
      </c>
      <c r="T434" s="20">
        <f>ROUND(T433+IF(AND(E434=18,F434&lt;&gt;"ASTM A416"),L434,0),3)</f>
        <v/>
      </c>
      <c r="U434" s="20">
        <f>ROUND(U433+IF(AND(E434=20,F434&lt;&gt;"ASTM A416"),L434,0),3)</f>
        <v/>
      </c>
      <c r="V434" s="20">
        <f>ROUND(V433+IF(AND(E434=22,F434&lt;&gt;"ASTM A416"),L434,0),3)</f>
        <v/>
      </c>
      <c r="W434" s="20">
        <f>ROUND(W433+IF(AND(E434=25,F434&lt;&gt;"ASTM A416"),L434,0),3)</f>
        <v/>
      </c>
      <c r="X434" s="20">
        <f>ROUND(X433+IF(AND(E434=28,F434&lt;&gt;"ASTM A416"),L434,0),3)</f>
        <v/>
      </c>
      <c r="Y434" s="20">
        <f>ROUND(Y433+IF(AND(E434=32,F434&lt;&gt;"ASTM A416"),L434,0),3)</f>
        <v/>
      </c>
      <c r="Z434" s="20">
        <f>ROUND(Z433+IF(F434="ASTM A416",L434,0),3)</f>
        <v/>
      </c>
      <c r="AA434" s="11">
        <f>IF(ROUNDUP(P434/20,0)&gt;ROUNDUP(P433/20,0),"Lần " &amp; ROUNDUP(P434/20,0),"")</f>
        <v/>
      </c>
      <c r="AB434" s="11">
        <f>IF(ROUNDUP(Q434/20,0)&gt;ROUNDUP(Q433/20,0),"Lần " &amp; ROUNDUP(Q434/20,0),"")</f>
        <v/>
      </c>
      <c r="AC434" s="11">
        <f>IF(ROUNDUP(R434/20,0)&gt;ROUNDUP(R433/20,0),"Lần " &amp; ROUNDUP(R434/20,0),"")</f>
        <v/>
      </c>
      <c r="AD434" s="11">
        <f>IF(ROUNDUP(S434/20,0)&gt;ROUNDUP(S433/20,0),"Lần " &amp; ROUNDUP(S434/20,0),"")</f>
        <v/>
      </c>
      <c r="AE434" s="11">
        <f>IF(ROUNDUP(T434/20,0)&gt;ROUNDUP(T433/20,0),"Lần " &amp; ROUNDUP(T434/20,0),"")</f>
        <v/>
      </c>
      <c r="AF434" s="11">
        <f>IF(ROUNDUP(U434/20,0)&gt;ROUNDUP(U433/20,0),"Lần " &amp; ROUNDUP(U434/20,0),"")</f>
        <v/>
      </c>
      <c r="AG434" s="11">
        <f>IF(ROUNDUP(V434/20,0)&gt;ROUNDUP(V433/20,0),"Lần " &amp; ROUNDUP(V434/20,0),"")</f>
        <v/>
      </c>
      <c r="AH434" s="11">
        <f>IF(ROUNDUP(W434/20,0)&gt;ROUNDUP(W433/20,0),"Lần " &amp; ROUNDUP(W434/20,0),"")</f>
        <v/>
      </c>
      <c r="AI434" s="11">
        <f>IF(ROUNDUP(X434/20,0)&gt;ROUNDUP(X433/20,0),"Lần " &amp; ROUNDUP(X434/20,0),"")</f>
        <v/>
      </c>
      <c r="AJ434" s="11">
        <f>IF(ROUNDUP(Y434/20,0)&gt;ROUNDUP(Y433/20,0),"Lần " &amp; ROUNDUP(Y434/20,0),"")</f>
        <v/>
      </c>
      <c r="AK434" s="11">
        <f>IF(ROUNDUP(Z434/20,0)&gt;ROUNDUP(Z433/20,0),"Lần " &amp; ROUNDUP(Z434/20,0),"")</f>
        <v/>
      </c>
      <c r="AL434" s="6" t="n"/>
      <c r="AN434" t="inlineStr">
        <is>
          <t>Coc</t>
        </is>
      </c>
      <c r="AO434" t="n">
        <v>6</v>
      </c>
    </row>
    <row r="435" ht="19" customHeight="1">
      <c r="A435" s="6" t="n">
        <v>416</v>
      </c>
      <c r="B435" s="7" t="inlineStr">
        <is>
          <t>Cọc khoan nhồi C3 Mố M1 (D1.2m, L=20.0m)</t>
        </is>
      </c>
      <c r="C435" s="7" t="inlineStr">
        <is>
          <t>Cọc mố M1 L=20m (tr.64)</t>
        </is>
      </c>
      <c r="D435" s="18" t="inlineStr">
        <is>
          <t>P6</t>
        </is>
      </c>
      <c r="E435" s="19" t="n">
        <v>25</v>
      </c>
      <c r="F435" s="6" t="inlineStr">
        <is>
          <t>CB400-V</t>
        </is>
      </c>
      <c r="G435" s="7" t="inlineStr"/>
      <c r="H435" s="20" t="n">
        <v>10.433</v>
      </c>
      <c r="I435" s="21" t="n">
        <v>12</v>
      </c>
      <c r="J435" s="22" t="n">
        <v>3.853</v>
      </c>
      <c r="K435" s="9">
        <f>ROUND(H435*I435*J435, 2)</f>
        <v/>
      </c>
      <c r="L435" s="23">
        <f>ROUND(K435/1000, 3)</f>
        <v/>
      </c>
      <c r="M435" s="8">
        <f>IF(AO435="","",IF(INDEX(Theo_Doi_Tan_Suat_Be_Tong!$C:$C,AO435)="","",INDEX(Theo_Doi_Tan_Suat_Be_Tong!$C:$C,AO435)-VLOOKUP(AN435,$AQ$2:$AR$7,2,FALSE)))</f>
        <v/>
      </c>
      <c r="N435" s="6" t="n"/>
      <c r="O435" s="24">
        <f>IF(ROUNDUP(W435/20,0)&gt;ROUNDUP(W434/20,0),"TN Ø25 (Lần " &amp; ROUNDUP(W435/20,0) &amp; ")","")</f>
        <v/>
      </c>
      <c r="P435" s="20">
        <f>ROUND(P434+IF(AND(E435&lt;=10,F435&lt;&gt;"ASTM A416"),L435,0),3)</f>
        <v/>
      </c>
      <c r="Q435" s="20">
        <f>ROUND(Q434+IF(AND(E435=12,F435&lt;&gt;"ASTM A416"),L435,0),3)</f>
        <v/>
      </c>
      <c r="R435" s="20">
        <f>ROUND(R434+IF(AND(E435=14,F435&lt;&gt;"ASTM A416"),L435,0),3)</f>
        <v/>
      </c>
      <c r="S435" s="20">
        <f>ROUND(S434+IF(AND(E435=16,F435&lt;&gt;"ASTM A416"),L435,0),3)</f>
        <v/>
      </c>
      <c r="T435" s="20">
        <f>ROUND(T434+IF(AND(E435=18,F435&lt;&gt;"ASTM A416"),L435,0),3)</f>
        <v/>
      </c>
      <c r="U435" s="20">
        <f>ROUND(U434+IF(AND(E435=20,F435&lt;&gt;"ASTM A416"),L435,0),3)</f>
        <v/>
      </c>
      <c r="V435" s="20">
        <f>ROUND(V434+IF(AND(E435=22,F435&lt;&gt;"ASTM A416"),L435,0),3)</f>
        <v/>
      </c>
      <c r="W435" s="20">
        <f>ROUND(W434+IF(AND(E435=25,F435&lt;&gt;"ASTM A416"),L435,0),3)</f>
        <v/>
      </c>
      <c r="X435" s="20">
        <f>ROUND(X434+IF(AND(E435=28,F435&lt;&gt;"ASTM A416"),L435,0),3)</f>
        <v/>
      </c>
      <c r="Y435" s="20">
        <f>ROUND(Y434+IF(AND(E435=32,F435&lt;&gt;"ASTM A416"),L435,0),3)</f>
        <v/>
      </c>
      <c r="Z435" s="20">
        <f>ROUND(Z434+IF(F435="ASTM A416",L435,0),3)</f>
        <v/>
      </c>
      <c r="AA435" s="11">
        <f>IF(ROUNDUP(P435/20,0)&gt;ROUNDUP(P434/20,0),"Lần " &amp; ROUNDUP(P435/20,0),"")</f>
        <v/>
      </c>
      <c r="AB435" s="11">
        <f>IF(ROUNDUP(Q435/20,0)&gt;ROUNDUP(Q434/20,0),"Lần " &amp; ROUNDUP(Q435/20,0),"")</f>
        <v/>
      </c>
      <c r="AC435" s="11">
        <f>IF(ROUNDUP(R435/20,0)&gt;ROUNDUP(R434/20,0),"Lần " &amp; ROUNDUP(R435/20,0),"")</f>
        <v/>
      </c>
      <c r="AD435" s="11">
        <f>IF(ROUNDUP(S435/20,0)&gt;ROUNDUP(S434/20,0),"Lần " &amp; ROUNDUP(S435/20,0),"")</f>
        <v/>
      </c>
      <c r="AE435" s="11">
        <f>IF(ROUNDUP(T435/20,0)&gt;ROUNDUP(T434/20,0),"Lần " &amp; ROUNDUP(T435/20,0),"")</f>
        <v/>
      </c>
      <c r="AF435" s="11">
        <f>IF(ROUNDUP(U435/20,0)&gt;ROUNDUP(U434/20,0),"Lần " &amp; ROUNDUP(U435/20,0),"")</f>
        <v/>
      </c>
      <c r="AG435" s="11">
        <f>IF(ROUNDUP(V435/20,0)&gt;ROUNDUP(V434/20,0),"Lần " &amp; ROUNDUP(V435/20,0),"")</f>
        <v/>
      </c>
      <c r="AH435" s="11">
        <f>IF(ROUNDUP(W435/20,0)&gt;ROUNDUP(W434/20,0),"Lần " &amp; ROUNDUP(W435/20,0),"")</f>
        <v/>
      </c>
      <c r="AI435" s="11">
        <f>IF(ROUNDUP(X435/20,0)&gt;ROUNDUP(X434/20,0),"Lần " &amp; ROUNDUP(X435/20,0),"")</f>
        <v/>
      </c>
      <c r="AJ435" s="11">
        <f>IF(ROUNDUP(Y435/20,0)&gt;ROUNDUP(Y434/20,0),"Lần " &amp; ROUNDUP(Y435/20,0),"")</f>
        <v/>
      </c>
      <c r="AK435" s="11">
        <f>IF(ROUNDUP(Z435/20,0)&gt;ROUNDUP(Z434/20,0),"Lần " &amp; ROUNDUP(Z435/20,0),"")</f>
        <v/>
      </c>
      <c r="AL435" s="6" t="n"/>
      <c r="AN435" t="inlineStr">
        <is>
          <t>Coc</t>
        </is>
      </c>
      <c r="AO435" t="n">
        <v>6</v>
      </c>
    </row>
    <row r="436" ht="19" customHeight="1">
      <c r="A436" s="6" t="n">
        <v>417</v>
      </c>
      <c r="B436" s="7" t="inlineStr">
        <is>
          <t>Cọc khoan nhồi C3 Mố M1 (D1.2m, L=20.0m)</t>
        </is>
      </c>
      <c r="C436" s="7" t="inlineStr">
        <is>
          <t>Cọc mố M1 L=20m (tr.64)</t>
        </is>
      </c>
      <c r="D436" s="18" t="inlineStr">
        <is>
          <t>P7</t>
        </is>
      </c>
      <c r="E436" s="19" t="n">
        <v>25</v>
      </c>
      <c r="F436" s="6" t="inlineStr">
        <is>
          <t>CB400-V</t>
        </is>
      </c>
      <c r="G436" s="7" t="inlineStr"/>
      <c r="H436" s="20" t="n">
        <v>11.433</v>
      </c>
      <c r="I436" s="21" t="n">
        <v>12</v>
      </c>
      <c r="J436" s="22" t="n">
        <v>3.853</v>
      </c>
      <c r="K436" s="9">
        <f>ROUND(H436*I436*J436, 2)</f>
        <v/>
      </c>
      <c r="L436" s="23">
        <f>ROUND(K436/1000, 3)</f>
        <v/>
      </c>
      <c r="M436" s="8">
        <f>IF(AO436="","",IF(INDEX(Theo_Doi_Tan_Suat_Be_Tong!$C:$C,AO436)="","",INDEX(Theo_Doi_Tan_Suat_Be_Tong!$C:$C,AO436)-VLOOKUP(AN436,$AQ$2:$AR$7,2,FALSE)))</f>
        <v/>
      </c>
      <c r="N436" s="6" t="n"/>
      <c r="O436" s="24">
        <f>IF(ROUNDUP(W436/20,0)&gt;ROUNDUP(W435/20,0),"TN Ø25 (Lần " &amp; ROUNDUP(W436/20,0) &amp; ")","")</f>
        <v/>
      </c>
      <c r="P436" s="20">
        <f>ROUND(P435+IF(AND(E436&lt;=10,F436&lt;&gt;"ASTM A416"),L436,0),3)</f>
        <v/>
      </c>
      <c r="Q436" s="20">
        <f>ROUND(Q435+IF(AND(E436=12,F436&lt;&gt;"ASTM A416"),L436,0),3)</f>
        <v/>
      </c>
      <c r="R436" s="20">
        <f>ROUND(R435+IF(AND(E436=14,F436&lt;&gt;"ASTM A416"),L436,0),3)</f>
        <v/>
      </c>
      <c r="S436" s="20">
        <f>ROUND(S435+IF(AND(E436=16,F436&lt;&gt;"ASTM A416"),L436,0),3)</f>
        <v/>
      </c>
      <c r="T436" s="20">
        <f>ROUND(T435+IF(AND(E436=18,F436&lt;&gt;"ASTM A416"),L436,0),3)</f>
        <v/>
      </c>
      <c r="U436" s="20">
        <f>ROUND(U435+IF(AND(E436=20,F436&lt;&gt;"ASTM A416"),L436,0),3)</f>
        <v/>
      </c>
      <c r="V436" s="20">
        <f>ROUND(V435+IF(AND(E436=22,F436&lt;&gt;"ASTM A416"),L436,0),3)</f>
        <v/>
      </c>
      <c r="W436" s="20">
        <f>ROUND(W435+IF(AND(E436=25,F436&lt;&gt;"ASTM A416"),L436,0),3)</f>
        <v/>
      </c>
      <c r="X436" s="20">
        <f>ROUND(X435+IF(AND(E436=28,F436&lt;&gt;"ASTM A416"),L436,0),3)</f>
        <v/>
      </c>
      <c r="Y436" s="20">
        <f>ROUND(Y435+IF(AND(E436=32,F436&lt;&gt;"ASTM A416"),L436,0),3)</f>
        <v/>
      </c>
      <c r="Z436" s="20">
        <f>ROUND(Z435+IF(F436="ASTM A416",L436,0),3)</f>
        <v/>
      </c>
      <c r="AA436" s="11">
        <f>IF(ROUNDUP(P436/20,0)&gt;ROUNDUP(P435/20,0),"Lần " &amp; ROUNDUP(P436/20,0),"")</f>
        <v/>
      </c>
      <c r="AB436" s="11">
        <f>IF(ROUNDUP(Q436/20,0)&gt;ROUNDUP(Q435/20,0),"Lần " &amp; ROUNDUP(Q436/20,0),"")</f>
        <v/>
      </c>
      <c r="AC436" s="11">
        <f>IF(ROUNDUP(R436/20,0)&gt;ROUNDUP(R435/20,0),"Lần " &amp; ROUNDUP(R436/20,0),"")</f>
        <v/>
      </c>
      <c r="AD436" s="11">
        <f>IF(ROUNDUP(S436/20,0)&gt;ROUNDUP(S435/20,0),"Lần " &amp; ROUNDUP(S436/20,0),"")</f>
        <v/>
      </c>
      <c r="AE436" s="11">
        <f>IF(ROUNDUP(T436/20,0)&gt;ROUNDUP(T435/20,0),"Lần " &amp; ROUNDUP(T436/20,0),"")</f>
        <v/>
      </c>
      <c r="AF436" s="11">
        <f>IF(ROUNDUP(U436/20,0)&gt;ROUNDUP(U435/20,0),"Lần " &amp; ROUNDUP(U436/20,0),"")</f>
        <v/>
      </c>
      <c r="AG436" s="11">
        <f>IF(ROUNDUP(V436/20,0)&gt;ROUNDUP(V435/20,0),"Lần " &amp; ROUNDUP(V436/20,0),"")</f>
        <v/>
      </c>
      <c r="AH436" s="11">
        <f>IF(ROUNDUP(W436/20,0)&gt;ROUNDUP(W435/20,0),"Lần " &amp; ROUNDUP(W436/20,0),"")</f>
        <v/>
      </c>
      <c r="AI436" s="11">
        <f>IF(ROUNDUP(X436/20,0)&gt;ROUNDUP(X435/20,0),"Lần " &amp; ROUNDUP(X436/20,0),"")</f>
        <v/>
      </c>
      <c r="AJ436" s="11">
        <f>IF(ROUNDUP(Y436/20,0)&gt;ROUNDUP(Y435/20,0),"Lần " &amp; ROUNDUP(Y436/20,0),"")</f>
        <v/>
      </c>
      <c r="AK436" s="11">
        <f>IF(ROUNDUP(Z436/20,0)&gt;ROUNDUP(Z435/20,0),"Lần " &amp; ROUNDUP(Z436/20,0),"")</f>
        <v/>
      </c>
      <c r="AL436" s="6" t="n"/>
      <c r="AN436" t="inlineStr">
        <is>
          <t>Coc</t>
        </is>
      </c>
      <c r="AO436" t="n">
        <v>6</v>
      </c>
    </row>
    <row r="437" ht="19" customHeight="1">
      <c r="A437" s="6" t="n">
        <v>418</v>
      </c>
      <c r="B437" s="7" t="inlineStr">
        <is>
          <t>Cọc khoan nhồi C3 Mố M1 (D1.2m, L=20.0m)</t>
        </is>
      </c>
      <c r="C437" s="7" t="inlineStr">
        <is>
          <t>Cọc mố M1 L=20m (tr.64)</t>
        </is>
      </c>
      <c r="D437" s="18" t="inlineStr">
        <is>
          <t>P8</t>
        </is>
      </c>
      <c r="E437" s="19" t="n">
        <v>12</v>
      </c>
      <c r="F437" s="6" t="inlineStr">
        <is>
          <t>CB400-V</t>
        </is>
      </c>
      <c r="G437" s="7" t="inlineStr"/>
      <c r="H437" s="20" t="n">
        <v>0.647</v>
      </c>
      <c r="I437" s="21" t="n">
        <v>8</v>
      </c>
      <c r="J437" s="22" t="n">
        <v>0.888</v>
      </c>
      <c r="K437" s="9">
        <f>ROUND(H437*I437*J437, 2)</f>
        <v/>
      </c>
      <c r="L437" s="23">
        <f>ROUND(K437/1000, 3)</f>
        <v/>
      </c>
      <c r="M437" s="8">
        <f>IF(AO437="","",IF(INDEX(Theo_Doi_Tan_Suat_Be_Tong!$C:$C,AO437)="","",INDEX(Theo_Doi_Tan_Suat_Be_Tong!$C:$C,AO437)-VLOOKUP(AN437,$AQ$2:$AR$7,2,FALSE)))</f>
        <v/>
      </c>
      <c r="N437" s="6" t="n"/>
      <c r="O437" s="24">
        <f>IF(ROUNDUP(Q437/20,0)&gt;ROUNDUP(Q436/20,0),"TN Ø12 (Lần " &amp; ROUNDUP(Q437/20,0) &amp; ")","")</f>
        <v/>
      </c>
      <c r="P437" s="20">
        <f>ROUND(P436+IF(AND(E437&lt;=10,F437&lt;&gt;"ASTM A416"),L437,0),3)</f>
        <v/>
      </c>
      <c r="Q437" s="20">
        <f>ROUND(Q436+IF(AND(E437=12,F437&lt;&gt;"ASTM A416"),L437,0),3)</f>
        <v/>
      </c>
      <c r="R437" s="20">
        <f>ROUND(R436+IF(AND(E437=14,F437&lt;&gt;"ASTM A416"),L437,0),3)</f>
        <v/>
      </c>
      <c r="S437" s="20">
        <f>ROUND(S436+IF(AND(E437=16,F437&lt;&gt;"ASTM A416"),L437,0),3)</f>
        <v/>
      </c>
      <c r="T437" s="20">
        <f>ROUND(T436+IF(AND(E437=18,F437&lt;&gt;"ASTM A416"),L437,0),3)</f>
        <v/>
      </c>
      <c r="U437" s="20">
        <f>ROUND(U436+IF(AND(E437=20,F437&lt;&gt;"ASTM A416"),L437,0),3)</f>
        <v/>
      </c>
      <c r="V437" s="20">
        <f>ROUND(V436+IF(AND(E437=22,F437&lt;&gt;"ASTM A416"),L437,0),3)</f>
        <v/>
      </c>
      <c r="W437" s="20">
        <f>ROUND(W436+IF(AND(E437=25,F437&lt;&gt;"ASTM A416"),L437,0),3)</f>
        <v/>
      </c>
      <c r="X437" s="20">
        <f>ROUND(X436+IF(AND(E437=28,F437&lt;&gt;"ASTM A416"),L437,0),3)</f>
        <v/>
      </c>
      <c r="Y437" s="20">
        <f>ROUND(Y436+IF(AND(E437=32,F437&lt;&gt;"ASTM A416"),L437,0),3)</f>
        <v/>
      </c>
      <c r="Z437" s="20">
        <f>ROUND(Z436+IF(F437="ASTM A416",L437,0),3)</f>
        <v/>
      </c>
      <c r="AA437" s="11">
        <f>IF(ROUNDUP(P437/20,0)&gt;ROUNDUP(P436/20,0),"Lần " &amp; ROUNDUP(P437/20,0),"")</f>
        <v/>
      </c>
      <c r="AB437" s="11">
        <f>IF(ROUNDUP(Q437/20,0)&gt;ROUNDUP(Q436/20,0),"Lần " &amp; ROUNDUP(Q437/20,0),"")</f>
        <v/>
      </c>
      <c r="AC437" s="11">
        <f>IF(ROUNDUP(R437/20,0)&gt;ROUNDUP(R436/20,0),"Lần " &amp; ROUNDUP(R437/20,0),"")</f>
        <v/>
      </c>
      <c r="AD437" s="11">
        <f>IF(ROUNDUP(S437/20,0)&gt;ROUNDUP(S436/20,0),"Lần " &amp; ROUNDUP(S437/20,0),"")</f>
        <v/>
      </c>
      <c r="AE437" s="11">
        <f>IF(ROUNDUP(T437/20,0)&gt;ROUNDUP(T436/20,0),"Lần " &amp; ROUNDUP(T437/20,0),"")</f>
        <v/>
      </c>
      <c r="AF437" s="11">
        <f>IF(ROUNDUP(U437/20,0)&gt;ROUNDUP(U436/20,0),"Lần " &amp; ROUNDUP(U437/20,0),"")</f>
        <v/>
      </c>
      <c r="AG437" s="11">
        <f>IF(ROUNDUP(V437/20,0)&gt;ROUNDUP(V436/20,0),"Lần " &amp; ROUNDUP(V437/20,0),"")</f>
        <v/>
      </c>
      <c r="AH437" s="11">
        <f>IF(ROUNDUP(W437/20,0)&gt;ROUNDUP(W436/20,0),"Lần " &amp; ROUNDUP(W437/20,0),"")</f>
        <v/>
      </c>
      <c r="AI437" s="11">
        <f>IF(ROUNDUP(X437/20,0)&gt;ROUNDUP(X436/20,0),"Lần " &amp; ROUNDUP(X437/20,0),"")</f>
        <v/>
      </c>
      <c r="AJ437" s="11">
        <f>IF(ROUNDUP(Y437/20,0)&gt;ROUNDUP(Y436/20,0),"Lần " &amp; ROUNDUP(Y437/20,0),"")</f>
        <v/>
      </c>
      <c r="AK437" s="11">
        <f>IF(ROUNDUP(Z437/20,0)&gt;ROUNDUP(Z436/20,0),"Lần " &amp; ROUNDUP(Z437/20,0),"")</f>
        <v/>
      </c>
      <c r="AL437" s="6" t="n"/>
      <c r="AN437" t="inlineStr">
        <is>
          <t>Coc</t>
        </is>
      </c>
      <c r="AO437" t="n">
        <v>6</v>
      </c>
    </row>
    <row r="438" ht="23" customHeight="1">
      <c r="A438" s="6" t="n">
        <v>419</v>
      </c>
      <c r="B438" s="7" t="inlineStr">
        <is>
          <t>Cọc khoan nhồi C3 Mố M1 (D1.2m, L=20.0m)</t>
        </is>
      </c>
      <c r="C438" s="7" t="inlineStr">
        <is>
          <t>Cọc mố M1 L=20m (tr.64)</t>
        </is>
      </c>
      <c r="D438" s="18" t="inlineStr">
        <is>
          <t>P9</t>
        </is>
      </c>
      <c r="E438" s="19" t="n">
        <v>12</v>
      </c>
      <c r="F438" s="6" t="inlineStr">
        <is>
          <t>CB400-V</t>
        </is>
      </c>
      <c r="G438" s="7" t="inlineStr"/>
      <c r="H438" s="20" t="n">
        <v>0.379</v>
      </c>
      <c r="I438" s="21" t="n">
        <v>24</v>
      </c>
      <c r="J438" s="22" t="n">
        <v>0.888</v>
      </c>
      <c r="K438" s="9">
        <f>ROUND(H438*I438*J438, 2)</f>
        <v/>
      </c>
      <c r="L438" s="23">
        <f>ROUND(K438/1000, 3)</f>
        <v/>
      </c>
      <c r="M438" s="8">
        <f>IF(AO438="","",IF(INDEX(Theo_Doi_Tan_Suat_Be_Tong!$C:$C,AO438)="","",INDEX(Theo_Doi_Tan_Suat_Be_Tong!$C:$C,AO438)-VLOOKUP(AN438,$AQ$2:$AR$7,2,FALSE)))</f>
        <v/>
      </c>
      <c r="N438" s="6" t="n"/>
      <c r="O438" s="24">
        <f>IF(ROUNDUP(Q438/20,0)&gt;ROUNDUP(Q437/20,0),"TN Ø12 (Lần " &amp; ROUNDUP(Q438/20,0) &amp; ")","")</f>
        <v/>
      </c>
      <c r="P438" s="20">
        <f>ROUND(P437+IF(AND(E438&lt;=10,F438&lt;&gt;"ASTM A416"),L438,0),3)</f>
        <v/>
      </c>
      <c r="Q438" s="20">
        <f>ROUND(Q437+IF(AND(E438=12,F438&lt;&gt;"ASTM A416"),L438,0),3)</f>
        <v/>
      </c>
      <c r="R438" s="20">
        <f>ROUND(R437+IF(AND(E438=14,F438&lt;&gt;"ASTM A416"),L438,0),3)</f>
        <v/>
      </c>
      <c r="S438" s="20">
        <f>ROUND(S437+IF(AND(E438=16,F438&lt;&gt;"ASTM A416"),L438,0),3)</f>
        <v/>
      </c>
      <c r="T438" s="20">
        <f>ROUND(T437+IF(AND(E438=18,F438&lt;&gt;"ASTM A416"),L438,0),3)</f>
        <v/>
      </c>
      <c r="U438" s="20">
        <f>ROUND(U437+IF(AND(E438=20,F438&lt;&gt;"ASTM A416"),L438,0),3)</f>
        <v/>
      </c>
      <c r="V438" s="20">
        <f>ROUND(V437+IF(AND(E438=22,F438&lt;&gt;"ASTM A416"),L438,0),3)</f>
        <v/>
      </c>
      <c r="W438" s="20">
        <f>ROUND(W437+IF(AND(E438=25,F438&lt;&gt;"ASTM A416"),L438,0),3)</f>
        <v/>
      </c>
      <c r="X438" s="20">
        <f>ROUND(X437+IF(AND(E438=28,F438&lt;&gt;"ASTM A416"),L438,0),3)</f>
        <v/>
      </c>
      <c r="Y438" s="20">
        <f>ROUND(Y437+IF(AND(E438=32,F438&lt;&gt;"ASTM A416"),L438,0),3)</f>
        <v/>
      </c>
      <c r="Z438" s="20">
        <f>ROUND(Z437+IF(F438="ASTM A416",L438,0),3)</f>
        <v/>
      </c>
      <c r="AA438" s="11">
        <f>IF(ROUNDUP(P438/20,0)&gt;ROUNDUP(P437/20,0),"Lần " &amp; ROUNDUP(P438/20,0),"")</f>
        <v/>
      </c>
      <c r="AB438" s="11">
        <f>IF(ROUNDUP(Q438/20,0)&gt;ROUNDUP(Q437/20,0),"Lần " &amp; ROUNDUP(Q438/20,0),"")</f>
        <v/>
      </c>
      <c r="AC438" s="11">
        <f>IF(ROUNDUP(R438/20,0)&gt;ROUNDUP(R437/20,0),"Lần " &amp; ROUNDUP(R438/20,0),"")</f>
        <v/>
      </c>
      <c r="AD438" s="11">
        <f>IF(ROUNDUP(S438/20,0)&gt;ROUNDUP(S437/20,0),"Lần " &amp; ROUNDUP(S438/20,0),"")</f>
        <v/>
      </c>
      <c r="AE438" s="11">
        <f>IF(ROUNDUP(T438/20,0)&gt;ROUNDUP(T437/20,0),"Lần " &amp; ROUNDUP(T438/20,0),"")</f>
        <v/>
      </c>
      <c r="AF438" s="11">
        <f>IF(ROUNDUP(U438/20,0)&gt;ROUNDUP(U437/20,0),"Lần " &amp; ROUNDUP(U438/20,0),"")</f>
        <v/>
      </c>
      <c r="AG438" s="11">
        <f>IF(ROUNDUP(V438/20,0)&gt;ROUNDUP(V437/20,0),"Lần " &amp; ROUNDUP(V438/20,0),"")</f>
        <v/>
      </c>
      <c r="AH438" s="11">
        <f>IF(ROUNDUP(W438/20,0)&gt;ROUNDUP(W437/20,0),"Lần " &amp; ROUNDUP(W438/20,0),"")</f>
        <v/>
      </c>
      <c r="AI438" s="11">
        <f>IF(ROUNDUP(X438/20,0)&gt;ROUNDUP(X437/20,0),"Lần " &amp; ROUNDUP(X438/20,0),"")</f>
        <v/>
      </c>
      <c r="AJ438" s="11">
        <f>IF(ROUNDUP(Y438/20,0)&gt;ROUNDUP(Y437/20,0),"Lần " &amp; ROUNDUP(Y438/20,0),"")</f>
        <v/>
      </c>
      <c r="AK438" s="11">
        <f>IF(ROUNDUP(Z438/20,0)&gt;ROUNDUP(Z437/20,0),"Lần " &amp; ROUNDUP(Z438/20,0),"")</f>
        <v/>
      </c>
      <c r="AL438" s="6" t="n"/>
      <c r="AN438" t="inlineStr">
        <is>
          <t>Coc</t>
        </is>
      </c>
      <c r="AO438" t="n">
        <v>6</v>
      </c>
    </row>
    <row r="439" ht="19" customHeight="1">
      <c r="A439" s="6" t="n">
        <v>420</v>
      </c>
      <c r="B439" s="7" t="inlineStr">
        <is>
          <t>Cọc khoan nhồi C3 Mố M1 (D1.2m, L=20.0m)</t>
        </is>
      </c>
      <c r="C439" s="7" t="inlineStr">
        <is>
          <t>Cọc mố M1 L=20m (tr.64)</t>
        </is>
      </c>
      <c r="D439" s="18" t="inlineStr">
        <is>
          <t>P10</t>
        </is>
      </c>
      <c r="E439" s="19" t="n">
        <v>20</v>
      </c>
      <c r="F439" s="6" t="inlineStr">
        <is>
          <t>CB400-V</t>
        </is>
      </c>
      <c r="G439" s="7" t="inlineStr"/>
      <c r="H439" s="20" t="n">
        <v>2.057</v>
      </c>
      <c r="I439" s="21" t="n">
        <v>1</v>
      </c>
      <c r="J439" s="22" t="n">
        <v>2.466</v>
      </c>
      <c r="K439" s="9">
        <f>ROUND(H439*I439*J439, 2)</f>
        <v/>
      </c>
      <c r="L439" s="23">
        <f>ROUND(K439/1000, 3)</f>
        <v/>
      </c>
      <c r="M439" s="8">
        <f>IF(AO439="","",IF(INDEX(Theo_Doi_Tan_Suat_Be_Tong!$C:$C,AO439)="","",INDEX(Theo_Doi_Tan_Suat_Be_Tong!$C:$C,AO439)-VLOOKUP(AN439,$AQ$2:$AR$7,2,FALSE)))</f>
        <v/>
      </c>
      <c r="N439" s="6" t="n"/>
      <c r="O439" s="24">
        <f>IF(ROUNDUP(U439/20,0)&gt;ROUNDUP(U438/20,0),"TN Ø20 (Lần " &amp; ROUNDUP(U439/20,0) &amp; ")","")</f>
        <v/>
      </c>
      <c r="P439" s="20">
        <f>ROUND(P438+IF(AND(E439&lt;=10,F439&lt;&gt;"ASTM A416"),L439,0),3)</f>
        <v/>
      </c>
      <c r="Q439" s="20">
        <f>ROUND(Q438+IF(AND(E439=12,F439&lt;&gt;"ASTM A416"),L439,0),3)</f>
        <v/>
      </c>
      <c r="R439" s="20">
        <f>ROUND(R438+IF(AND(E439=14,F439&lt;&gt;"ASTM A416"),L439,0),3)</f>
        <v/>
      </c>
      <c r="S439" s="20">
        <f>ROUND(S438+IF(AND(E439=16,F439&lt;&gt;"ASTM A416"),L439,0),3)</f>
        <v/>
      </c>
      <c r="T439" s="20">
        <f>ROUND(T438+IF(AND(E439=18,F439&lt;&gt;"ASTM A416"),L439,0),3)</f>
        <v/>
      </c>
      <c r="U439" s="20">
        <f>ROUND(U438+IF(AND(E439=20,F439&lt;&gt;"ASTM A416"),L439,0),3)</f>
        <v/>
      </c>
      <c r="V439" s="20">
        <f>ROUND(V438+IF(AND(E439=22,F439&lt;&gt;"ASTM A416"),L439,0),3)</f>
        <v/>
      </c>
      <c r="W439" s="20">
        <f>ROUND(W438+IF(AND(E439=25,F439&lt;&gt;"ASTM A416"),L439,0),3)</f>
        <v/>
      </c>
      <c r="X439" s="20">
        <f>ROUND(X438+IF(AND(E439=28,F439&lt;&gt;"ASTM A416"),L439,0),3)</f>
        <v/>
      </c>
      <c r="Y439" s="20">
        <f>ROUND(Y438+IF(AND(E439=32,F439&lt;&gt;"ASTM A416"),L439,0),3)</f>
        <v/>
      </c>
      <c r="Z439" s="20">
        <f>ROUND(Z438+IF(F439="ASTM A416",L439,0),3)</f>
        <v/>
      </c>
      <c r="AA439" s="11">
        <f>IF(ROUNDUP(P439/20,0)&gt;ROUNDUP(P438/20,0),"Lần " &amp; ROUNDUP(P439/20,0),"")</f>
        <v/>
      </c>
      <c r="AB439" s="11">
        <f>IF(ROUNDUP(Q439/20,0)&gt;ROUNDUP(Q438/20,0),"Lần " &amp; ROUNDUP(Q439/20,0),"")</f>
        <v/>
      </c>
      <c r="AC439" s="11">
        <f>IF(ROUNDUP(R439/20,0)&gt;ROUNDUP(R438/20,0),"Lần " &amp; ROUNDUP(R439/20,0),"")</f>
        <v/>
      </c>
      <c r="AD439" s="11">
        <f>IF(ROUNDUP(S439/20,0)&gt;ROUNDUP(S438/20,0),"Lần " &amp; ROUNDUP(S439/20,0),"")</f>
        <v/>
      </c>
      <c r="AE439" s="11">
        <f>IF(ROUNDUP(T439/20,0)&gt;ROUNDUP(T438/20,0),"Lần " &amp; ROUNDUP(T439/20,0),"")</f>
        <v/>
      </c>
      <c r="AF439" s="11">
        <f>IF(ROUNDUP(U439/20,0)&gt;ROUNDUP(U438/20,0),"Lần " &amp; ROUNDUP(U439/20,0),"")</f>
        <v/>
      </c>
      <c r="AG439" s="11">
        <f>IF(ROUNDUP(V439/20,0)&gt;ROUNDUP(V438/20,0),"Lần " &amp; ROUNDUP(V439/20,0),"")</f>
        <v/>
      </c>
      <c r="AH439" s="11">
        <f>IF(ROUNDUP(W439/20,0)&gt;ROUNDUP(W438/20,0),"Lần " &amp; ROUNDUP(W439/20,0),"")</f>
        <v/>
      </c>
      <c r="AI439" s="11">
        <f>IF(ROUNDUP(X439/20,0)&gt;ROUNDUP(X438/20,0),"Lần " &amp; ROUNDUP(X439/20,0),"")</f>
        <v/>
      </c>
      <c r="AJ439" s="11">
        <f>IF(ROUNDUP(Y439/20,0)&gt;ROUNDUP(Y438/20,0),"Lần " &amp; ROUNDUP(Y439/20,0),"")</f>
        <v/>
      </c>
      <c r="AK439" s="11">
        <f>IF(ROUNDUP(Z439/20,0)&gt;ROUNDUP(Z438/20,0),"Lần " &amp; ROUNDUP(Z439/20,0),"")</f>
        <v/>
      </c>
      <c r="AL439" s="6" t="n"/>
      <c r="AN439" t="inlineStr">
        <is>
          <t>Coc</t>
        </is>
      </c>
      <c r="AO439" t="n">
        <v>6</v>
      </c>
    </row>
    <row r="440" ht="19" customHeight="1">
      <c r="A440" s="6" t="n">
        <v>421</v>
      </c>
      <c r="B440" s="7" t="inlineStr">
        <is>
          <t>Cọc khoan nhồi C3 Mố M1 (D1.2m, L=20.0m)</t>
        </is>
      </c>
      <c r="C440" s="7" t="inlineStr">
        <is>
          <t>Cọc mố M1 L=20m (tr.64)</t>
        </is>
      </c>
      <c r="D440" s="18" t="inlineStr">
        <is>
          <t>P12</t>
        </is>
      </c>
      <c r="E440" s="19" t="n">
        <v>20</v>
      </c>
      <c r="F440" s="6" t="inlineStr">
        <is>
          <t>CB400-V</t>
        </is>
      </c>
      <c r="G440" s="7" t="inlineStr"/>
      <c r="H440" s="20" t="n">
        <v>0.583</v>
      </c>
      <c r="I440" s="21" t="n">
        <v>32</v>
      </c>
      <c r="J440" s="22" t="n">
        <v>2.466</v>
      </c>
      <c r="K440" s="9">
        <f>ROUND(H440*I440*J440, 2)</f>
        <v/>
      </c>
      <c r="L440" s="23">
        <f>ROUND(K440/1000, 3)</f>
        <v/>
      </c>
      <c r="M440" s="8">
        <f>IF(AO440="","",IF(INDEX(Theo_Doi_Tan_Suat_Be_Tong!$C:$C,AO440)="","",INDEX(Theo_Doi_Tan_Suat_Be_Tong!$C:$C,AO440)-VLOOKUP(AN440,$AQ$2:$AR$7,2,FALSE)))</f>
        <v/>
      </c>
      <c r="N440" s="6" t="n"/>
      <c r="O440" s="24">
        <f>IF(ROUNDUP(U440/20,0)&gt;ROUNDUP(U439/20,0),"TN Ø20 (Lần " &amp; ROUNDUP(U440/20,0) &amp; ")","")</f>
        <v/>
      </c>
      <c r="P440" s="20">
        <f>ROUND(P439+IF(AND(E440&lt;=10,F440&lt;&gt;"ASTM A416"),L440,0),3)</f>
        <v/>
      </c>
      <c r="Q440" s="20">
        <f>ROUND(Q439+IF(AND(E440=12,F440&lt;&gt;"ASTM A416"),L440,0),3)</f>
        <v/>
      </c>
      <c r="R440" s="20">
        <f>ROUND(R439+IF(AND(E440=14,F440&lt;&gt;"ASTM A416"),L440,0),3)</f>
        <v/>
      </c>
      <c r="S440" s="20">
        <f>ROUND(S439+IF(AND(E440=16,F440&lt;&gt;"ASTM A416"),L440,0),3)</f>
        <v/>
      </c>
      <c r="T440" s="20">
        <f>ROUND(T439+IF(AND(E440=18,F440&lt;&gt;"ASTM A416"),L440,0),3)</f>
        <v/>
      </c>
      <c r="U440" s="20">
        <f>ROUND(U439+IF(AND(E440=20,F440&lt;&gt;"ASTM A416"),L440,0),3)</f>
        <v/>
      </c>
      <c r="V440" s="20">
        <f>ROUND(V439+IF(AND(E440=22,F440&lt;&gt;"ASTM A416"),L440,0),3)</f>
        <v/>
      </c>
      <c r="W440" s="20">
        <f>ROUND(W439+IF(AND(E440=25,F440&lt;&gt;"ASTM A416"),L440,0),3)</f>
        <v/>
      </c>
      <c r="X440" s="20">
        <f>ROUND(X439+IF(AND(E440=28,F440&lt;&gt;"ASTM A416"),L440,0),3)</f>
        <v/>
      </c>
      <c r="Y440" s="20">
        <f>ROUND(Y439+IF(AND(E440=32,F440&lt;&gt;"ASTM A416"),L440,0),3)</f>
        <v/>
      </c>
      <c r="Z440" s="20">
        <f>ROUND(Z439+IF(F440="ASTM A416",L440,0),3)</f>
        <v/>
      </c>
      <c r="AA440" s="11">
        <f>IF(ROUNDUP(P440/20,0)&gt;ROUNDUP(P439/20,0),"Lần " &amp; ROUNDUP(P440/20,0),"")</f>
        <v/>
      </c>
      <c r="AB440" s="11">
        <f>IF(ROUNDUP(Q440/20,0)&gt;ROUNDUP(Q439/20,0),"Lần " &amp; ROUNDUP(Q440/20,0),"")</f>
        <v/>
      </c>
      <c r="AC440" s="11">
        <f>IF(ROUNDUP(R440/20,0)&gt;ROUNDUP(R439/20,0),"Lần " &amp; ROUNDUP(R440/20,0),"")</f>
        <v/>
      </c>
      <c r="AD440" s="11">
        <f>IF(ROUNDUP(S440/20,0)&gt;ROUNDUP(S439/20,0),"Lần " &amp; ROUNDUP(S440/20,0),"")</f>
        <v/>
      </c>
      <c r="AE440" s="11">
        <f>IF(ROUNDUP(T440/20,0)&gt;ROUNDUP(T439/20,0),"Lần " &amp; ROUNDUP(T440/20,0),"")</f>
        <v/>
      </c>
      <c r="AF440" s="11">
        <f>IF(ROUNDUP(U440/20,0)&gt;ROUNDUP(U439/20,0),"Lần " &amp; ROUNDUP(U440/20,0),"")</f>
        <v/>
      </c>
      <c r="AG440" s="11">
        <f>IF(ROUNDUP(V440/20,0)&gt;ROUNDUP(V439/20,0),"Lần " &amp; ROUNDUP(V440/20,0),"")</f>
        <v/>
      </c>
      <c r="AH440" s="11">
        <f>IF(ROUNDUP(W440/20,0)&gt;ROUNDUP(W439/20,0),"Lần " &amp; ROUNDUP(W440/20,0),"")</f>
        <v/>
      </c>
      <c r="AI440" s="11">
        <f>IF(ROUNDUP(X440/20,0)&gt;ROUNDUP(X439/20,0),"Lần " &amp; ROUNDUP(X440/20,0),"")</f>
        <v/>
      </c>
      <c r="AJ440" s="11">
        <f>IF(ROUNDUP(Y440/20,0)&gt;ROUNDUP(Y439/20,0),"Lần " &amp; ROUNDUP(Y440/20,0),"")</f>
        <v/>
      </c>
      <c r="AK440" s="11">
        <f>IF(ROUNDUP(Z440/20,0)&gt;ROUNDUP(Z439/20,0),"Lần " &amp; ROUNDUP(Z440/20,0),"")</f>
        <v/>
      </c>
      <c r="AL440" s="6" t="n"/>
      <c r="AN440" t="inlineStr">
        <is>
          <t>Coc</t>
        </is>
      </c>
      <c r="AO440" t="n">
        <v>6</v>
      </c>
    </row>
    <row r="441" ht="19" customHeight="1">
      <c r="A441" s="6" t="n">
        <v>422</v>
      </c>
      <c r="B441" s="7" t="inlineStr">
        <is>
          <t>Cọc khoan nhồi C3 Mố M1 (D1.2m, L=20.0m)</t>
        </is>
      </c>
      <c r="C441" s="7" t="inlineStr">
        <is>
          <t>Cọc mố M1 L=20m (tr.64)</t>
        </is>
      </c>
      <c r="D441" s="18" t="inlineStr">
        <is>
          <t>P11</t>
        </is>
      </c>
      <c r="E441" s="19" t="n">
        <v>16</v>
      </c>
      <c r="F441" s="6" t="inlineStr">
        <is>
          <t>CB400-V</t>
        </is>
      </c>
      <c r="G441" s="7" t="inlineStr"/>
      <c r="H441" s="20" t="n">
        <v>2.604</v>
      </c>
      <c r="I441" s="21" t="n">
        <v>4</v>
      </c>
      <c r="J441" s="22" t="n">
        <v>1.578</v>
      </c>
      <c r="K441" s="9">
        <f>ROUND(H441*I441*J441, 2)</f>
        <v/>
      </c>
      <c r="L441" s="23">
        <f>ROUND(K441/1000, 3)</f>
        <v/>
      </c>
      <c r="M441" s="8">
        <f>IF(AO441="","",IF(INDEX(Theo_Doi_Tan_Suat_Be_Tong!$C:$C,AO441)="","",INDEX(Theo_Doi_Tan_Suat_Be_Tong!$C:$C,AO441)-VLOOKUP(AN441,$AQ$2:$AR$7,2,FALSE)))</f>
        <v/>
      </c>
      <c r="N441" s="6" t="n"/>
      <c r="O441" s="24">
        <f>IF(ROUNDUP(S441/20,0)&gt;ROUNDUP(S440/20,0),"TN Ø16 (Lần " &amp; ROUNDUP(S441/20,0) &amp; ")","")</f>
        <v/>
      </c>
      <c r="P441" s="20">
        <f>ROUND(P440+IF(AND(E441&lt;=10,F441&lt;&gt;"ASTM A416"),L441,0),3)</f>
        <v/>
      </c>
      <c r="Q441" s="20">
        <f>ROUND(Q440+IF(AND(E441=12,F441&lt;&gt;"ASTM A416"),L441,0),3)</f>
        <v/>
      </c>
      <c r="R441" s="20">
        <f>ROUND(R440+IF(AND(E441=14,F441&lt;&gt;"ASTM A416"),L441,0),3)</f>
        <v/>
      </c>
      <c r="S441" s="20">
        <f>ROUND(S440+IF(AND(E441=16,F441&lt;&gt;"ASTM A416"),L441,0),3)</f>
        <v/>
      </c>
      <c r="T441" s="20">
        <f>ROUND(T440+IF(AND(E441=18,F441&lt;&gt;"ASTM A416"),L441,0),3)</f>
        <v/>
      </c>
      <c r="U441" s="20">
        <f>ROUND(U440+IF(AND(E441=20,F441&lt;&gt;"ASTM A416"),L441,0),3)</f>
        <v/>
      </c>
      <c r="V441" s="20">
        <f>ROUND(V440+IF(AND(E441=22,F441&lt;&gt;"ASTM A416"),L441,0),3)</f>
        <v/>
      </c>
      <c r="W441" s="20">
        <f>ROUND(W440+IF(AND(E441=25,F441&lt;&gt;"ASTM A416"),L441,0),3)</f>
        <v/>
      </c>
      <c r="X441" s="20">
        <f>ROUND(X440+IF(AND(E441=28,F441&lt;&gt;"ASTM A416"),L441,0),3)</f>
        <v/>
      </c>
      <c r="Y441" s="20">
        <f>ROUND(Y440+IF(AND(E441=32,F441&lt;&gt;"ASTM A416"),L441,0),3)</f>
        <v/>
      </c>
      <c r="Z441" s="20">
        <f>ROUND(Z440+IF(F441="ASTM A416",L441,0),3)</f>
        <v/>
      </c>
      <c r="AA441" s="11">
        <f>IF(ROUNDUP(P441/20,0)&gt;ROUNDUP(P440/20,0),"Lần " &amp; ROUNDUP(P441/20,0),"")</f>
        <v/>
      </c>
      <c r="AB441" s="11">
        <f>IF(ROUNDUP(Q441/20,0)&gt;ROUNDUP(Q440/20,0),"Lần " &amp; ROUNDUP(Q441/20,0),"")</f>
        <v/>
      </c>
      <c r="AC441" s="11">
        <f>IF(ROUNDUP(R441/20,0)&gt;ROUNDUP(R440/20,0),"Lần " &amp; ROUNDUP(R441/20,0),"")</f>
        <v/>
      </c>
      <c r="AD441" s="11">
        <f>IF(ROUNDUP(S441/20,0)&gt;ROUNDUP(S440/20,0),"Lần " &amp; ROUNDUP(S441/20,0),"")</f>
        <v/>
      </c>
      <c r="AE441" s="11">
        <f>IF(ROUNDUP(T441/20,0)&gt;ROUNDUP(T440/20,0),"Lần " &amp; ROUNDUP(T441/20,0),"")</f>
        <v/>
      </c>
      <c r="AF441" s="11">
        <f>IF(ROUNDUP(U441/20,0)&gt;ROUNDUP(U440/20,0),"Lần " &amp; ROUNDUP(U441/20,0),"")</f>
        <v/>
      </c>
      <c r="AG441" s="11">
        <f>IF(ROUNDUP(V441/20,0)&gt;ROUNDUP(V440/20,0),"Lần " &amp; ROUNDUP(V441/20,0),"")</f>
        <v/>
      </c>
      <c r="AH441" s="11">
        <f>IF(ROUNDUP(W441/20,0)&gt;ROUNDUP(W440/20,0),"Lần " &amp; ROUNDUP(W441/20,0),"")</f>
        <v/>
      </c>
      <c r="AI441" s="11">
        <f>IF(ROUNDUP(X441/20,0)&gt;ROUNDUP(X440/20,0),"Lần " &amp; ROUNDUP(X441/20,0),"")</f>
        <v/>
      </c>
      <c r="AJ441" s="11">
        <f>IF(ROUNDUP(Y441/20,0)&gt;ROUNDUP(Y440/20,0),"Lần " &amp; ROUNDUP(Y441/20,0),"")</f>
        <v/>
      </c>
      <c r="AK441" s="11">
        <f>IF(ROUNDUP(Z441/20,0)&gt;ROUNDUP(Z440/20,0),"Lần " &amp; ROUNDUP(Z441/20,0),"")</f>
        <v/>
      </c>
      <c r="AL441" s="6" t="n"/>
      <c r="AN441" t="inlineStr">
        <is>
          <t>Coc</t>
        </is>
      </c>
      <c r="AO441" t="n">
        <v>6</v>
      </c>
    </row>
    <row r="442" ht="19" customHeight="1">
      <c r="A442" s="17" t="inlineStr">
        <is>
          <t>--- CỌC KHOAN NHỒI C1 TRỤ T1 (D1.2M, L=40.0M) ---</t>
        </is>
      </c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  <c r="AG442" s="35" t="n"/>
      <c r="AH442" s="35" t="n"/>
      <c r="AI442" s="35" t="n"/>
      <c r="AJ442" s="35" t="n"/>
      <c r="AK442" s="35" t="n"/>
      <c r="AL442" s="34" t="n"/>
    </row>
    <row r="443" ht="19" customHeight="1">
      <c r="A443" s="6" t="n">
        <v>423</v>
      </c>
      <c r="B443" s="7" t="inlineStr">
        <is>
          <t>Cọc khoan nhồi C1 Trụ T1 (D1.2m, L=40.0m)</t>
        </is>
      </c>
      <c r="C443" s="7" t="inlineStr">
        <is>
          <t>Cọc trụ T1 L=40m (tr.68)</t>
        </is>
      </c>
      <c r="D443" s="18" t="inlineStr">
        <is>
          <t>P1</t>
        </is>
      </c>
      <c r="E443" s="19" t="n">
        <v>10</v>
      </c>
      <c r="F443" s="6" t="inlineStr">
        <is>
          <t>CB240-T</t>
        </is>
      </c>
      <c r="G443" s="7" t="inlineStr"/>
      <c r="H443" s="20" t="n">
        <v>96.604</v>
      </c>
      <c r="I443" s="21" t="n">
        <v>1</v>
      </c>
      <c r="J443" s="22" t="n">
        <v>0.617</v>
      </c>
      <c r="K443" s="9">
        <f>ROUND(H443*I443*J443, 2)</f>
        <v/>
      </c>
      <c r="L443" s="23">
        <f>ROUND(K443/1000, 3)</f>
        <v/>
      </c>
      <c r="M443" s="8">
        <f>IF(AO443="","",IF(INDEX(Theo_Doi_Tan_Suat_Be_Tong!$C:$C,AO443)="","",INDEX(Theo_Doi_Tan_Suat_Be_Tong!$C:$C,AO443)-VLOOKUP(AN443,$AQ$2:$AR$7,2,FALSE)))</f>
        <v/>
      </c>
      <c r="N443" s="6" t="n"/>
      <c r="O443" s="24">
        <f>IF(ROUNDUP(P443/20,0)&gt;ROUNDUP(P441/20,0),"TN Ø10 (Lần " &amp; ROUNDUP(P443/20,0) &amp; ")","")</f>
        <v/>
      </c>
      <c r="P443" s="20">
        <f>ROUND(P441+IF(AND(E443&lt;=10,F443&lt;&gt;"ASTM A416"),L443,0),3)</f>
        <v/>
      </c>
      <c r="Q443" s="20">
        <f>ROUND(Q441+IF(AND(E443=12,F443&lt;&gt;"ASTM A416"),L443,0),3)</f>
        <v/>
      </c>
      <c r="R443" s="20">
        <f>ROUND(R441+IF(AND(E443=14,F443&lt;&gt;"ASTM A416"),L443,0),3)</f>
        <v/>
      </c>
      <c r="S443" s="20">
        <f>ROUND(S441+IF(AND(E443=16,F443&lt;&gt;"ASTM A416"),L443,0),3)</f>
        <v/>
      </c>
      <c r="T443" s="20">
        <f>ROUND(T441+IF(AND(E443=18,F443&lt;&gt;"ASTM A416"),L443,0),3)</f>
        <v/>
      </c>
      <c r="U443" s="20">
        <f>ROUND(U441+IF(AND(E443=20,F443&lt;&gt;"ASTM A416"),L443,0),3)</f>
        <v/>
      </c>
      <c r="V443" s="20">
        <f>ROUND(V441+IF(AND(E443=22,F443&lt;&gt;"ASTM A416"),L443,0),3)</f>
        <v/>
      </c>
      <c r="W443" s="20">
        <f>ROUND(W441+IF(AND(E443=25,F443&lt;&gt;"ASTM A416"),L443,0),3)</f>
        <v/>
      </c>
      <c r="X443" s="20">
        <f>ROUND(X441+IF(AND(E443=28,F443&lt;&gt;"ASTM A416"),L443,0),3)</f>
        <v/>
      </c>
      <c r="Y443" s="20">
        <f>ROUND(Y441+IF(AND(E443=32,F443&lt;&gt;"ASTM A416"),L443,0),3)</f>
        <v/>
      </c>
      <c r="Z443" s="20">
        <f>ROUND(Z441+IF(F443="ASTM A416",L443,0),3)</f>
        <v/>
      </c>
      <c r="AA443" s="11">
        <f>IF(ROUNDUP(P443/20,0)&gt;ROUNDUP(P441/20,0),"Lần " &amp; ROUNDUP(P443/20,0),"")</f>
        <v/>
      </c>
      <c r="AB443" s="11">
        <f>IF(ROUNDUP(Q443/20,0)&gt;ROUNDUP(Q441/20,0),"Lần " &amp; ROUNDUP(Q443/20,0),"")</f>
        <v/>
      </c>
      <c r="AC443" s="11">
        <f>IF(ROUNDUP(R443/20,0)&gt;ROUNDUP(R441/20,0),"Lần " &amp; ROUNDUP(R443/20,0),"")</f>
        <v/>
      </c>
      <c r="AD443" s="11">
        <f>IF(ROUNDUP(S443/20,0)&gt;ROUNDUP(S441/20,0),"Lần " &amp; ROUNDUP(S443/20,0),"")</f>
        <v/>
      </c>
      <c r="AE443" s="11">
        <f>IF(ROUNDUP(T443/20,0)&gt;ROUNDUP(T441/20,0),"Lần " &amp; ROUNDUP(T443/20,0),"")</f>
        <v/>
      </c>
      <c r="AF443" s="11">
        <f>IF(ROUNDUP(U443/20,0)&gt;ROUNDUP(U441/20,0),"Lần " &amp; ROUNDUP(U443/20,0),"")</f>
        <v/>
      </c>
      <c r="AG443" s="11">
        <f>IF(ROUNDUP(V443/20,0)&gt;ROUNDUP(V441/20,0),"Lần " &amp; ROUNDUP(V443/20,0),"")</f>
        <v/>
      </c>
      <c r="AH443" s="11">
        <f>IF(ROUNDUP(W443/20,0)&gt;ROUNDUP(W441/20,0),"Lần " &amp; ROUNDUP(W443/20,0),"")</f>
        <v/>
      </c>
      <c r="AI443" s="11">
        <f>IF(ROUNDUP(X443/20,0)&gt;ROUNDUP(X441/20,0),"Lần " &amp; ROUNDUP(X443/20,0),"")</f>
        <v/>
      </c>
      <c r="AJ443" s="11">
        <f>IF(ROUNDUP(Y443/20,0)&gt;ROUNDUP(Y441/20,0),"Lần " &amp; ROUNDUP(Y443/20,0),"")</f>
        <v/>
      </c>
      <c r="AK443" s="11">
        <f>IF(ROUNDUP(Z443/20,0)&gt;ROUNDUP(Z441/20,0),"Lần " &amp; ROUNDUP(Z443/20,0),"")</f>
        <v/>
      </c>
      <c r="AL443" s="6" t="n"/>
      <c r="AN443" t="inlineStr">
        <is>
          <t>Coc</t>
        </is>
      </c>
      <c r="AO443" t="n">
        <v>7</v>
      </c>
    </row>
    <row r="444" ht="19" customHeight="1">
      <c r="A444" s="6" t="n">
        <v>424</v>
      </c>
      <c r="B444" s="7" t="inlineStr">
        <is>
          <t>Cọc khoan nhồi C1 Trụ T1 (D1.2m, L=40.0m)</t>
        </is>
      </c>
      <c r="C444" s="7" t="inlineStr">
        <is>
          <t>Cọc trụ T1 L=40m (tr.68)</t>
        </is>
      </c>
      <c r="D444" s="18" t="inlineStr">
        <is>
          <t>P1A</t>
        </is>
      </c>
      <c r="E444" s="19" t="n">
        <v>10</v>
      </c>
      <c r="F444" s="6" t="inlineStr">
        <is>
          <t>CB240-T</t>
        </is>
      </c>
      <c r="G444" s="7" t="inlineStr"/>
      <c r="H444" s="20" t="n">
        <v>389.636</v>
      </c>
      <c r="I444" s="21" t="n">
        <v>1</v>
      </c>
      <c r="J444" s="22" t="n">
        <v>0.617</v>
      </c>
      <c r="K444" s="9">
        <f>ROUND(H444*I444*J444, 2)</f>
        <v/>
      </c>
      <c r="L444" s="23">
        <f>ROUND(K444/1000, 3)</f>
        <v/>
      </c>
      <c r="M444" s="8">
        <f>IF(AO444="","",IF(INDEX(Theo_Doi_Tan_Suat_Be_Tong!$C:$C,AO444)="","",INDEX(Theo_Doi_Tan_Suat_Be_Tong!$C:$C,AO444)-VLOOKUP(AN444,$AQ$2:$AR$7,2,FALSE)))</f>
        <v/>
      </c>
      <c r="N444" s="6" t="n"/>
      <c r="O444" s="24">
        <f>IF(ROUNDUP(P444/20,0)&gt;ROUNDUP(P443/20,0),"TN Ø10 (Lần " &amp; ROUNDUP(P444/20,0) &amp; ")","")</f>
        <v/>
      </c>
      <c r="P444" s="20">
        <f>ROUND(P443+IF(AND(E444&lt;=10,F444&lt;&gt;"ASTM A416"),L444,0),3)</f>
        <v/>
      </c>
      <c r="Q444" s="20">
        <f>ROUND(Q443+IF(AND(E444=12,F444&lt;&gt;"ASTM A416"),L444,0),3)</f>
        <v/>
      </c>
      <c r="R444" s="20">
        <f>ROUND(R443+IF(AND(E444=14,F444&lt;&gt;"ASTM A416"),L444,0),3)</f>
        <v/>
      </c>
      <c r="S444" s="20">
        <f>ROUND(S443+IF(AND(E444=16,F444&lt;&gt;"ASTM A416"),L444,0),3)</f>
        <v/>
      </c>
      <c r="T444" s="20">
        <f>ROUND(T443+IF(AND(E444=18,F444&lt;&gt;"ASTM A416"),L444,0),3)</f>
        <v/>
      </c>
      <c r="U444" s="20">
        <f>ROUND(U443+IF(AND(E444=20,F444&lt;&gt;"ASTM A416"),L444,0),3)</f>
        <v/>
      </c>
      <c r="V444" s="20">
        <f>ROUND(V443+IF(AND(E444=22,F444&lt;&gt;"ASTM A416"),L444,0),3)</f>
        <v/>
      </c>
      <c r="W444" s="20">
        <f>ROUND(W443+IF(AND(E444=25,F444&lt;&gt;"ASTM A416"),L444,0),3)</f>
        <v/>
      </c>
      <c r="X444" s="20">
        <f>ROUND(X443+IF(AND(E444=28,F444&lt;&gt;"ASTM A416"),L444,0),3)</f>
        <v/>
      </c>
      <c r="Y444" s="20">
        <f>ROUND(Y443+IF(AND(E444=32,F444&lt;&gt;"ASTM A416"),L444,0),3)</f>
        <v/>
      </c>
      <c r="Z444" s="20">
        <f>ROUND(Z443+IF(F444="ASTM A416",L444,0),3)</f>
        <v/>
      </c>
      <c r="AA444" s="11">
        <f>IF(ROUNDUP(P444/20,0)&gt;ROUNDUP(P443/20,0),"Lần " &amp; ROUNDUP(P444/20,0),"")</f>
        <v/>
      </c>
      <c r="AB444" s="11">
        <f>IF(ROUNDUP(Q444/20,0)&gt;ROUNDUP(Q443/20,0),"Lần " &amp; ROUNDUP(Q444/20,0),"")</f>
        <v/>
      </c>
      <c r="AC444" s="11">
        <f>IF(ROUNDUP(R444/20,0)&gt;ROUNDUP(R443/20,0),"Lần " &amp; ROUNDUP(R444/20,0),"")</f>
        <v/>
      </c>
      <c r="AD444" s="11">
        <f>IF(ROUNDUP(S444/20,0)&gt;ROUNDUP(S443/20,0),"Lần " &amp; ROUNDUP(S444/20,0),"")</f>
        <v/>
      </c>
      <c r="AE444" s="11">
        <f>IF(ROUNDUP(T444/20,0)&gt;ROUNDUP(T443/20,0),"Lần " &amp; ROUNDUP(T444/20,0),"")</f>
        <v/>
      </c>
      <c r="AF444" s="11">
        <f>IF(ROUNDUP(U444/20,0)&gt;ROUNDUP(U443/20,0),"Lần " &amp; ROUNDUP(U444/20,0),"")</f>
        <v/>
      </c>
      <c r="AG444" s="11">
        <f>IF(ROUNDUP(V444/20,0)&gt;ROUNDUP(V443/20,0),"Lần " &amp; ROUNDUP(V444/20,0),"")</f>
        <v/>
      </c>
      <c r="AH444" s="11">
        <f>IF(ROUNDUP(W444/20,0)&gt;ROUNDUP(W443/20,0),"Lần " &amp; ROUNDUP(W444/20,0),"")</f>
        <v/>
      </c>
      <c r="AI444" s="11">
        <f>IF(ROUNDUP(X444/20,0)&gt;ROUNDUP(X443/20,0),"Lần " &amp; ROUNDUP(X444/20,0),"")</f>
        <v/>
      </c>
      <c r="AJ444" s="11">
        <f>IF(ROUNDUP(Y444/20,0)&gt;ROUNDUP(Y443/20,0),"Lần " &amp; ROUNDUP(Y444/20,0),"")</f>
        <v/>
      </c>
      <c r="AK444" s="11">
        <f>IF(ROUNDUP(Z444/20,0)&gt;ROUNDUP(Z443/20,0),"Lần " &amp; ROUNDUP(Z444/20,0),"")</f>
        <v/>
      </c>
      <c r="AL444" s="6" t="n"/>
      <c r="AN444" t="inlineStr">
        <is>
          <t>Coc</t>
        </is>
      </c>
      <c r="AO444" t="n">
        <v>7</v>
      </c>
    </row>
    <row r="445" ht="19" customHeight="1">
      <c r="A445" s="6" t="n">
        <v>425</v>
      </c>
      <c r="B445" s="7" t="inlineStr">
        <is>
          <t>Cọc khoan nhồi C1 Trụ T1 (D1.2m, L=40.0m)</t>
        </is>
      </c>
      <c r="C445" s="7" t="inlineStr">
        <is>
          <t>Cọc trụ T1 L=40m (tr.68)</t>
        </is>
      </c>
      <c r="D445" s="18" t="inlineStr">
        <is>
          <t>P1B</t>
        </is>
      </c>
      <c r="E445" s="19" t="n">
        <v>10</v>
      </c>
      <c r="F445" s="6" t="inlineStr">
        <is>
          <t>CB240-T</t>
        </is>
      </c>
      <c r="G445" s="7" t="inlineStr"/>
      <c r="H445" s="20" t="n">
        <v>206.981</v>
      </c>
      <c r="I445" s="21" t="n">
        <v>1</v>
      </c>
      <c r="J445" s="22" t="n">
        <v>0.617</v>
      </c>
      <c r="K445" s="9">
        <f>ROUND(H445*I445*J445, 2)</f>
        <v/>
      </c>
      <c r="L445" s="23">
        <f>ROUND(K445/1000, 3)</f>
        <v/>
      </c>
      <c r="M445" s="8">
        <f>IF(AO445="","",IF(INDEX(Theo_Doi_Tan_Suat_Be_Tong!$C:$C,AO445)="","",INDEX(Theo_Doi_Tan_Suat_Be_Tong!$C:$C,AO445)-VLOOKUP(AN445,$AQ$2:$AR$7,2,FALSE)))</f>
        <v/>
      </c>
      <c r="N445" s="6" t="n"/>
      <c r="O445" s="24">
        <f>IF(ROUNDUP(P445/20,0)&gt;ROUNDUP(P444/20,0),"TN Ø10 (Lần " &amp; ROUNDUP(P445/20,0) &amp; ")","")</f>
        <v/>
      </c>
      <c r="P445" s="20">
        <f>ROUND(P444+IF(AND(E445&lt;=10,F445&lt;&gt;"ASTM A416"),L445,0),3)</f>
        <v/>
      </c>
      <c r="Q445" s="20">
        <f>ROUND(Q444+IF(AND(E445=12,F445&lt;&gt;"ASTM A416"),L445,0),3)</f>
        <v/>
      </c>
      <c r="R445" s="20">
        <f>ROUND(R444+IF(AND(E445=14,F445&lt;&gt;"ASTM A416"),L445,0),3)</f>
        <v/>
      </c>
      <c r="S445" s="20">
        <f>ROUND(S444+IF(AND(E445=16,F445&lt;&gt;"ASTM A416"),L445,0),3)</f>
        <v/>
      </c>
      <c r="T445" s="20">
        <f>ROUND(T444+IF(AND(E445=18,F445&lt;&gt;"ASTM A416"),L445,0),3)</f>
        <v/>
      </c>
      <c r="U445" s="20">
        <f>ROUND(U444+IF(AND(E445=20,F445&lt;&gt;"ASTM A416"),L445,0),3)</f>
        <v/>
      </c>
      <c r="V445" s="20">
        <f>ROUND(V444+IF(AND(E445=22,F445&lt;&gt;"ASTM A416"),L445,0),3)</f>
        <v/>
      </c>
      <c r="W445" s="20">
        <f>ROUND(W444+IF(AND(E445=25,F445&lt;&gt;"ASTM A416"),L445,0),3)</f>
        <v/>
      </c>
      <c r="X445" s="20">
        <f>ROUND(X444+IF(AND(E445=28,F445&lt;&gt;"ASTM A416"),L445,0),3)</f>
        <v/>
      </c>
      <c r="Y445" s="20">
        <f>ROUND(Y444+IF(AND(E445=32,F445&lt;&gt;"ASTM A416"),L445,0),3)</f>
        <v/>
      </c>
      <c r="Z445" s="20">
        <f>ROUND(Z444+IF(F445="ASTM A416",L445,0),3)</f>
        <v/>
      </c>
      <c r="AA445" s="11">
        <f>IF(ROUNDUP(P445/20,0)&gt;ROUNDUP(P444/20,0),"Lần " &amp; ROUNDUP(P445/20,0),"")</f>
        <v/>
      </c>
      <c r="AB445" s="11">
        <f>IF(ROUNDUP(Q445/20,0)&gt;ROUNDUP(Q444/20,0),"Lần " &amp; ROUNDUP(Q445/20,0),"")</f>
        <v/>
      </c>
      <c r="AC445" s="11">
        <f>IF(ROUNDUP(R445/20,0)&gt;ROUNDUP(R444/20,0),"Lần " &amp; ROUNDUP(R445/20,0),"")</f>
        <v/>
      </c>
      <c r="AD445" s="11">
        <f>IF(ROUNDUP(S445/20,0)&gt;ROUNDUP(S444/20,0),"Lần " &amp; ROUNDUP(S445/20,0),"")</f>
        <v/>
      </c>
      <c r="AE445" s="11">
        <f>IF(ROUNDUP(T445/20,0)&gt;ROUNDUP(T444/20,0),"Lần " &amp; ROUNDUP(T445/20,0),"")</f>
        <v/>
      </c>
      <c r="AF445" s="11">
        <f>IF(ROUNDUP(U445/20,0)&gt;ROUNDUP(U444/20,0),"Lần " &amp; ROUNDUP(U445/20,0),"")</f>
        <v/>
      </c>
      <c r="AG445" s="11">
        <f>IF(ROUNDUP(V445/20,0)&gt;ROUNDUP(V444/20,0),"Lần " &amp; ROUNDUP(V445/20,0),"")</f>
        <v/>
      </c>
      <c r="AH445" s="11">
        <f>IF(ROUNDUP(W445/20,0)&gt;ROUNDUP(W444/20,0),"Lần " &amp; ROUNDUP(W445/20,0),"")</f>
        <v/>
      </c>
      <c r="AI445" s="11">
        <f>IF(ROUNDUP(X445/20,0)&gt;ROUNDUP(X444/20,0),"Lần " &amp; ROUNDUP(X445/20,0),"")</f>
        <v/>
      </c>
      <c r="AJ445" s="11">
        <f>IF(ROUNDUP(Y445/20,0)&gt;ROUNDUP(Y444/20,0),"Lần " &amp; ROUNDUP(Y445/20,0),"")</f>
        <v/>
      </c>
      <c r="AK445" s="11">
        <f>IF(ROUNDUP(Z445/20,0)&gt;ROUNDUP(Z444/20,0),"Lần " &amp; ROUNDUP(Z445/20,0),"")</f>
        <v/>
      </c>
      <c r="AL445" s="6" t="n"/>
      <c r="AN445" t="inlineStr">
        <is>
          <t>Coc</t>
        </is>
      </c>
      <c r="AO445" t="n">
        <v>7</v>
      </c>
    </row>
    <row r="446" ht="19" customHeight="1">
      <c r="A446" s="6" t="n">
        <v>426</v>
      </c>
      <c r="B446" s="7" t="inlineStr">
        <is>
          <t>Cọc khoan nhồi C1 Trụ T1 (D1.2m, L=40.0m)</t>
        </is>
      </c>
      <c r="C446" s="7" t="inlineStr">
        <is>
          <t>Cọc trụ T1 L=40m (tr.68)</t>
        </is>
      </c>
      <c r="D446" s="18" t="inlineStr">
        <is>
          <t>P1C</t>
        </is>
      </c>
      <c r="E446" s="19" t="n">
        <v>10</v>
      </c>
      <c r="F446" s="6" t="inlineStr">
        <is>
          <t>CB240-T</t>
        </is>
      </c>
      <c r="G446" s="7" t="inlineStr"/>
      <c r="H446" s="20" t="n">
        <v>3.592</v>
      </c>
      <c r="I446" s="21" t="n">
        <v>2</v>
      </c>
      <c r="J446" s="22" t="n">
        <v>0.617</v>
      </c>
      <c r="K446" s="9">
        <f>ROUND(H446*I446*J446, 2)</f>
        <v/>
      </c>
      <c r="L446" s="23">
        <f>ROUND(K446/1000, 3)</f>
        <v/>
      </c>
      <c r="M446" s="8">
        <f>IF(AO446="","",IF(INDEX(Theo_Doi_Tan_Suat_Be_Tong!$C:$C,AO446)="","",INDEX(Theo_Doi_Tan_Suat_Be_Tong!$C:$C,AO446)-VLOOKUP(AN446,$AQ$2:$AR$7,2,FALSE)))</f>
        <v/>
      </c>
      <c r="N446" s="6" t="n"/>
      <c r="O446" s="24">
        <f>IF(ROUNDUP(P446/20,0)&gt;ROUNDUP(P445/20,0),"TN Ø10 (Lần " &amp; ROUNDUP(P446/20,0) &amp; ")","")</f>
        <v/>
      </c>
      <c r="P446" s="20">
        <f>ROUND(P445+IF(AND(E446&lt;=10,F446&lt;&gt;"ASTM A416"),L446,0),3)</f>
        <v/>
      </c>
      <c r="Q446" s="20">
        <f>ROUND(Q445+IF(AND(E446=12,F446&lt;&gt;"ASTM A416"),L446,0),3)</f>
        <v/>
      </c>
      <c r="R446" s="20">
        <f>ROUND(R445+IF(AND(E446=14,F446&lt;&gt;"ASTM A416"),L446,0),3)</f>
        <v/>
      </c>
      <c r="S446" s="20">
        <f>ROUND(S445+IF(AND(E446=16,F446&lt;&gt;"ASTM A416"),L446,0),3)</f>
        <v/>
      </c>
      <c r="T446" s="20">
        <f>ROUND(T445+IF(AND(E446=18,F446&lt;&gt;"ASTM A416"),L446,0),3)</f>
        <v/>
      </c>
      <c r="U446" s="20">
        <f>ROUND(U445+IF(AND(E446=20,F446&lt;&gt;"ASTM A416"),L446,0),3)</f>
        <v/>
      </c>
      <c r="V446" s="20">
        <f>ROUND(V445+IF(AND(E446=22,F446&lt;&gt;"ASTM A416"),L446,0),3)</f>
        <v/>
      </c>
      <c r="W446" s="20">
        <f>ROUND(W445+IF(AND(E446=25,F446&lt;&gt;"ASTM A416"),L446,0),3)</f>
        <v/>
      </c>
      <c r="X446" s="20">
        <f>ROUND(X445+IF(AND(E446=28,F446&lt;&gt;"ASTM A416"),L446,0),3)</f>
        <v/>
      </c>
      <c r="Y446" s="20">
        <f>ROUND(Y445+IF(AND(E446=32,F446&lt;&gt;"ASTM A416"),L446,0),3)</f>
        <v/>
      </c>
      <c r="Z446" s="20">
        <f>ROUND(Z445+IF(F446="ASTM A416",L446,0),3)</f>
        <v/>
      </c>
      <c r="AA446" s="11">
        <f>IF(ROUNDUP(P446/20,0)&gt;ROUNDUP(P445/20,0),"Lần " &amp; ROUNDUP(P446/20,0),"")</f>
        <v/>
      </c>
      <c r="AB446" s="11">
        <f>IF(ROUNDUP(Q446/20,0)&gt;ROUNDUP(Q445/20,0),"Lần " &amp; ROUNDUP(Q446/20,0),"")</f>
        <v/>
      </c>
      <c r="AC446" s="11">
        <f>IF(ROUNDUP(R446/20,0)&gt;ROUNDUP(R445/20,0),"Lần " &amp; ROUNDUP(R446/20,0),"")</f>
        <v/>
      </c>
      <c r="AD446" s="11">
        <f>IF(ROUNDUP(S446/20,0)&gt;ROUNDUP(S445/20,0),"Lần " &amp; ROUNDUP(S446/20,0),"")</f>
        <v/>
      </c>
      <c r="AE446" s="11">
        <f>IF(ROUNDUP(T446/20,0)&gt;ROUNDUP(T445/20,0),"Lần " &amp; ROUNDUP(T446/20,0),"")</f>
        <v/>
      </c>
      <c r="AF446" s="11">
        <f>IF(ROUNDUP(U446/20,0)&gt;ROUNDUP(U445/20,0),"Lần " &amp; ROUNDUP(U446/20,0),"")</f>
        <v/>
      </c>
      <c r="AG446" s="11">
        <f>IF(ROUNDUP(V446/20,0)&gt;ROUNDUP(V445/20,0),"Lần " &amp; ROUNDUP(V446/20,0),"")</f>
        <v/>
      </c>
      <c r="AH446" s="11">
        <f>IF(ROUNDUP(W446/20,0)&gt;ROUNDUP(W445/20,0),"Lần " &amp; ROUNDUP(W446/20,0),"")</f>
        <v/>
      </c>
      <c r="AI446" s="11">
        <f>IF(ROUNDUP(X446/20,0)&gt;ROUNDUP(X445/20,0),"Lần " &amp; ROUNDUP(X446/20,0),"")</f>
        <v/>
      </c>
      <c r="AJ446" s="11">
        <f>IF(ROUNDUP(Y446/20,0)&gt;ROUNDUP(Y445/20,0),"Lần " &amp; ROUNDUP(Y446/20,0),"")</f>
        <v/>
      </c>
      <c r="AK446" s="11">
        <f>IF(ROUNDUP(Z446/20,0)&gt;ROUNDUP(Z445/20,0),"Lần " &amp; ROUNDUP(Z446/20,0),"")</f>
        <v/>
      </c>
      <c r="AL446" s="6" t="n"/>
      <c r="AN446" t="inlineStr">
        <is>
          <t>Coc</t>
        </is>
      </c>
      <c r="AO446" t="n">
        <v>7</v>
      </c>
    </row>
    <row r="447" ht="19" customHeight="1">
      <c r="A447" s="6" t="n">
        <v>427</v>
      </c>
      <c r="B447" s="7" t="inlineStr">
        <is>
          <t>Cọc khoan nhồi C1 Trụ T1 (D1.2m, L=40.0m)</t>
        </is>
      </c>
      <c r="C447" s="7" t="inlineStr">
        <is>
          <t>Cọc trụ T1 L=40m (tr.68)</t>
        </is>
      </c>
      <c r="D447" s="18" t="inlineStr">
        <is>
          <t>P1D</t>
        </is>
      </c>
      <c r="E447" s="19" t="n">
        <v>10</v>
      </c>
      <c r="F447" s="6" t="inlineStr">
        <is>
          <t>CB240-T</t>
        </is>
      </c>
      <c r="G447" s="7" t="inlineStr"/>
      <c r="H447" s="20" t="n">
        <v>19.721</v>
      </c>
      <c r="I447" s="21" t="n">
        <v>1</v>
      </c>
      <c r="J447" s="22" t="n">
        <v>0.617</v>
      </c>
      <c r="K447" s="9">
        <f>ROUND(H447*I447*J447, 2)</f>
        <v/>
      </c>
      <c r="L447" s="23">
        <f>ROUND(K447/1000, 3)</f>
        <v/>
      </c>
      <c r="M447" s="8">
        <f>IF(AO447="","",IF(INDEX(Theo_Doi_Tan_Suat_Be_Tong!$C:$C,AO447)="","",INDEX(Theo_Doi_Tan_Suat_Be_Tong!$C:$C,AO447)-VLOOKUP(AN447,$AQ$2:$AR$7,2,FALSE)))</f>
        <v/>
      </c>
      <c r="N447" s="6" t="n"/>
      <c r="O447" s="24">
        <f>IF(ROUNDUP(P447/20,0)&gt;ROUNDUP(P446/20,0),"TN Ø10 (Lần " &amp; ROUNDUP(P447/20,0) &amp; ")","")</f>
        <v/>
      </c>
      <c r="P447" s="20">
        <f>ROUND(P446+IF(AND(E447&lt;=10,F447&lt;&gt;"ASTM A416"),L447,0),3)</f>
        <v/>
      </c>
      <c r="Q447" s="20">
        <f>ROUND(Q446+IF(AND(E447=12,F447&lt;&gt;"ASTM A416"),L447,0),3)</f>
        <v/>
      </c>
      <c r="R447" s="20">
        <f>ROUND(R446+IF(AND(E447=14,F447&lt;&gt;"ASTM A416"),L447,0),3)</f>
        <v/>
      </c>
      <c r="S447" s="20">
        <f>ROUND(S446+IF(AND(E447=16,F447&lt;&gt;"ASTM A416"),L447,0),3)</f>
        <v/>
      </c>
      <c r="T447" s="20">
        <f>ROUND(T446+IF(AND(E447=18,F447&lt;&gt;"ASTM A416"),L447,0),3)</f>
        <v/>
      </c>
      <c r="U447" s="20">
        <f>ROUND(U446+IF(AND(E447=20,F447&lt;&gt;"ASTM A416"),L447,0),3)</f>
        <v/>
      </c>
      <c r="V447" s="20">
        <f>ROUND(V446+IF(AND(E447=22,F447&lt;&gt;"ASTM A416"),L447,0),3)</f>
        <v/>
      </c>
      <c r="W447" s="20">
        <f>ROUND(W446+IF(AND(E447=25,F447&lt;&gt;"ASTM A416"),L447,0),3)</f>
        <v/>
      </c>
      <c r="X447" s="20">
        <f>ROUND(X446+IF(AND(E447=28,F447&lt;&gt;"ASTM A416"),L447,0),3)</f>
        <v/>
      </c>
      <c r="Y447" s="20">
        <f>ROUND(Y446+IF(AND(E447=32,F447&lt;&gt;"ASTM A416"),L447,0),3)</f>
        <v/>
      </c>
      <c r="Z447" s="20">
        <f>ROUND(Z446+IF(F447="ASTM A416",L447,0),3)</f>
        <v/>
      </c>
      <c r="AA447" s="11">
        <f>IF(ROUNDUP(P447/20,0)&gt;ROUNDUP(P446/20,0),"Lần " &amp; ROUNDUP(P447/20,0),"")</f>
        <v/>
      </c>
      <c r="AB447" s="11">
        <f>IF(ROUNDUP(Q447/20,0)&gt;ROUNDUP(Q446/20,0),"Lần " &amp; ROUNDUP(Q447/20,0),"")</f>
        <v/>
      </c>
      <c r="AC447" s="11">
        <f>IF(ROUNDUP(R447/20,0)&gt;ROUNDUP(R446/20,0),"Lần " &amp; ROUNDUP(R447/20,0),"")</f>
        <v/>
      </c>
      <c r="AD447" s="11">
        <f>IF(ROUNDUP(S447/20,0)&gt;ROUNDUP(S446/20,0),"Lần " &amp; ROUNDUP(S447/20,0),"")</f>
        <v/>
      </c>
      <c r="AE447" s="11">
        <f>IF(ROUNDUP(T447/20,0)&gt;ROUNDUP(T446/20,0),"Lần " &amp; ROUNDUP(T447/20,0),"")</f>
        <v/>
      </c>
      <c r="AF447" s="11">
        <f>IF(ROUNDUP(U447/20,0)&gt;ROUNDUP(U446/20,0),"Lần " &amp; ROUNDUP(U447/20,0),"")</f>
        <v/>
      </c>
      <c r="AG447" s="11">
        <f>IF(ROUNDUP(V447/20,0)&gt;ROUNDUP(V446/20,0),"Lần " &amp; ROUNDUP(V447/20,0),"")</f>
        <v/>
      </c>
      <c r="AH447" s="11">
        <f>IF(ROUNDUP(W447/20,0)&gt;ROUNDUP(W446/20,0),"Lần " &amp; ROUNDUP(W447/20,0),"")</f>
        <v/>
      </c>
      <c r="AI447" s="11">
        <f>IF(ROUNDUP(X447/20,0)&gt;ROUNDUP(X446/20,0),"Lần " &amp; ROUNDUP(X447/20,0),"")</f>
        <v/>
      </c>
      <c r="AJ447" s="11">
        <f>IF(ROUNDUP(Y447/20,0)&gt;ROUNDUP(Y446/20,0),"Lần " &amp; ROUNDUP(Y447/20,0),"")</f>
        <v/>
      </c>
      <c r="AK447" s="11">
        <f>IF(ROUNDUP(Z447/20,0)&gt;ROUNDUP(Z446/20,0),"Lần " &amp; ROUNDUP(Z447/20,0),"")</f>
        <v/>
      </c>
      <c r="AL447" s="6" t="n"/>
      <c r="AN447" t="inlineStr">
        <is>
          <t>Coc</t>
        </is>
      </c>
      <c r="AO447" t="n">
        <v>7</v>
      </c>
    </row>
    <row r="448" ht="19" customHeight="1">
      <c r="A448" s="6" t="n">
        <v>428</v>
      </c>
      <c r="B448" s="7" t="inlineStr">
        <is>
          <t>Cọc khoan nhồi C1 Trụ T1 (D1.2m, L=40.0m)</t>
        </is>
      </c>
      <c r="C448" s="7" t="inlineStr">
        <is>
          <t>Cọc trụ T1 L=40m (tr.68)</t>
        </is>
      </c>
      <c r="D448" s="18" t="inlineStr">
        <is>
          <t>P2B</t>
        </is>
      </c>
      <c r="E448" s="19" t="n">
        <v>25</v>
      </c>
      <c r="F448" s="6" t="inlineStr">
        <is>
          <t>CB400-V</t>
        </is>
      </c>
      <c r="G448" s="7" t="inlineStr"/>
      <c r="H448" s="20" t="n">
        <v>2.985</v>
      </c>
      <c r="I448" s="21" t="n">
        <v>16</v>
      </c>
      <c r="J448" s="22" t="n">
        <v>3.853</v>
      </c>
      <c r="K448" s="9">
        <f>ROUND(H448*I448*J448, 2)</f>
        <v/>
      </c>
      <c r="L448" s="23">
        <f>ROUND(K448/1000, 3)</f>
        <v/>
      </c>
      <c r="M448" s="8">
        <f>IF(AO448="","",IF(INDEX(Theo_Doi_Tan_Suat_Be_Tong!$C:$C,AO448)="","",INDEX(Theo_Doi_Tan_Suat_Be_Tong!$C:$C,AO448)-VLOOKUP(AN448,$AQ$2:$AR$7,2,FALSE)))</f>
        <v/>
      </c>
      <c r="N448" s="6" t="n"/>
      <c r="O448" s="24">
        <f>IF(ROUNDUP(W448/20,0)&gt;ROUNDUP(W447/20,0),"TN Ø25 (Lần " &amp; ROUNDUP(W448/20,0) &amp; ")","")</f>
        <v/>
      </c>
      <c r="P448" s="20">
        <f>ROUND(P447+IF(AND(E448&lt;=10,F448&lt;&gt;"ASTM A416"),L448,0),3)</f>
        <v/>
      </c>
      <c r="Q448" s="20">
        <f>ROUND(Q447+IF(AND(E448=12,F448&lt;&gt;"ASTM A416"),L448,0),3)</f>
        <v/>
      </c>
      <c r="R448" s="20">
        <f>ROUND(R447+IF(AND(E448=14,F448&lt;&gt;"ASTM A416"),L448,0),3)</f>
        <v/>
      </c>
      <c r="S448" s="20">
        <f>ROUND(S447+IF(AND(E448=16,F448&lt;&gt;"ASTM A416"),L448,0),3)</f>
        <v/>
      </c>
      <c r="T448" s="20">
        <f>ROUND(T447+IF(AND(E448=18,F448&lt;&gt;"ASTM A416"),L448,0),3)</f>
        <v/>
      </c>
      <c r="U448" s="20">
        <f>ROUND(U447+IF(AND(E448=20,F448&lt;&gt;"ASTM A416"),L448,0),3)</f>
        <v/>
      </c>
      <c r="V448" s="20">
        <f>ROUND(V447+IF(AND(E448=22,F448&lt;&gt;"ASTM A416"),L448,0),3)</f>
        <v/>
      </c>
      <c r="W448" s="20">
        <f>ROUND(W447+IF(AND(E448=25,F448&lt;&gt;"ASTM A416"),L448,0),3)</f>
        <v/>
      </c>
      <c r="X448" s="20">
        <f>ROUND(X447+IF(AND(E448=28,F448&lt;&gt;"ASTM A416"),L448,0),3)</f>
        <v/>
      </c>
      <c r="Y448" s="20">
        <f>ROUND(Y447+IF(AND(E448=32,F448&lt;&gt;"ASTM A416"),L448,0),3)</f>
        <v/>
      </c>
      <c r="Z448" s="20">
        <f>ROUND(Z447+IF(F448="ASTM A416",L448,0),3)</f>
        <v/>
      </c>
      <c r="AA448" s="11">
        <f>IF(ROUNDUP(P448/20,0)&gt;ROUNDUP(P447/20,0),"Lần " &amp; ROUNDUP(P448/20,0),"")</f>
        <v/>
      </c>
      <c r="AB448" s="11">
        <f>IF(ROUNDUP(Q448/20,0)&gt;ROUNDUP(Q447/20,0),"Lần " &amp; ROUNDUP(Q448/20,0),"")</f>
        <v/>
      </c>
      <c r="AC448" s="11">
        <f>IF(ROUNDUP(R448/20,0)&gt;ROUNDUP(R447/20,0),"Lần " &amp; ROUNDUP(R448/20,0),"")</f>
        <v/>
      </c>
      <c r="AD448" s="11">
        <f>IF(ROUNDUP(S448/20,0)&gt;ROUNDUP(S447/20,0),"Lần " &amp; ROUNDUP(S448/20,0),"")</f>
        <v/>
      </c>
      <c r="AE448" s="11">
        <f>IF(ROUNDUP(T448/20,0)&gt;ROUNDUP(T447/20,0),"Lần " &amp; ROUNDUP(T448/20,0),"")</f>
        <v/>
      </c>
      <c r="AF448" s="11">
        <f>IF(ROUNDUP(U448/20,0)&gt;ROUNDUP(U447/20,0),"Lần " &amp; ROUNDUP(U448/20,0),"")</f>
        <v/>
      </c>
      <c r="AG448" s="11">
        <f>IF(ROUNDUP(V448/20,0)&gt;ROUNDUP(V447/20,0),"Lần " &amp; ROUNDUP(V448/20,0),"")</f>
        <v/>
      </c>
      <c r="AH448" s="11">
        <f>IF(ROUNDUP(W448/20,0)&gt;ROUNDUP(W447/20,0),"Lần " &amp; ROUNDUP(W448/20,0),"")</f>
        <v/>
      </c>
      <c r="AI448" s="11">
        <f>IF(ROUNDUP(X448/20,0)&gt;ROUNDUP(X447/20,0),"Lần " &amp; ROUNDUP(X448/20,0),"")</f>
        <v/>
      </c>
      <c r="AJ448" s="11">
        <f>IF(ROUNDUP(Y448/20,0)&gt;ROUNDUP(Y447/20,0),"Lần " &amp; ROUNDUP(Y448/20,0),"")</f>
        <v/>
      </c>
      <c r="AK448" s="11">
        <f>IF(ROUNDUP(Z448/20,0)&gt;ROUNDUP(Z447/20,0),"Lần " &amp; ROUNDUP(Z448/20,0),"")</f>
        <v/>
      </c>
      <c r="AL448" s="6" t="n"/>
      <c r="AN448" t="inlineStr">
        <is>
          <t>Coc</t>
        </is>
      </c>
      <c r="AO448" t="n">
        <v>7</v>
      </c>
    </row>
    <row r="449" ht="19" customHeight="1">
      <c r="A449" s="6" t="n">
        <v>429</v>
      </c>
      <c r="B449" s="7" t="inlineStr">
        <is>
          <t>Cọc khoan nhồi C1 Trụ T1 (D1.2m, L=40.0m)</t>
        </is>
      </c>
      <c r="C449" s="7" t="inlineStr">
        <is>
          <t>Cọc trụ T1 L=40m (tr.68)</t>
        </is>
      </c>
      <c r="D449" s="18" t="inlineStr">
        <is>
          <t>P3</t>
        </is>
      </c>
      <c r="E449" s="19" t="n">
        <v>25</v>
      </c>
      <c r="F449" s="6" t="inlineStr">
        <is>
          <t>CB400-V</t>
        </is>
      </c>
      <c r="G449" s="7" t="inlineStr"/>
      <c r="H449" s="20" t="n">
        <v>10.7</v>
      </c>
      <c r="I449" s="21" t="n">
        <v>12</v>
      </c>
      <c r="J449" s="22" t="n">
        <v>3.853</v>
      </c>
      <c r="K449" s="9">
        <f>ROUND(H449*I449*J449, 2)</f>
        <v/>
      </c>
      <c r="L449" s="23">
        <f>ROUND(K449/1000, 3)</f>
        <v/>
      </c>
      <c r="M449" s="8">
        <f>IF(AO449="","",IF(INDEX(Theo_Doi_Tan_Suat_Be_Tong!$C:$C,AO449)="","",INDEX(Theo_Doi_Tan_Suat_Be_Tong!$C:$C,AO449)-VLOOKUP(AN449,$AQ$2:$AR$7,2,FALSE)))</f>
        <v/>
      </c>
      <c r="N449" s="6" t="n"/>
      <c r="O449" s="24">
        <f>IF(ROUNDUP(W449/20,0)&gt;ROUNDUP(W448/20,0),"TN Ø25 (Lần " &amp; ROUNDUP(W449/20,0) &amp; ")","")</f>
        <v/>
      </c>
      <c r="P449" s="20">
        <f>ROUND(P448+IF(AND(E449&lt;=10,F449&lt;&gt;"ASTM A416"),L449,0),3)</f>
        <v/>
      </c>
      <c r="Q449" s="20">
        <f>ROUND(Q448+IF(AND(E449=12,F449&lt;&gt;"ASTM A416"),L449,0),3)</f>
        <v/>
      </c>
      <c r="R449" s="20">
        <f>ROUND(R448+IF(AND(E449=14,F449&lt;&gt;"ASTM A416"),L449,0),3)</f>
        <v/>
      </c>
      <c r="S449" s="20">
        <f>ROUND(S448+IF(AND(E449=16,F449&lt;&gt;"ASTM A416"),L449,0),3)</f>
        <v/>
      </c>
      <c r="T449" s="20">
        <f>ROUND(T448+IF(AND(E449=18,F449&lt;&gt;"ASTM A416"),L449,0),3)</f>
        <v/>
      </c>
      <c r="U449" s="20">
        <f>ROUND(U448+IF(AND(E449=20,F449&lt;&gt;"ASTM A416"),L449,0),3)</f>
        <v/>
      </c>
      <c r="V449" s="20">
        <f>ROUND(V448+IF(AND(E449=22,F449&lt;&gt;"ASTM A416"),L449,0),3)</f>
        <v/>
      </c>
      <c r="W449" s="20">
        <f>ROUND(W448+IF(AND(E449=25,F449&lt;&gt;"ASTM A416"),L449,0),3)</f>
        <v/>
      </c>
      <c r="X449" s="20">
        <f>ROUND(X448+IF(AND(E449=28,F449&lt;&gt;"ASTM A416"),L449,0),3)</f>
        <v/>
      </c>
      <c r="Y449" s="20">
        <f>ROUND(Y448+IF(AND(E449=32,F449&lt;&gt;"ASTM A416"),L449,0),3)</f>
        <v/>
      </c>
      <c r="Z449" s="20">
        <f>ROUND(Z448+IF(F449="ASTM A416",L449,0),3)</f>
        <v/>
      </c>
      <c r="AA449" s="11">
        <f>IF(ROUNDUP(P449/20,0)&gt;ROUNDUP(P448/20,0),"Lần " &amp; ROUNDUP(P449/20,0),"")</f>
        <v/>
      </c>
      <c r="AB449" s="11">
        <f>IF(ROUNDUP(Q449/20,0)&gt;ROUNDUP(Q448/20,0),"Lần " &amp; ROUNDUP(Q449/20,0),"")</f>
        <v/>
      </c>
      <c r="AC449" s="11">
        <f>IF(ROUNDUP(R449/20,0)&gt;ROUNDUP(R448/20,0),"Lần " &amp; ROUNDUP(R449/20,0),"")</f>
        <v/>
      </c>
      <c r="AD449" s="11">
        <f>IF(ROUNDUP(S449/20,0)&gt;ROUNDUP(S448/20,0),"Lần " &amp; ROUNDUP(S449/20,0),"")</f>
        <v/>
      </c>
      <c r="AE449" s="11">
        <f>IF(ROUNDUP(T449/20,0)&gt;ROUNDUP(T448/20,0),"Lần " &amp; ROUNDUP(T449/20,0),"")</f>
        <v/>
      </c>
      <c r="AF449" s="11">
        <f>IF(ROUNDUP(U449/20,0)&gt;ROUNDUP(U448/20,0),"Lần " &amp; ROUNDUP(U449/20,0),"")</f>
        <v/>
      </c>
      <c r="AG449" s="11">
        <f>IF(ROUNDUP(V449/20,0)&gt;ROUNDUP(V448/20,0),"Lần " &amp; ROUNDUP(V449/20,0),"")</f>
        <v/>
      </c>
      <c r="AH449" s="11">
        <f>IF(ROUNDUP(W449/20,0)&gt;ROUNDUP(W448/20,0),"Lần " &amp; ROUNDUP(W449/20,0),"")</f>
        <v/>
      </c>
      <c r="AI449" s="11">
        <f>IF(ROUNDUP(X449/20,0)&gt;ROUNDUP(X448/20,0),"Lần " &amp; ROUNDUP(X449/20,0),"")</f>
        <v/>
      </c>
      <c r="AJ449" s="11">
        <f>IF(ROUNDUP(Y449/20,0)&gt;ROUNDUP(Y448/20,0),"Lần " &amp; ROUNDUP(Y449/20,0),"")</f>
        <v/>
      </c>
      <c r="AK449" s="11">
        <f>IF(ROUNDUP(Z449/20,0)&gt;ROUNDUP(Z448/20,0),"Lần " &amp; ROUNDUP(Z449/20,0),"")</f>
        <v/>
      </c>
      <c r="AL449" s="6" t="n"/>
      <c r="AN449" t="inlineStr">
        <is>
          <t>Coc</t>
        </is>
      </c>
      <c r="AO449" t="n">
        <v>7</v>
      </c>
    </row>
    <row r="450" ht="19" customHeight="1">
      <c r="A450" s="6" t="n">
        <v>430</v>
      </c>
      <c r="B450" s="7" t="inlineStr">
        <is>
          <t>Cọc khoan nhồi C1 Trụ T1 (D1.2m, L=40.0m)</t>
        </is>
      </c>
      <c r="C450" s="7" t="inlineStr">
        <is>
          <t>Cọc trụ T1 L=40m (tr.68)</t>
        </is>
      </c>
      <c r="D450" s="18" t="inlineStr">
        <is>
          <t>P4</t>
        </is>
      </c>
      <c r="E450" s="19" t="n">
        <v>25</v>
      </c>
      <c r="F450" s="6" t="inlineStr">
        <is>
          <t>CB400-V</t>
        </is>
      </c>
      <c r="G450" s="7" t="inlineStr"/>
      <c r="H450" s="20" t="n">
        <v>11.7</v>
      </c>
      <c r="I450" s="21" t="n">
        <v>60</v>
      </c>
      <c r="J450" s="22" t="n">
        <v>3.853</v>
      </c>
      <c r="K450" s="9">
        <f>ROUND(H450*I450*J450, 2)</f>
        <v/>
      </c>
      <c r="L450" s="23">
        <f>ROUND(K450/1000, 3)</f>
        <v/>
      </c>
      <c r="M450" s="8">
        <f>IF(AO450="","",IF(INDEX(Theo_Doi_Tan_Suat_Be_Tong!$C:$C,AO450)="","",INDEX(Theo_Doi_Tan_Suat_Be_Tong!$C:$C,AO450)-VLOOKUP(AN450,$AQ$2:$AR$7,2,FALSE)))</f>
        <v/>
      </c>
      <c r="N450" s="6" t="n"/>
      <c r="O450" s="24">
        <f>IF(ROUNDUP(W450/20,0)&gt;ROUNDUP(W449/20,0),"TN Ø25 (Lần " &amp; ROUNDUP(W450/20,0) &amp; ")","")</f>
        <v/>
      </c>
      <c r="P450" s="20">
        <f>ROUND(P449+IF(AND(E450&lt;=10,F450&lt;&gt;"ASTM A416"),L450,0),3)</f>
        <v/>
      </c>
      <c r="Q450" s="20">
        <f>ROUND(Q449+IF(AND(E450=12,F450&lt;&gt;"ASTM A416"),L450,0),3)</f>
        <v/>
      </c>
      <c r="R450" s="20">
        <f>ROUND(R449+IF(AND(E450=14,F450&lt;&gt;"ASTM A416"),L450,0),3)</f>
        <v/>
      </c>
      <c r="S450" s="20">
        <f>ROUND(S449+IF(AND(E450=16,F450&lt;&gt;"ASTM A416"),L450,0),3)</f>
        <v/>
      </c>
      <c r="T450" s="20">
        <f>ROUND(T449+IF(AND(E450=18,F450&lt;&gt;"ASTM A416"),L450,0),3)</f>
        <v/>
      </c>
      <c r="U450" s="20">
        <f>ROUND(U449+IF(AND(E450=20,F450&lt;&gt;"ASTM A416"),L450,0),3)</f>
        <v/>
      </c>
      <c r="V450" s="20">
        <f>ROUND(V449+IF(AND(E450=22,F450&lt;&gt;"ASTM A416"),L450,0),3)</f>
        <v/>
      </c>
      <c r="W450" s="20">
        <f>ROUND(W449+IF(AND(E450=25,F450&lt;&gt;"ASTM A416"),L450,0),3)</f>
        <v/>
      </c>
      <c r="X450" s="20">
        <f>ROUND(X449+IF(AND(E450=28,F450&lt;&gt;"ASTM A416"),L450,0),3)</f>
        <v/>
      </c>
      <c r="Y450" s="20">
        <f>ROUND(Y449+IF(AND(E450=32,F450&lt;&gt;"ASTM A416"),L450,0),3)</f>
        <v/>
      </c>
      <c r="Z450" s="20">
        <f>ROUND(Z449+IF(F450="ASTM A416",L450,0),3)</f>
        <v/>
      </c>
      <c r="AA450" s="11">
        <f>IF(ROUNDUP(P450/20,0)&gt;ROUNDUP(P449/20,0),"Lần " &amp; ROUNDUP(P450/20,0),"")</f>
        <v/>
      </c>
      <c r="AB450" s="11">
        <f>IF(ROUNDUP(Q450/20,0)&gt;ROUNDUP(Q449/20,0),"Lần " &amp; ROUNDUP(Q450/20,0),"")</f>
        <v/>
      </c>
      <c r="AC450" s="11">
        <f>IF(ROUNDUP(R450/20,0)&gt;ROUNDUP(R449/20,0),"Lần " &amp; ROUNDUP(R450/20,0),"")</f>
        <v/>
      </c>
      <c r="AD450" s="11">
        <f>IF(ROUNDUP(S450/20,0)&gt;ROUNDUP(S449/20,0),"Lần " &amp; ROUNDUP(S450/20,0),"")</f>
        <v/>
      </c>
      <c r="AE450" s="11">
        <f>IF(ROUNDUP(T450/20,0)&gt;ROUNDUP(T449/20,0),"Lần " &amp; ROUNDUP(T450/20,0),"")</f>
        <v/>
      </c>
      <c r="AF450" s="11">
        <f>IF(ROUNDUP(U450/20,0)&gt;ROUNDUP(U449/20,0),"Lần " &amp; ROUNDUP(U450/20,0),"")</f>
        <v/>
      </c>
      <c r="AG450" s="11">
        <f>IF(ROUNDUP(V450/20,0)&gt;ROUNDUP(V449/20,0),"Lần " &amp; ROUNDUP(V450/20,0),"")</f>
        <v/>
      </c>
      <c r="AH450" s="11">
        <f>IF(ROUNDUP(W450/20,0)&gt;ROUNDUP(W449/20,0),"Lần " &amp; ROUNDUP(W450/20,0),"")</f>
        <v/>
      </c>
      <c r="AI450" s="11">
        <f>IF(ROUNDUP(X450/20,0)&gt;ROUNDUP(X449/20,0),"Lần " &amp; ROUNDUP(X450/20,0),"")</f>
        <v/>
      </c>
      <c r="AJ450" s="11">
        <f>IF(ROUNDUP(Y450/20,0)&gt;ROUNDUP(Y449/20,0),"Lần " &amp; ROUNDUP(Y450/20,0),"")</f>
        <v/>
      </c>
      <c r="AK450" s="11">
        <f>IF(ROUNDUP(Z450/20,0)&gt;ROUNDUP(Z449/20,0),"Lần " &amp; ROUNDUP(Z450/20,0),"")</f>
        <v/>
      </c>
      <c r="AL450" s="6" t="n"/>
      <c r="AN450" t="inlineStr">
        <is>
          <t>Coc</t>
        </is>
      </c>
      <c r="AO450" t="n">
        <v>7</v>
      </c>
    </row>
    <row r="451" ht="19" customHeight="1">
      <c r="A451" s="6" t="n">
        <v>431</v>
      </c>
      <c r="B451" s="7" t="inlineStr">
        <is>
          <t>Cọc khoan nhồi C1 Trụ T1 (D1.2m, L=40.0m)</t>
        </is>
      </c>
      <c r="C451" s="7" t="inlineStr">
        <is>
          <t>Cọc trụ T1 L=40m (tr.68)</t>
        </is>
      </c>
      <c r="D451" s="18" t="inlineStr">
        <is>
          <t>P6</t>
        </is>
      </c>
      <c r="E451" s="19" t="n">
        <v>25</v>
      </c>
      <c r="F451" s="6" t="inlineStr">
        <is>
          <t>CB400-V</t>
        </is>
      </c>
      <c r="G451" s="7" t="inlineStr"/>
      <c r="H451" s="20" t="n">
        <v>9.032999999999999</v>
      </c>
      <c r="I451" s="21" t="n">
        <v>12</v>
      </c>
      <c r="J451" s="22" t="n">
        <v>3.853</v>
      </c>
      <c r="K451" s="9">
        <f>ROUND(H451*I451*J451, 2)</f>
        <v/>
      </c>
      <c r="L451" s="23">
        <f>ROUND(K451/1000, 3)</f>
        <v/>
      </c>
      <c r="M451" s="8">
        <f>IF(AO451="","",IF(INDEX(Theo_Doi_Tan_Suat_Be_Tong!$C:$C,AO451)="","",INDEX(Theo_Doi_Tan_Suat_Be_Tong!$C:$C,AO451)-VLOOKUP(AN451,$AQ$2:$AR$7,2,FALSE)))</f>
        <v/>
      </c>
      <c r="N451" s="6" t="n"/>
      <c r="O451" s="24">
        <f>IF(ROUNDUP(W451/20,0)&gt;ROUNDUP(W450/20,0),"TN Ø25 (Lần " &amp; ROUNDUP(W451/20,0) &amp; ")","")</f>
        <v/>
      </c>
      <c r="P451" s="20">
        <f>ROUND(P450+IF(AND(E451&lt;=10,F451&lt;&gt;"ASTM A416"),L451,0),3)</f>
        <v/>
      </c>
      <c r="Q451" s="20">
        <f>ROUND(Q450+IF(AND(E451=12,F451&lt;&gt;"ASTM A416"),L451,0),3)</f>
        <v/>
      </c>
      <c r="R451" s="20">
        <f>ROUND(R450+IF(AND(E451=14,F451&lt;&gt;"ASTM A416"),L451,0),3)</f>
        <v/>
      </c>
      <c r="S451" s="20">
        <f>ROUND(S450+IF(AND(E451=16,F451&lt;&gt;"ASTM A416"),L451,0),3)</f>
        <v/>
      </c>
      <c r="T451" s="20">
        <f>ROUND(T450+IF(AND(E451=18,F451&lt;&gt;"ASTM A416"),L451,0),3)</f>
        <v/>
      </c>
      <c r="U451" s="20">
        <f>ROUND(U450+IF(AND(E451=20,F451&lt;&gt;"ASTM A416"),L451,0),3)</f>
        <v/>
      </c>
      <c r="V451" s="20">
        <f>ROUND(V450+IF(AND(E451=22,F451&lt;&gt;"ASTM A416"),L451,0),3)</f>
        <v/>
      </c>
      <c r="W451" s="20">
        <f>ROUND(W450+IF(AND(E451=25,F451&lt;&gt;"ASTM A416"),L451,0),3)</f>
        <v/>
      </c>
      <c r="X451" s="20">
        <f>ROUND(X450+IF(AND(E451=28,F451&lt;&gt;"ASTM A416"),L451,0),3)</f>
        <v/>
      </c>
      <c r="Y451" s="20">
        <f>ROUND(Y450+IF(AND(E451=32,F451&lt;&gt;"ASTM A416"),L451,0),3)</f>
        <v/>
      </c>
      <c r="Z451" s="20">
        <f>ROUND(Z450+IF(F451="ASTM A416",L451,0),3)</f>
        <v/>
      </c>
      <c r="AA451" s="11">
        <f>IF(ROUNDUP(P451/20,0)&gt;ROUNDUP(P450/20,0),"Lần " &amp; ROUNDUP(P451/20,0),"")</f>
        <v/>
      </c>
      <c r="AB451" s="11">
        <f>IF(ROUNDUP(Q451/20,0)&gt;ROUNDUP(Q450/20,0),"Lần " &amp; ROUNDUP(Q451/20,0),"")</f>
        <v/>
      </c>
      <c r="AC451" s="11">
        <f>IF(ROUNDUP(R451/20,0)&gt;ROUNDUP(R450/20,0),"Lần " &amp; ROUNDUP(R451/20,0),"")</f>
        <v/>
      </c>
      <c r="AD451" s="11">
        <f>IF(ROUNDUP(S451/20,0)&gt;ROUNDUP(S450/20,0),"Lần " &amp; ROUNDUP(S451/20,0),"")</f>
        <v/>
      </c>
      <c r="AE451" s="11">
        <f>IF(ROUNDUP(T451/20,0)&gt;ROUNDUP(T450/20,0),"Lần " &amp; ROUNDUP(T451/20,0),"")</f>
        <v/>
      </c>
      <c r="AF451" s="11">
        <f>IF(ROUNDUP(U451/20,0)&gt;ROUNDUP(U450/20,0),"Lần " &amp; ROUNDUP(U451/20,0),"")</f>
        <v/>
      </c>
      <c r="AG451" s="11">
        <f>IF(ROUNDUP(V451/20,0)&gt;ROUNDUP(V450/20,0),"Lần " &amp; ROUNDUP(V451/20,0),"")</f>
        <v/>
      </c>
      <c r="AH451" s="11">
        <f>IF(ROUNDUP(W451/20,0)&gt;ROUNDUP(W450/20,0),"Lần " &amp; ROUNDUP(W451/20,0),"")</f>
        <v/>
      </c>
      <c r="AI451" s="11">
        <f>IF(ROUNDUP(X451/20,0)&gt;ROUNDUP(X450/20,0),"Lần " &amp; ROUNDUP(X451/20,0),"")</f>
        <v/>
      </c>
      <c r="AJ451" s="11">
        <f>IF(ROUNDUP(Y451/20,0)&gt;ROUNDUP(Y450/20,0),"Lần " &amp; ROUNDUP(Y451/20,0),"")</f>
        <v/>
      </c>
      <c r="AK451" s="11">
        <f>IF(ROUNDUP(Z451/20,0)&gt;ROUNDUP(Z450/20,0),"Lần " &amp; ROUNDUP(Z451/20,0),"")</f>
        <v/>
      </c>
      <c r="AL451" s="6" t="n"/>
      <c r="AN451" t="inlineStr">
        <is>
          <t>Coc</t>
        </is>
      </c>
      <c r="AO451" t="n">
        <v>7</v>
      </c>
    </row>
    <row r="452" ht="19" customHeight="1">
      <c r="A452" s="6" t="n">
        <v>432</v>
      </c>
      <c r="B452" s="7" t="inlineStr">
        <is>
          <t>Cọc khoan nhồi C1 Trụ T1 (D1.2m, L=40.0m)</t>
        </is>
      </c>
      <c r="C452" s="7" t="inlineStr">
        <is>
          <t>Cọc trụ T1 L=40m (tr.68)</t>
        </is>
      </c>
      <c r="D452" s="18" t="inlineStr">
        <is>
          <t>P7</t>
        </is>
      </c>
      <c r="E452" s="19" t="n">
        <v>25</v>
      </c>
      <c r="F452" s="6" t="inlineStr">
        <is>
          <t>CB400-V</t>
        </is>
      </c>
      <c r="G452" s="7" t="inlineStr"/>
      <c r="H452" s="20" t="n">
        <v>10.033</v>
      </c>
      <c r="I452" s="21" t="n">
        <v>12</v>
      </c>
      <c r="J452" s="22" t="n">
        <v>3.853</v>
      </c>
      <c r="K452" s="9">
        <f>ROUND(H452*I452*J452, 2)</f>
        <v/>
      </c>
      <c r="L452" s="23">
        <f>ROUND(K452/1000, 3)</f>
        <v/>
      </c>
      <c r="M452" s="8">
        <f>IF(AO452="","",IF(INDEX(Theo_Doi_Tan_Suat_Be_Tong!$C:$C,AO452)="","",INDEX(Theo_Doi_Tan_Suat_Be_Tong!$C:$C,AO452)-VLOOKUP(AN452,$AQ$2:$AR$7,2,FALSE)))</f>
        <v/>
      </c>
      <c r="N452" s="6" t="n"/>
      <c r="O452" s="24">
        <f>IF(ROUNDUP(W452/20,0)&gt;ROUNDUP(W451/20,0),"TN Ø25 (Lần " &amp; ROUNDUP(W452/20,0) &amp; ")","")</f>
        <v/>
      </c>
      <c r="P452" s="20">
        <f>ROUND(P451+IF(AND(E452&lt;=10,F452&lt;&gt;"ASTM A416"),L452,0),3)</f>
        <v/>
      </c>
      <c r="Q452" s="20">
        <f>ROUND(Q451+IF(AND(E452=12,F452&lt;&gt;"ASTM A416"),L452,0),3)</f>
        <v/>
      </c>
      <c r="R452" s="20">
        <f>ROUND(R451+IF(AND(E452=14,F452&lt;&gt;"ASTM A416"),L452,0),3)</f>
        <v/>
      </c>
      <c r="S452" s="20">
        <f>ROUND(S451+IF(AND(E452=16,F452&lt;&gt;"ASTM A416"),L452,0),3)</f>
        <v/>
      </c>
      <c r="T452" s="20">
        <f>ROUND(T451+IF(AND(E452=18,F452&lt;&gt;"ASTM A416"),L452,0),3)</f>
        <v/>
      </c>
      <c r="U452" s="20">
        <f>ROUND(U451+IF(AND(E452=20,F452&lt;&gt;"ASTM A416"),L452,0),3)</f>
        <v/>
      </c>
      <c r="V452" s="20">
        <f>ROUND(V451+IF(AND(E452=22,F452&lt;&gt;"ASTM A416"),L452,0),3)</f>
        <v/>
      </c>
      <c r="W452" s="20">
        <f>ROUND(W451+IF(AND(E452=25,F452&lt;&gt;"ASTM A416"),L452,0),3)</f>
        <v/>
      </c>
      <c r="X452" s="20">
        <f>ROUND(X451+IF(AND(E452=28,F452&lt;&gt;"ASTM A416"),L452,0),3)</f>
        <v/>
      </c>
      <c r="Y452" s="20">
        <f>ROUND(Y451+IF(AND(E452=32,F452&lt;&gt;"ASTM A416"),L452,0),3)</f>
        <v/>
      </c>
      <c r="Z452" s="20">
        <f>ROUND(Z451+IF(F452="ASTM A416",L452,0),3)</f>
        <v/>
      </c>
      <c r="AA452" s="11">
        <f>IF(ROUNDUP(P452/20,0)&gt;ROUNDUP(P451/20,0),"Lần " &amp; ROUNDUP(P452/20,0),"")</f>
        <v/>
      </c>
      <c r="AB452" s="11">
        <f>IF(ROUNDUP(Q452/20,0)&gt;ROUNDUP(Q451/20,0),"Lần " &amp; ROUNDUP(Q452/20,0),"")</f>
        <v/>
      </c>
      <c r="AC452" s="11">
        <f>IF(ROUNDUP(R452/20,0)&gt;ROUNDUP(R451/20,0),"Lần " &amp; ROUNDUP(R452/20,0),"")</f>
        <v/>
      </c>
      <c r="AD452" s="11">
        <f>IF(ROUNDUP(S452/20,0)&gt;ROUNDUP(S451/20,0),"Lần " &amp; ROUNDUP(S452/20,0),"")</f>
        <v/>
      </c>
      <c r="AE452" s="11">
        <f>IF(ROUNDUP(T452/20,0)&gt;ROUNDUP(T451/20,0),"Lần " &amp; ROUNDUP(T452/20,0),"")</f>
        <v/>
      </c>
      <c r="AF452" s="11">
        <f>IF(ROUNDUP(U452/20,0)&gt;ROUNDUP(U451/20,0),"Lần " &amp; ROUNDUP(U452/20,0),"")</f>
        <v/>
      </c>
      <c r="AG452" s="11">
        <f>IF(ROUNDUP(V452/20,0)&gt;ROUNDUP(V451/20,0),"Lần " &amp; ROUNDUP(V452/20,0),"")</f>
        <v/>
      </c>
      <c r="AH452" s="11">
        <f>IF(ROUNDUP(W452/20,0)&gt;ROUNDUP(W451/20,0),"Lần " &amp; ROUNDUP(W452/20,0),"")</f>
        <v/>
      </c>
      <c r="AI452" s="11">
        <f>IF(ROUNDUP(X452/20,0)&gt;ROUNDUP(X451/20,0),"Lần " &amp; ROUNDUP(X452/20,0),"")</f>
        <v/>
      </c>
      <c r="AJ452" s="11">
        <f>IF(ROUNDUP(Y452/20,0)&gt;ROUNDUP(Y451/20,0),"Lần " &amp; ROUNDUP(Y452/20,0),"")</f>
        <v/>
      </c>
      <c r="AK452" s="11">
        <f>IF(ROUNDUP(Z452/20,0)&gt;ROUNDUP(Z451/20,0),"Lần " &amp; ROUNDUP(Z452/20,0),"")</f>
        <v/>
      </c>
      <c r="AL452" s="6" t="n"/>
      <c r="AN452" t="inlineStr">
        <is>
          <t>Coc</t>
        </is>
      </c>
      <c r="AO452" t="n">
        <v>7</v>
      </c>
    </row>
    <row r="453" ht="19" customHeight="1">
      <c r="A453" s="6" t="n">
        <v>433</v>
      </c>
      <c r="B453" s="7" t="inlineStr">
        <is>
          <t>Cọc khoan nhồi C1 Trụ T1 (D1.2m, L=40.0m)</t>
        </is>
      </c>
      <c r="C453" s="7" t="inlineStr">
        <is>
          <t>Cọc trụ T1 L=40m (tr.68)</t>
        </is>
      </c>
      <c r="D453" s="18" t="inlineStr">
        <is>
          <t>P8</t>
        </is>
      </c>
      <c r="E453" s="19" t="n">
        <v>12</v>
      </c>
      <c r="F453" s="6" t="inlineStr">
        <is>
          <t>CB400-V</t>
        </is>
      </c>
      <c r="G453" s="7" t="inlineStr"/>
      <c r="H453" s="20" t="n">
        <v>0.647</v>
      </c>
      <c r="I453" s="21" t="n">
        <v>16</v>
      </c>
      <c r="J453" s="22" t="n">
        <v>0.888</v>
      </c>
      <c r="K453" s="9">
        <f>ROUND(H453*I453*J453, 2)</f>
        <v/>
      </c>
      <c r="L453" s="23">
        <f>ROUND(K453/1000, 3)</f>
        <v/>
      </c>
      <c r="M453" s="8">
        <f>IF(AO453="","",IF(INDEX(Theo_Doi_Tan_Suat_Be_Tong!$C:$C,AO453)="","",INDEX(Theo_Doi_Tan_Suat_Be_Tong!$C:$C,AO453)-VLOOKUP(AN453,$AQ$2:$AR$7,2,FALSE)))</f>
        <v/>
      </c>
      <c r="N453" s="6" t="n"/>
      <c r="O453" s="24">
        <f>IF(ROUNDUP(Q453/20,0)&gt;ROUNDUP(Q452/20,0),"TN Ø12 (Lần " &amp; ROUNDUP(Q453/20,0) &amp; ")","")</f>
        <v/>
      </c>
      <c r="P453" s="20">
        <f>ROUND(P452+IF(AND(E453&lt;=10,F453&lt;&gt;"ASTM A416"),L453,0),3)</f>
        <v/>
      </c>
      <c r="Q453" s="20">
        <f>ROUND(Q452+IF(AND(E453=12,F453&lt;&gt;"ASTM A416"),L453,0),3)</f>
        <v/>
      </c>
      <c r="R453" s="20">
        <f>ROUND(R452+IF(AND(E453=14,F453&lt;&gt;"ASTM A416"),L453,0),3)</f>
        <v/>
      </c>
      <c r="S453" s="20">
        <f>ROUND(S452+IF(AND(E453=16,F453&lt;&gt;"ASTM A416"),L453,0),3)</f>
        <v/>
      </c>
      <c r="T453" s="20">
        <f>ROUND(T452+IF(AND(E453=18,F453&lt;&gt;"ASTM A416"),L453,0),3)</f>
        <v/>
      </c>
      <c r="U453" s="20">
        <f>ROUND(U452+IF(AND(E453=20,F453&lt;&gt;"ASTM A416"),L453,0),3)</f>
        <v/>
      </c>
      <c r="V453" s="20">
        <f>ROUND(V452+IF(AND(E453=22,F453&lt;&gt;"ASTM A416"),L453,0),3)</f>
        <v/>
      </c>
      <c r="W453" s="20">
        <f>ROUND(W452+IF(AND(E453=25,F453&lt;&gt;"ASTM A416"),L453,0),3)</f>
        <v/>
      </c>
      <c r="X453" s="20">
        <f>ROUND(X452+IF(AND(E453=28,F453&lt;&gt;"ASTM A416"),L453,0),3)</f>
        <v/>
      </c>
      <c r="Y453" s="20">
        <f>ROUND(Y452+IF(AND(E453=32,F453&lt;&gt;"ASTM A416"),L453,0),3)</f>
        <v/>
      </c>
      <c r="Z453" s="20">
        <f>ROUND(Z452+IF(F453="ASTM A416",L453,0),3)</f>
        <v/>
      </c>
      <c r="AA453" s="11">
        <f>IF(ROUNDUP(P453/20,0)&gt;ROUNDUP(P452/20,0),"Lần " &amp; ROUNDUP(P453/20,0),"")</f>
        <v/>
      </c>
      <c r="AB453" s="11">
        <f>IF(ROUNDUP(Q453/20,0)&gt;ROUNDUP(Q452/20,0),"Lần " &amp; ROUNDUP(Q453/20,0),"")</f>
        <v/>
      </c>
      <c r="AC453" s="11">
        <f>IF(ROUNDUP(R453/20,0)&gt;ROUNDUP(R452/20,0),"Lần " &amp; ROUNDUP(R453/20,0),"")</f>
        <v/>
      </c>
      <c r="AD453" s="11">
        <f>IF(ROUNDUP(S453/20,0)&gt;ROUNDUP(S452/20,0),"Lần " &amp; ROUNDUP(S453/20,0),"")</f>
        <v/>
      </c>
      <c r="AE453" s="11">
        <f>IF(ROUNDUP(T453/20,0)&gt;ROUNDUP(T452/20,0),"Lần " &amp; ROUNDUP(T453/20,0),"")</f>
        <v/>
      </c>
      <c r="AF453" s="11">
        <f>IF(ROUNDUP(U453/20,0)&gt;ROUNDUP(U452/20,0),"Lần " &amp; ROUNDUP(U453/20,0),"")</f>
        <v/>
      </c>
      <c r="AG453" s="11">
        <f>IF(ROUNDUP(V453/20,0)&gt;ROUNDUP(V452/20,0),"Lần " &amp; ROUNDUP(V453/20,0),"")</f>
        <v/>
      </c>
      <c r="AH453" s="11">
        <f>IF(ROUNDUP(W453/20,0)&gt;ROUNDUP(W452/20,0),"Lần " &amp; ROUNDUP(W453/20,0),"")</f>
        <v/>
      </c>
      <c r="AI453" s="11">
        <f>IF(ROUNDUP(X453/20,0)&gt;ROUNDUP(X452/20,0),"Lần " &amp; ROUNDUP(X453/20,0),"")</f>
        <v/>
      </c>
      <c r="AJ453" s="11">
        <f>IF(ROUNDUP(Y453/20,0)&gt;ROUNDUP(Y452/20,0),"Lần " &amp; ROUNDUP(Y453/20,0),"")</f>
        <v/>
      </c>
      <c r="AK453" s="11">
        <f>IF(ROUNDUP(Z453/20,0)&gt;ROUNDUP(Z452/20,0),"Lần " &amp; ROUNDUP(Z453/20,0),"")</f>
        <v/>
      </c>
      <c r="AL453" s="6" t="n"/>
      <c r="AN453" t="inlineStr">
        <is>
          <t>Coc</t>
        </is>
      </c>
      <c r="AO453" t="n">
        <v>7</v>
      </c>
    </row>
    <row r="454" ht="19" customHeight="1">
      <c r="A454" s="6" t="n">
        <v>434</v>
      </c>
      <c r="B454" s="7" t="inlineStr">
        <is>
          <t>Cọc khoan nhồi C1 Trụ T1 (D1.2m, L=40.0m)</t>
        </is>
      </c>
      <c r="C454" s="7" t="inlineStr">
        <is>
          <t>Cọc trụ T1 L=40m (tr.68)</t>
        </is>
      </c>
      <c r="D454" s="18" t="inlineStr">
        <is>
          <t>P9</t>
        </is>
      </c>
      <c r="E454" s="19" t="n">
        <v>12</v>
      </c>
      <c r="F454" s="6" t="inlineStr">
        <is>
          <t>CB400-V</t>
        </is>
      </c>
      <c r="G454" s="7" t="inlineStr"/>
      <c r="H454" s="20" t="n">
        <v>0.379</v>
      </c>
      <c r="I454" s="21" t="n">
        <v>48</v>
      </c>
      <c r="J454" s="22" t="n">
        <v>0.888</v>
      </c>
      <c r="K454" s="9">
        <f>ROUND(H454*I454*J454, 2)</f>
        <v/>
      </c>
      <c r="L454" s="23">
        <f>ROUND(K454/1000, 3)</f>
        <v/>
      </c>
      <c r="M454" s="8">
        <f>IF(AO454="","",IF(INDEX(Theo_Doi_Tan_Suat_Be_Tong!$C:$C,AO454)="","",INDEX(Theo_Doi_Tan_Suat_Be_Tong!$C:$C,AO454)-VLOOKUP(AN454,$AQ$2:$AR$7,2,FALSE)))</f>
        <v/>
      </c>
      <c r="N454" s="6" t="n"/>
      <c r="O454" s="24">
        <f>IF(ROUNDUP(Q454/20,0)&gt;ROUNDUP(Q453/20,0),"TN Ø12 (Lần " &amp; ROUNDUP(Q454/20,0) &amp; ")","")</f>
        <v/>
      </c>
      <c r="P454" s="20">
        <f>ROUND(P453+IF(AND(E454&lt;=10,F454&lt;&gt;"ASTM A416"),L454,0),3)</f>
        <v/>
      </c>
      <c r="Q454" s="20">
        <f>ROUND(Q453+IF(AND(E454=12,F454&lt;&gt;"ASTM A416"),L454,0),3)</f>
        <v/>
      </c>
      <c r="R454" s="20">
        <f>ROUND(R453+IF(AND(E454=14,F454&lt;&gt;"ASTM A416"),L454,0),3)</f>
        <v/>
      </c>
      <c r="S454" s="20">
        <f>ROUND(S453+IF(AND(E454=16,F454&lt;&gt;"ASTM A416"),L454,0),3)</f>
        <v/>
      </c>
      <c r="T454" s="20">
        <f>ROUND(T453+IF(AND(E454=18,F454&lt;&gt;"ASTM A416"),L454,0),3)</f>
        <v/>
      </c>
      <c r="U454" s="20">
        <f>ROUND(U453+IF(AND(E454=20,F454&lt;&gt;"ASTM A416"),L454,0),3)</f>
        <v/>
      </c>
      <c r="V454" s="20">
        <f>ROUND(V453+IF(AND(E454=22,F454&lt;&gt;"ASTM A416"),L454,0),3)</f>
        <v/>
      </c>
      <c r="W454" s="20">
        <f>ROUND(W453+IF(AND(E454=25,F454&lt;&gt;"ASTM A416"),L454,0),3)</f>
        <v/>
      </c>
      <c r="X454" s="20">
        <f>ROUND(X453+IF(AND(E454=28,F454&lt;&gt;"ASTM A416"),L454,0),3)</f>
        <v/>
      </c>
      <c r="Y454" s="20">
        <f>ROUND(Y453+IF(AND(E454=32,F454&lt;&gt;"ASTM A416"),L454,0),3)</f>
        <v/>
      </c>
      <c r="Z454" s="20">
        <f>ROUND(Z453+IF(F454="ASTM A416",L454,0),3)</f>
        <v/>
      </c>
      <c r="AA454" s="11">
        <f>IF(ROUNDUP(P454/20,0)&gt;ROUNDUP(P453/20,0),"Lần " &amp; ROUNDUP(P454/20,0),"")</f>
        <v/>
      </c>
      <c r="AB454" s="11">
        <f>IF(ROUNDUP(Q454/20,0)&gt;ROUNDUP(Q453/20,0),"Lần " &amp; ROUNDUP(Q454/20,0),"")</f>
        <v/>
      </c>
      <c r="AC454" s="11">
        <f>IF(ROUNDUP(R454/20,0)&gt;ROUNDUP(R453/20,0),"Lần " &amp; ROUNDUP(R454/20,0),"")</f>
        <v/>
      </c>
      <c r="AD454" s="11">
        <f>IF(ROUNDUP(S454/20,0)&gt;ROUNDUP(S453/20,0),"Lần " &amp; ROUNDUP(S454/20,0),"")</f>
        <v/>
      </c>
      <c r="AE454" s="11">
        <f>IF(ROUNDUP(T454/20,0)&gt;ROUNDUP(T453/20,0),"Lần " &amp; ROUNDUP(T454/20,0),"")</f>
        <v/>
      </c>
      <c r="AF454" s="11">
        <f>IF(ROUNDUP(U454/20,0)&gt;ROUNDUP(U453/20,0),"Lần " &amp; ROUNDUP(U454/20,0),"")</f>
        <v/>
      </c>
      <c r="AG454" s="11">
        <f>IF(ROUNDUP(V454/20,0)&gt;ROUNDUP(V453/20,0),"Lần " &amp; ROUNDUP(V454/20,0),"")</f>
        <v/>
      </c>
      <c r="AH454" s="11">
        <f>IF(ROUNDUP(W454/20,0)&gt;ROUNDUP(W453/20,0),"Lần " &amp; ROUNDUP(W454/20,0),"")</f>
        <v/>
      </c>
      <c r="AI454" s="11">
        <f>IF(ROUNDUP(X454/20,0)&gt;ROUNDUP(X453/20,0),"Lần " &amp; ROUNDUP(X454/20,0),"")</f>
        <v/>
      </c>
      <c r="AJ454" s="11">
        <f>IF(ROUNDUP(Y454/20,0)&gt;ROUNDUP(Y453/20,0),"Lần " &amp; ROUNDUP(Y454/20,0),"")</f>
        <v/>
      </c>
      <c r="AK454" s="11">
        <f>IF(ROUNDUP(Z454/20,0)&gt;ROUNDUP(Z453/20,0),"Lần " &amp; ROUNDUP(Z454/20,0),"")</f>
        <v/>
      </c>
      <c r="AL454" s="6" t="n"/>
      <c r="AN454" t="inlineStr">
        <is>
          <t>Coc</t>
        </is>
      </c>
      <c r="AO454" t="n">
        <v>7</v>
      </c>
    </row>
    <row r="455" ht="19" customHeight="1">
      <c r="A455" s="6" t="n">
        <v>435</v>
      </c>
      <c r="B455" s="7" t="inlineStr">
        <is>
          <t>Cọc khoan nhồi C1 Trụ T1 (D1.2m, L=40.0m)</t>
        </is>
      </c>
      <c r="C455" s="7" t="inlineStr">
        <is>
          <t>Cọc trụ T1 L=40m (tr.68)</t>
        </is>
      </c>
      <c r="D455" s="18" t="inlineStr">
        <is>
          <t>P10</t>
        </is>
      </c>
      <c r="E455" s="19" t="n">
        <v>20</v>
      </c>
      <c r="F455" s="6" t="inlineStr">
        <is>
          <t>CB400-V</t>
        </is>
      </c>
      <c r="G455" s="7" t="inlineStr"/>
      <c r="H455" s="20" t="n">
        <v>2.057</v>
      </c>
      <c r="I455" s="21" t="n">
        <v>1</v>
      </c>
      <c r="J455" s="22" t="n">
        <v>2.466</v>
      </c>
      <c r="K455" s="9">
        <f>ROUND(H455*I455*J455, 2)</f>
        <v/>
      </c>
      <c r="L455" s="23">
        <f>ROUND(K455/1000, 3)</f>
        <v/>
      </c>
      <c r="M455" s="8">
        <f>IF(AO455="","",IF(INDEX(Theo_Doi_Tan_Suat_Be_Tong!$C:$C,AO455)="","",INDEX(Theo_Doi_Tan_Suat_Be_Tong!$C:$C,AO455)-VLOOKUP(AN455,$AQ$2:$AR$7,2,FALSE)))</f>
        <v/>
      </c>
      <c r="N455" s="6" t="n"/>
      <c r="O455" s="24">
        <f>IF(ROUNDUP(U455/20,0)&gt;ROUNDUP(U454/20,0),"TN Ø20 (Lần " &amp; ROUNDUP(U455/20,0) &amp; ")","")</f>
        <v/>
      </c>
      <c r="P455" s="20">
        <f>ROUND(P454+IF(AND(E455&lt;=10,F455&lt;&gt;"ASTM A416"),L455,0),3)</f>
        <v/>
      </c>
      <c r="Q455" s="20">
        <f>ROUND(Q454+IF(AND(E455=12,F455&lt;&gt;"ASTM A416"),L455,0),3)</f>
        <v/>
      </c>
      <c r="R455" s="20">
        <f>ROUND(R454+IF(AND(E455=14,F455&lt;&gt;"ASTM A416"),L455,0),3)</f>
        <v/>
      </c>
      <c r="S455" s="20">
        <f>ROUND(S454+IF(AND(E455=16,F455&lt;&gt;"ASTM A416"),L455,0),3)</f>
        <v/>
      </c>
      <c r="T455" s="20">
        <f>ROUND(T454+IF(AND(E455=18,F455&lt;&gt;"ASTM A416"),L455,0),3)</f>
        <v/>
      </c>
      <c r="U455" s="20">
        <f>ROUND(U454+IF(AND(E455=20,F455&lt;&gt;"ASTM A416"),L455,0),3)</f>
        <v/>
      </c>
      <c r="V455" s="20">
        <f>ROUND(V454+IF(AND(E455=22,F455&lt;&gt;"ASTM A416"),L455,0),3)</f>
        <v/>
      </c>
      <c r="W455" s="20">
        <f>ROUND(W454+IF(AND(E455=25,F455&lt;&gt;"ASTM A416"),L455,0),3)</f>
        <v/>
      </c>
      <c r="X455" s="20">
        <f>ROUND(X454+IF(AND(E455=28,F455&lt;&gt;"ASTM A416"),L455,0),3)</f>
        <v/>
      </c>
      <c r="Y455" s="20">
        <f>ROUND(Y454+IF(AND(E455=32,F455&lt;&gt;"ASTM A416"),L455,0),3)</f>
        <v/>
      </c>
      <c r="Z455" s="20">
        <f>ROUND(Z454+IF(F455="ASTM A416",L455,0),3)</f>
        <v/>
      </c>
      <c r="AA455" s="11">
        <f>IF(ROUNDUP(P455/20,0)&gt;ROUNDUP(P454/20,0),"Lần " &amp; ROUNDUP(P455/20,0),"")</f>
        <v/>
      </c>
      <c r="AB455" s="11">
        <f>IF(ROUNDUP(Q455/20,0)&gt;ROUNDUP(Q454/20,0),"Lần " &amp; ROUNDUP(Q455/20,0),"")</f>
        <v/>
      </c>
      <c r="AC455" s="11">
        <f>IF(ROUNDUP(R455/20,0)&gt;ROUNDUP(R454/20,0),"Lần " &amp; ROUNDUP(R455/20,0),"")</f>
        <v/>
      </c>
      <c r="AD455" s="11">
        <f>IF(ROUNDUP(S455/20,0)&gt;ROUNDUP(S454/20,0),"Lần " &amp; ROUNDUP(S455/20,0),"")</f>
        <v/>
      </c>
      <c r="AE455" s="11">
        <f>IF(ROUNDUP(T455/20,0)&gt;ROUNDUP(T454/20,0),"Lần " &amp; ROUNDUP(T455/20,0),"")</f>
        <v/>
      </c>
      <c r="AF455" s="11">
        <f>IF(ROUNDUP(U455/20,0)&gt;ROUNDUP(U454/20,0),"Lần " &amp; ROUNDUP(U455/20,0),"")</f>
        <v/>
      </c>
      <c r="AG455" s="11">
        <f>IF(ROUNDUP(V455/20,0)&gt;ROUNDUP(V454/20,0),"Lần " &amp; ROUNDUP(V455/20,0),"")</f>
        <v/>
      </c>
      <c r="AH455" s="11">
        <f>IF(ROUNDUP(W455/20,0)&gt;ROUNDUP(W454/20,0),"Lần " &amp; ROUNDUP(W455/20,0),"")</f>
        <v/>
      </c>
      <c r="AI455" s="11">
        <f>IF(ROUNDUP(X455/20,0)&gt;ROUNDUP(X454/20,0),"Lần " &amp; ROUNDUP(X455/20,0),"")</f>
        <v/>
      </c>
      <c r="AJ455" s="11">
        <f>IF(ROUNDUP(Y455/20,0)&gt;ROUNDUP(Y454/20,0),"Lần " &amp; ROUNDUP(Y455/20,0),"")</f>
        <v/>
      </c>
      <c r="AK455" s="11">
        <f>IF(ROUNDUP(Z455/20,0)&gt;ROUNDUP(Z454/20,0),"Lần " &amp; ROUNDUP(Z455/20,0),"")</f>
        <v/>
      </c>
      <c r="AL455" s="6" t="n"/>
      <c r="AN455" t="inlineStr">
        <is>
          <t>Coc</t>
        </is>
      </c>
      <c r="AO455" t="n">
        <v>7</v>
      </c>
    </row>
    <row r="456" ht="19" customHeight="1">
      <c r="A456" s="6" t="n">
        <v>436</v>
      </c>
      <c r="B456" s="7" t="inlineStr">
        <is>
          <t>Cọc khoan nhồi C1 Trụ T1 (D1.2m, L=40.0m)</t>
        </is>
      </c>
      <c r="C456" s="7" t="inlineStr">
        <is>
          <t>Cọc trụ T1 L=40m (tr.68)</t>
        </is>
      </c>
      <c r="D456" s="18" t="inlineStr">
        <is>
          <t>P12</t>
        </is>
      </c>
      <c r="E456" s="19" t="n">
        <v>20</v>
      </c>
      <c r="F456" s="6" t="inlineStr">
        <is>
          <t>CB400-V</t>
        </is>
      </c>
      <c r="G456" s="7" t="inlineStr"/>
      <c r="H456" s="20" t="n">
        <v>0.583</v>
      </c>
      <c r="I456" s="21" t="n">
        <v>64</v>
      </c>
      <c r="J456" s="22" t="n">
        <v>2.466</v>
      </c>
      <c r="K456" s="9">
        <f>ROUND(H456*I456*J456, 2)</f>
        <v/>
      </c>
      <c r="L456" s="23">
        <f>ROUND(K456/1000, 3)</f>
        <v/>
      </c>
      <c r="M456" s="8">
        <f>IF(AO456="","",IF(INDEX(Theo_Doi_Tan_Suat_Be_Tong!$C:$C,AO456)="","",INDEX(Theo_Doi_Tan_Suat_Be_Tong!$C:$C,AO456)-VLOOKUP(AN456,$AQ$2:$AR$7,2,FALSE)))</f>
        <v/>
      </c>
      <c r="N456" s="6" t="n"/>
      <c r="O456" s="24">
        <f>IF(ROUNDUP(U456/20,0)&gt;ROUNDUP(U455/20,0),"TN Ø20 (Lần " &amp; ROUNDUP(U456/20,0) &amp; ")","")</f>
        <v/>
      </c>
      <c r="P456" s="20">
        <f>ROUND(P455+IF(AND(E456&lt;=10,F456&lt;&gt;"ASTM A416"),L456,0),3)</f>
        <v/>
      </c>
      <c r="Q456" s="20">
        <f>ROUND(Q455+IF(AND(E456=12,F456&lt;&gt;"ASTM A416"),L456,0),3)</f>
        <v/>
      </c>
      <c r="R456" s="20">
        <f>ROUND(R455+IF(AND(E456=14,F456&lt;&gt;"ASTM A416"),L456,0),3)</f>
        <v/>
      </c>
      <c r="S456" s="20">
        <f>ROUND(S455+IF(AND(E456=16,F456&lt;&gt;"ASTM A416"),L456,0),3)</f>
        <v/>
      </c>
      <c r="T456" s="20">
        <f>ROUND(T455+IF(AND(E456=18,F456&lt;&gt;"ASTM A416"),L456,0),3)</f>
        <v/>
      </c>
      <c r="U456" s="20">
        <f>ROUND(U455+IF(AND(E456=20,F456&lt;&gt;"ASTM A416"),L456,0),3)</f>
        <v/>
      </c>
      <c r="V456" s="20">
        <f>ROUND(V455+IF(AND(E456=22,F456&lt;&gt;"ASTM A416"),L456,0),3)</f>
        <v/>
      </c>
      <c r="W456" s="20">
        <f>ROUND(W455+IF(AND(E456=25,F456&lt;&gt;"ASTM A416"),L456,0),3)</f>
        <v/>
      </c>
      <c r="X456" s="20">
        <f>ROUND(X455+IF(AND(E456=28,F456&lt;&gt;"ASTM A416"),L456,0),3)</f>
        <v/>
      </c>
      <c r="Y456" s="20">
        <f>ROUND(Y455+IF(AND(E456=32,F456&lt;&gt;"ASTM A416"),L456,0),3)</f>
        <v/>
      </c>
      <c r="Z456" s="20">
        <f>ROUND(Z455+IF(F456="ASTM A416",L456,0),3)</f>
        <v/>
      </c>
      <c r="AA456" s="11">
        <f>IF(ROUNDUP(P456/20,0)&gt;ROUNDUP(P455/20,0),"Lần " &amp; ROUNDUP(P456/20,0),"")</f>
        <v/>
      </c>
      <c r="AB456" s="11">
        <f>IF(ROUNDUP(Q456/20,0)&gt;ROUNDUP(Q455/20,0),"Lần " &amp; ROUNDUP(Q456/20,0),"")</f>
        <v/>
      </c>
      <c r="AC456" s="11">
        <f>IF(ROUNDUP(R456/20,0)&gt;ROUNDUP(R455/20,0),"Lần " &amp; ROUNDUP(R456/20,0),"")</f>
        <v/>
      </c>
      <c r="AD456" s="11">
        <f>IF(ROUNDUP(S456/20,0)&gt;ROUNDUP(S455/20,0),"Lần " &amp; ROUNDUP(S456/20,0),"")</f>
        <v/>
      </c>
      <c r="AE456" s="11">
        <f>IF(ROUNDUP(T456/20,0)&gt;ROUNDUP(T455/20,0),"Lần " &amp; ROUNDUP(T456/20,0),"")</f>
        <v/>
      </c>
      <c r="AF456" s="11">
        <f>IF(ROUNDUP(U456/20,0)&gt;ROUNDUP(U455/20,0),"Lần " &amp; ROUNDUP(U456/20,0),"")</f>
        <v/>
      </c>
      <c r="AG456" s="11">
        <f>IF(ROUNDUP(V456/20,0)&gt;ROUNDUP(V455/20,0),"Lần " &amp; ROUNDUP(V456/20,0),"")</f>
        <v/>
      </c>
      <c r="AH456" s="11">
        <f>IF(ROUNDUP(W456/20,0)&gt;ROUNDUP(W455/20,0),"Lần " &amp; ROUNDUP(W456/20,0),"")</f>
        <v/>
      </c>
      <c r="AI456" s="11">
        <f>IF(ROUNDUP(X456/20,0)&gt;ROUNDUP(X455/20,0),"Lần " &amp; ROUNDUP(X456/20,0),"")</f>
        <v/>
      </c>
      <c r="AJ456" s="11">
        <f>IF(ROUNDUP(Y456/20,0)&gt;ROUNDUP(Y455/20,0),"Lần " &amp; ROUNDUP(Y456/20,0),"")</f>
        <v/>
      </c>
      <c r="AK456" s="11">
        <f>IF(ROUNDUP(Z456/20,0)&gt;ROUNDUP(Z455/20,0),"Lần " &amp; ROUNDUP(Z456/20,0),"")</f>
        <v/>
      </c>
      <c r="AL456" s="6" t="n"/>
      <c r="AN456" t="inlineStr">
        <is>
          <t>Coc</t>
        </is>
      </c>
      <c r="AO456" t="n">
        <v>7</v>
      </c>
    </row>
    <row r="457" ht="19" customHeight="1">
      <c r="A457" s="6" t="n">
        <v>437</v>
      </c>
      <c r="B457" s="7" t="inlineStr">
        <is>
          <t>Cọc khoan nhồi C1 Trụ T1 (D1.2m, L=40.0m)</t>
        </is>
      </c>
      <c r="C457" s="7" t="inlineStr">
        <is>
          <t>Cọc trụ T1 L=40m (tr.68)</t>
        </is>
      </c>
      <c r="D457" s="18" t="inlineStr">
        <is>
          <t>P11</t>
        </is>
      </c>
      <c r="E457" s="19" t="n">
        <v>16</v>
      </c>
      <c r="F457" s="6" t="inlineStr">
        <is>
          <t>CB400-V</t>
        </is>
      </c>
      <c r="G457" s="7" t="inlineStr"/>
      <c r="H457" s="20" t="n">
        <v>2.604</v>
      </c>
      <c r="I457" s="21" t="n">
        <v>4</v>
      </c>
      <c r="J457" s="22" t="n">
        <v>1.578</v>
      </c>
      <c r="K457" s="9">
        <f>ROUND(H457*I457*J457, 2)</f>
        <v/>
      </c>
      <c r="L457" s="23">
        <f>ROUND(K457/1000, 3)</f>
        <v/>
      </c>
      <c r="M457" s="8">
        <f>IF(AO457="","",IF(INDEX(Theo_Doi_Tan_Suat_Be_Tong!$C:$C,AO457)="","",INDEX(Theo_Doi_Tan_Suat_Be_Tong!$C:$C,AO457)-VLOOKUP(AN457,$AQ$2:$AR$7,2,FALSE)))</f>
        <v/>
      </c>
      <c r="N457" s="6" t="n"/>
      <c r="O457" s="24">
        <f>IF(ROUNDUP(S457/20,0)&gt;ROUNDUP(S456/20,0),"TN Ø16 (Lần " &amp; ROUNDUP(S457/20,0) &amp; ")","")</f>
        <v/>
      </c>
      <c r="P457" s="20">
        <f>ROUND(P456+IF(AND(E457&lt;=10,F457&lt;&gt;"ASTM A416"),L457,0),3)</f>
        <v/>
      </c>
      <c r="Q457" s="20">
        <f>ROUND(Q456+IF(AND(E457=12,F457&lt;&gt;"ASTM A416"),L457,0),3)</f>
        <v/>
      </c>
      <c r="R457" s="20">
        <f>ROUND(R456+IF(AND(E457=14,F457&lt;&gt;"ASTM A416"),L457,0),3)</f>
        <v/>
      </c>
      <c r="S457" s="20">
        <f>ROUND(S456+IF(AND(E457=16,F457&lt;&gt;"ASTM A416"),L457,0),3)</f>
        <v/>
      </c>
      <c r="T457" s="20">
        <f>ROUND(T456+IF(AND(E457=18,F457&lt;&gt;"ASTM A416"),L457,0),3)</f>
        <v/>
      </c>
      <c r="U457" s="20">
        <f>ROUND(U456+IF(AND(E457=20,F457&lt;&gt;"ASTM A416"),L457,0),3)</f>
        <v/>
      </c>
      <c r="V457" s="20">
        <f>ROUND(V456+IF(AND(E457=22,F457&lt;&gt;"ASTM A416"),L457,0),3)</f>
        <v/>
      </c>
      <c r="W457" s="20">
        <f>ROUND(W456+IF(AND(E457=25,F457&lt;&gt;"ASTM A416"),L457,0),3)</f>
        <v/>
      </c>
      <c r="X457" s="20">
        <f>ROUND(X456+IF(AND(E457=28,F457&lt;&gt;"ASTM A416"),L457,0),3)</f>
        <v/>
      </c>
      <c r="Y457" s="20">
        <f>ROUND(Y456+IF(AND(E457=32,F457&lt;&gt;"ASTM A416"),L457,0),3)</f>
        <v/>
      </c>
      <c r="Z457" s="20">
        <f>ROUND(Z456+IF(F457="ASTM A416",L457,0),3)</f>
        <v/>
      </c>
      <c r="AA457" s="11">
        <f>IF(ROUNDUP(P457/20,0)&gt;ROUNDUP(P456/20,0),"Lần " &amp; ROUNDUP(P457/20,0),"")</f>
        <v/>
      </c>
      <c r="AB457" s="11">
        <f>IF(ROUNDUP(Q457/20,0)&gt;ROUNDUP(Q456/20,0),"Lần " &amp; ROUNDUP(Q457/20,0),"")</f>
        <v/>
      </c>
      <c r="AC457" s="11">
        <f>IF(ROUNDUP(R457/20,0)&gt;ROUNDUP(R456/20,0),"Lần " &amp; ROUNDUP(R457/20,0),"")</f>
        <v/>
      </c>
      <c r="AD457" s="11">
        <f>IF(ROUNDUP(S457/20,0)&gt;ROUNDUP(S456/20,0),"Lần " &amp; ROUNDUP(S457/20,0),"")</f>
        <v/>
      </c>
      <c r="AE457" s="11">
        <f>IF(ROUNDUP(T457/20,0)&gt;ROUNDUP(T456/20,0),"Lần " &amp; ROUNDUP(T457/20,0),"")</f>
        <v/>
      </c>
      <c r="AF457" s="11">
        <f>IF(ROUNDUP(U457/20,0)&gt;ROUNDUP(U456/20,0),"Lần " &amp; ROUNDUP(U457/20,0),"")</f>
        <v/>
      </c>
      <c r="AG457" s="11">
        <f>IF(ROUNDUP(V457/20,0)&gt;ROUNDUP(V456/20,0),"Lần " &amp; ROUNDUP(V457/20,0),"")</f>
        <v/>
      </c>
      <c r="AH457" s="11">
        <f>IF(ROUNDUP(W457/20,0)&gt;ROUNDUP(W456/20,0),"Lần " &amp; ROUNDUP(W457/20,0),"")</f>
        <v/>
      </c>
      <c r="AI457" s="11">
        <f>IF(ROUNDUP(X457/20,0)&gt;ROUNDUP(X456/20,0),"Lần " &amp; ROUNDUP(X457/20,0),"")</f>
        <v/>
      </c>
      <c r="AJ457" s="11">
        <f>IF(ROUNDUP(Y457/20,0)&gt;ROUNDUP(Y456/20,0),"Lần " &amp; ROUNDUP(Y457/20,0),"")</f>
        <v/>
      </c>
      <c r="AK457" s="11">
        <f>IF(ROUNDUP(Z457/20,0)&gt;ROUNDUP(Z456/20,0),"Lần " &amp; ROUNDUP(Z457/20,0),"")</f>
        <v/>
      </c>
      <c r="AL457" s="6" t="n"/>
      <c r="AN457" t="inlineStr">
        <is>
          <t>Coc</t>
        </is>
      </c>
      <c r="AO457" t="n">
        <v>7</v>
      </c>
    </row>
    <row r="458" ht="19" customHeight="1">
      <c r="A458" s="17" t="inlineStr">
        <is>
          <t>--- CỌC KHOAN NHỒI C2 TRỤ T1 (D1.2M, L=40.0M) ---</t>
        </is>
      </c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  <c r="AG458" s="35" t="n"/>
      <c r="AH458" s="35" t="n"/>
      <c r="AI458" s="35" t="n"/>
      <c r="AJ458" s="35" t="n"/>
      <c r="AK458" s="35" t="n"/>
      <c r="AL458" s="34" t="n"/>
    </row>
    <row r="459" ht="19" customHeight="1">
      <c r="A459" s="6" t="n">
        <v>438</v>
      </c>
      <c r="B459" s="7" t="inlineStr">
        <is>
          <t>Cọc khoan nhồi C2 Trụ T1 (D1.2m, L=40.0m)</t>
        </is>
      </c>
      <c r="C459" s="7" t="inlineStr">
        <is>
          <t>Cọc trụ T1 L=40m (tr.68)</t>
        </is>
      </c>
      <c r="D459" s="18" t="inlineStr">
        <is>
          <t>P1</t>
        </is>
      </c>
      <c r="E459" s="19" t="n">
        <v>10</v>
      </c>
      <c r="F459" s="6" t="inlineStr">
        <is>
          <t>CB240-T</t>
        </is>
      </c>
      <c r="G459" s="7" t="inlineStr"/>
      <c r="H459" s="20" t="n">
        <v>96.604</v>
      </c>
      <c r="I459" s="21" t="n">
        <v>1</v>
      </c>
      <c r="J459" s="22" t="n">
        <v>0.617</v>
      </c>
      <c r="K459" s="9">
        <f>ROUND(H459*I459*J459, 2)</f>
        <v/>
      </c>
      <c r="L459" s="23">
        <f>ROUND(K459/1000, 3)</f>
        <v/>
      </c>
      <c r="M459" s="8">
        <f>IF(AO459="","",IF(INDEX(Theo_Doi_Tan_Suat_Be_Tong!$C:$C,AO459)="","",INDEX(Theo_Doi_Tan_Suat_Be_Tong!$C:$C,AO459)-VLOOKUP(AN459,$AQ$2:$AR$7,2,FALSE)))</f>
        <v/>
      </c>
      <c r="N459" s="6" t="n"/>
      <c r="O459" s="24">
        <f>IF(ROUNDUP(P459/20,0)&gt;ROUNDUP(P457/20,0),"TN Ø10 (Lần " &amp; ROUNDUP(P459/20,0) &amp; ")","")</f>
        <v/>
      </c>
      <c r="P459" s="20">
        <f>ROUND(P457+IF(AND(E459&lt;=10,F459&lt;&gt;"ASTM A416"),L459,0),3)</f>
        <v/>
      </c>
      <c r="Q459" s="20">
        <f>ROUND(Q457+IF(AND(E459=12,F459&lt;&gt;"ASTM A416"),L459,0),3)</f>
        <v/>
      </c>
      <c r="R459" s="20">
        <f>ROUND(R457+IF(AND(E459=14,F459&lt;&gt;"ASTM A416"),L459,0),3)</f>
        <v/>
      </c>
      <c r="S459" s="20">
        <f>ROUND(S457+IF(AND(E459=16,F459&lt;&gt;"ASTM A416"),L459,0),3)</f>
        <v/>
      </c>
      <c r="T459" s="20">
        <f>ROUND(T457+IF(AND(E459=18,F459&lt;&gt;"ASTM A416"),L459,0),3)</f>
        <v/>
      </c>
      <c r="U459" s="20">
        <f>ROUND(U457+IF(AND(E459=20,F459&lt;&gt;"ASTM A416"),L459,0),3)</f>
        <v/>
      </c>
      <c r="V459" s="20">
        <f>ROUND(V457+IF(AND(E459=22,F459&lt;&gt;"ASTM A416"),L459,0),3)</f>
        <v/>
      </c>
      <c r="W459" s="20">
        <f>ROUND(W457+IF(AND(E459=25,F459&lt;&gt;"ASTM A416"),L459,0),3)</f>
        <v/>
      </c>
      <c r="X459" s="20">
        <f>ROUND(X457+IF(AND(E459=28,F459&lt;&gt;"ASTM A416"),L459,0),3)</f>
        <v/>
      </c>
      <c r="Y459" s="20">
        <f>ROUND(Y457+IF(AND(E459=32,F459&lt;&gt;"ASTM A416"),L459,0),3)</f>
        <v/>
      </c>
      <c r="Z459" s="20">
        <f>ROUND(Z457+IF(F459="ASTM A416",L459,0),3)</f>
        <v/>
      </c>
      <c r="AA459" s="11">
        <f>IF(ROUNDUP(P459/20,0)&gt;ROUNDUP(P457/20,0),"Lần " &amp; ROUNDUP(P459/20,0),"")</f>
        <v/>
      </c>
      <c r="AB459" s="11">
        <f>IF(ROUNDUP(Q459/20,0)&gt;ROUNDUP(Q457/20,0),"Lần " &amp; ROUNDUP(Q459/20,0),"")</f>
        <v/>
      </c>
      <c r="AC459" s="11">
        <f>IF(ROUNDUP(R459/20,0)&gt;ROUNDUP(R457/20,0),"Lần " &amp; ROUNDUP(R459/20,0),"")</f>
        <v/>
      </c>
      <c r="AD459" s="11">
        <f>IF(ROUNDUP(S459/20,0)&gt;ROUNDUP(S457/20,0),"Lần " &amp; ROUNDUP(S459/20,0),"")</f>
        <v/>
      </c>
      <c r="AE459" s="11">
        <f>IF(ROUNDUP(T459/20,0)&gt;ROUNDUP(T457/20,0),"Lần " &amp; ROUNDUP(T459/20,0),"")</f>
        <v/>
      </c>
      <c r="AF459" s="11">
        <f>IF(ROUNDUP(U459/20,0)&gt;ROUNDUP(U457/20,0),"Lần " &amp; ROUNDUP(U459/20,0),"")</f>
        <v/>
      </c>
      <c r="AG459" s="11">
        <f>IF(ROUNDUP(V459/20,0)&gt;ROUNDUP(V457/20,0),"Lần " &amp; ROUNDUP(V459/20,0),"")</f>
        <v/>
      </c>
      <c r="AH459" s="11">
        <f>IF(ROUNDUP(W459/20,0)&gt;ROUNDUP(W457/20,0),"Lần " &amp; ROUNDUP(W459/20,0),"")</f>
        <v/>
      </c>
      <c r="AI459" s="11">
        <f>IF(ROUNDUP(X459/20,0)&gt;ROUNDUP(X457/20,0),"Lần " &amp; ROUNDUP(X459/20,0),"")</f>
        <v/>
      </c>
      <c r="AJ459" s="11">
        <f>IF(ROUNDUP(Y459/20,0)&gt;ROUNDUP(Y457/20,0),"Lần " &amp; ROUNDUP(Y459/20,0),"")</f>
        <v/>
      </c>
      <c r="AK459" s="11">
        <f>IF(ROUNDUP(Z459/20,0)&gt;ROUNDUP(Z457/20,0),"Lần " &amp; ROUNDUP(Z459/20,0),"")</f>
        <v/>
      </c>
      <c r="AL459" s="6" t="n"/>
      <c r="AN459" t="inlineStr">
        <is>
          <t>Coc</t>
        </is>
      </c>
      <c r="AO459" t="n">
        <v>8</v>
      </c>
    </row>
    <row r="460" ht="19" customHeight="1">
      <c r="A460" s="6" t="n">
        <v>439</v>
      </c>
      <c r="B460" s="7" t="inlineStr">
        <is>
          <t>Cọc khoan nhồi C2 Trụ T1 (D1.2m, L=40.0m)</t>
        </is>
      </c>
      <c r="C460" s="7" t="inlineStr">
        <is>
          <t>Cọc trụ T1 L=40m (tr.68)</t>
        </is>
      </c>
      <c r="D460" s="18" t="inlineStr">
        <is>
          <t>P1A</t>
        </is>
      </c>
      <c r="E460" s="19" t="n">
        <v>10</v>
      </c>
      <c r="F460" s="6" t="inlineStr">
        <is>
          <t>CB240-T</t>
        </is>
      </c>
      <c r="G460" s="7" t="inlineStr"/>
      <c r="H460" s="20" t="n">
        <v>389.636</v>
      </c>
      <c r="I460" s="21" t="n">
        <v>1</v>
      </c>
      <c r="J460" s="22" t="n">
        <v>0.617</v>
      </c>
      <c r="K460" s="9">
        <f>ROUND(H460*I460*J460, 2)</f>
        <v/>
      </c>
      <c r="L460" s="23">
        <f>ROUND(K460/1000, 3)</f>
        <v/>
      </c>
      <c r="M460" s="8">
        <f>IF(AO460="","",IF(INDEX(Theo_Doi_Tan_Suat_Be_Tong!$C:$C,AO460)="","",INDEX(Theo_Doi_Tan_Suat_Be_Tong!$C:$C,AO460)-VLOOKUP(AN460,$AQ$2:$AR$7,2,FALSE)))</f>
        <v/>
      </c>
      <c r="N460" s="6" t="n"/>
      <c r="O460" s="24">
        <f>IF(ROUNDUP(P460/20,0)&gt;ROUNDUP(P459/20,0),"TN Ø10 (Lần " &amp; ROUNDUP(P460/20,0) &amp; ")","")</f>
        <v/>
      </c>
      <c r="P460" s="20">
        <f>ROUND(P459+IF(AND(E460&lt;=10,F460&lt;&gt;"ASTM A416"),L460,0),3)</f>
        <v/>
      </c>
      <c r="Q460" s="20">
        <f>ROUND(Q459+IF(AND(E460=12,F460&lt;&gt;"ASTM A416"),L460,0),3)</f>
        <v/>
      </c>
      <c r="R460" s="20">
        <f>ROUND(R459+IF(AND(E460=14,F460&lt;&gt;"ASTM A416"),L460,0),3)</f>
        <v/>
      </c>
      <c r="S460" s="20">
        <f>ROUND(S459+IF(AND(E460=16,F460&lt;&gt;"ASTM A416"),L460,0),3)</f>
        <v/>
      </c>
      <c r="T460" s="20">
        <f>ROUND(T459+IF(AND(E460=18,F460&lt;&gt;"ASTM A416"),L460,0),3)</f>
        <v/>
      </c>
      <c r="U460" s="20">
        <f>ROUND(U459+IF(AND(E460=20,F460&lt;&gt;"ASTM A416"),L460,0),3)</f>
        <v/>
      </c>
      <c r="V460" s="20">
        <f>ROUND(V459+IF(AND(E460=22,F460&lt;&gt;"ASTM A416"),L460,0),3)</f>
        <v/>
      </c>
      <c r="W460" s="20">
        <f>ROUND(W459+IF(AND(E460=25,F460&lt;&gt;"ASTM A416"),L460,0),3)</f>
        <v/>
      </c>
      <c r="X460" s="20">
        <f>ROUND(X459+IF(AND(E460=28,F460&lt;&gt;"ASTM A416"),L460,0),3)</f>
        <v/>
      </c>
      <c r="Y460" s="20">
        <f>ROUND(Y459+IF(AND(E460=32,F460&lt;&gt;"ASTM A416"),L460,0),3)</f>
        <v/>
      </c>
      <c r="Z460" s="20">
        <f>ROUND(Z459+IF(F460="ASTM A416",L460,0),3)</f>
        <v/>
      </c>
      <c r="AA460" s="11">
        <f>IF(ROUNDUP(P460/20,0)&gt;ROUNDUP(P459/20,0),"Lần " &amp; ROUNDUP(P460/20,0),"")</f>
        <v/>
      </c>
      <c r="AB460" s="11">
        <f>IF(ROUNDUP(Q460/20,0)&gt;ROUNDUP(Q459/20,0),"Lần " &amp; ROUNDUP(Q460/20,0),"")</f>
        <v/>
      </c>
      <c r="AC460" s="11">
        <f>IF(ROUNDUP(R460/20,0)&gt;ROUNDUP(R459/20,0),"Lần " &amp; ROUNDUP(R460/20,0),"")</f>
        <v/>
      </c>
      <c r="AD460" s="11">
        <f>IF(ROUNDUP(S460/20,0)&gt;ROUNDUP(S459/20,0),"Lần " &amp; ROUNDUP(S460/20,0),"")</f>
        <v/>
      </c>
      <c r="AE460" s="11">
        <f>IF(ROUNDUP(T460/20,0)&gt;ROUNDUP(T459/20,0),"Lần " &amp; ROUNDUP(T460/20,0),"")</f>
        <v/>
      </c>
      <c r="AF460" s="11">
        <f>IF(ROUNDUP(U460/20,0)&gt;ROUNDUP(U459/20,0),"Lần " &amp; ROUNDUP(U460/20,0),"")</f>
        <v/>
      </c>
      <c r="AG460" s="11">
        <f>IF(ROUNDUP(V460/20,0)&gt;ROUNDUP(V459/20,0),"Lần " &amp; ROUNDUP(V460/20,0),"")</f>
        <v/>
      </c>
      <c r="AH460" s="11">
        <f>IF(ROUNDUP(W460/20,0)&gt;ROUNDUP(W459/20,0),"Lần " &amp; ROUNDUP(W460/20,0),"")</f>
        <v/>
      </c>
      <c r="AI460" s="11">
        <f>IF(ROUNDUP(X460/20,0)&gt;ROUNDUP(X459/20,0),"Lần " &amp; ROUNDUP(X460/20,0),"")</f>
        <v/>
      </c>
      <c r="AJ460" s="11">
        <f>IF(ROUNDUP(Y460/20,0)&gt;ROUNDUP(Y459/20,0),"Lần " &amp; ROUNDUP(Y460/20,0),"")</f>
        <v/>
      </c>
      <c r="AK460" s="11">
        <f>IF(ROUNDUP(Z460/20,0)&gt;ROUNDUP(Z459/20,0),"Lần " &amp; ROUNDUP(Z460/20,0),"")</f>
        <v/>
      </c>
      <c r="AL460" s="6" t="n"/>
      <c r="AN460" t="inlineStr">
        <is>
          <t>Coc</t>
        </is>
      </c>
      <c r="AO460" t="n">
        <v>8</v>
      </c>
    </row>
    <row r="461" ht="19" customHeight="1">
      <c r="A461" s="6" t="n">
        <v>440</v>
      </c>
      <c r="B461" s="7" t="inlineStr">
        <is>
          <t>Cọc khoan nhồi C2 Trụ T1 (D1.2m, L=40.0m)</t>
        </is>
      </c>
      <c r="C461" s="7" t="inlineStr">
        <is>
          <t>Cọc trụ T1 L=40m (tr.68)</t>
        </is>
      </c>
      <c r="D461" s="18" t="inlineStr">
        <is>
          <t>P1B</t>
        </is>
      </c>
      <c r="E461" s="19" t="n">
        <v>10</v>
      </c>
      <c r="F461" s="6" t="inlineStr">
        <is>
          <t>CB240-T</t>
        </is>
      </c>
      <c r="G461" s="7" t="inlineStr"/>
      <c r="H461" s="20" t="n">
        <v>206.981</v>
      </c>
      <c r="I461" s="21" t="n">
        <v>1</v>
      </c>
      <c r="J461" s="22" t="n">
        <v>0.617</v>
      </c>
      <c r="K461" s="9">
        <f>ROUND(H461*I461*J461, 2)</f>
        <v/>
      </c>
      <c r="L461" s="23">
        <f>ROUND(K461/1000, 3)</f>
        <v/>
      </c>
      <c r="M461" s="8">
        <f>IF(AO461="","",IF(INDEX(Theo_Doi_Tan_Suat_Be_Tong!$C:$C,AO461)="","",INDEX(Theo_Doi_Tan_Suat_Be_Tong!$C:$C,AO461)-VLOOKUP(AN461,$AQ$2:$AR$7,2,FALSE)))</f>
        <v/>
      </c>
      <c r="N461" s="6" t="n"/>
      <c r="O461" s="24">
        <f>IF(ROUNDUP(P461/20,0)&gt;ROUNDUP(P460/20,0),"TN Ø10 (Lần " &amp; ROUNDUP(P461/20,0) &amp; ")","")</f>
        <v/>
      </c>
      <c r="P461" s="20">
        <f>ROUND(P460+IF(AND(E461&lt;=10,F461&lt;&gt;"ASTM A416"),L461,0),3)</f>
        <v/>
      </c>
      <c r="Q461" s="20">
        <f>ROUND(Q460+IF(AND(E461=12,F461&lt;&gt;"ASTM A416"),L461,0),3)</f>
        <v/>
      </c>
      <c r="R461" s="20">
        <f>ROUND(R460+IF(AND(E461=14,F461&lt;&gt;"ASTM A416"),L461,0),3)</f>
        <v/>
      </c>
      <c r="S461" s="20">
        <f>ROUND(S460+IF(AND(E461=16,F461&lt;&gt;"ASTM A416"),L461,0),3)</f>
        <v/>
      </c>
      <c r="T461" s="20">
        <f>ROUND(T460+IF(AND(E461=18,F461&lt;&gt;"ASTM A416"),L461,0),3)</f>
        <v/>
      </c>
      <c r="U461" s="20">
        <f>ROUND(U460+IF(AND(E461=20,F461&lt;&gt;"ASTM A416"),L461,0),3)</f>
        <v/>
      </c>
      <c r="V461" s="20">
        <f>ROUND(V460+IF(AND(E461=22,F461&lt;&gt;"ASTM A416"),L461,0),3)</f>
        <v/>
      </c>
      <c r="W461" s="20">
        <f>ROUND(W460+IF(AND(E461=25,F461&lt;&gt;"ASTM A416"),L461,0),3)</f>
        <v/>
      </c>
      <c r="X461" s="20">
        <f>ROUND(X460+IF(AND(E461=28,F461&lt;&gt;"ASTM A416"),L461,0),3)</f>
        <v/>
      </c>
      <c r="Y461" s="20">
        <f>ROUND(Y460+IF(AND(E461=32,F461&lt;&gt;"ASTM A416"),L461,0),3)</f>
        <v/>
      </c>
      <c r="Z461" s="20">
        <f>ROUND(Z460+IF(F461="ASTM A416",L461,0),3)</f>
        <v/>
      </c>
      <c r="AA461" s="11">
        <f>IF(ROUNDUP(P461/20,0)&gt;ROUNDUP(P460/20,0),"Lần " &amp; ROUNDUP(P461/20,0),"")</f>
        <v/>
      </c>
      <c r="AB461" s="11">
        <f>IF(ROUNDUP(Q461/20,0)&gt;ROUNDUP(Q460/20,0),"Lần " &amp; ROUNDUP(Q461/20,0),"")</f>
        <v/>
      </c>
      <c r="AC461" s="11">
        <f>IF(ROUNDUP(R461/20,0)&gt;ROUNDUP(R460/20,0),"Lần " &amp; ROUNDUP(R461/20,0),"")</f>
        <v/>
      </c>
      <c r="AD461" s="11">
        <f>IF(ROUNDUP(S461/20,0)&gt;ROUNDUP(S460/20,0),"Lần " &amp; ROUNDUP(S461/20,0),"")</f>
        <v/>
      </c>
      <c r="AE461" s="11">
        <f>IF(ROUNDUP(T461/20,0)&gt;ROUNDUP(T460/20,0),"Lần " &amp; ROUNDUP(T461/20,0),"")</f>
        <v/>
      </c>
      <c r="AF461" s="11">
        <f>IF(ROUNDUP(U461/20,0)&gt;ROUNDUP(U460/20,0),"Lần " &amp; ROUNDUP(U461/20,0),"")</f>
        <v/>
      </c>
      <c r="AG461" s="11">
        <f>IF(ROUNDUP(V461/20,0)&gt;ROUNDUP(V460/20,0),"Lần " &amp; ROUNDUP(V461/20,0),"")</f>
        <v/>
      </c>
      <c r="AH461" s="11">
        <f>IF(ROUNDUP(W461/20,0)&gt;ROUNDUP(W460/20,0),"Lần " &amp; ROUNDUP(W461/20,0),"")</f>
        <v/>
      </c>
      <c r="AI461" s="11">
        <f>IF(ROUNDUP(X461/20,0)&gt;ROUNDUP(X460/20,0),"Lần " &amp; ROUNDUP(X461/20,0),"")</f>
        <v/>
      </c>
      <c r="AJ461" s="11">
        <f>IF(ROUNDUP(Y461/20,0)&gt;ROUNDUP(Y460/20,0),"Lần " &amp; ROUNDUP(Y461/20,0),"")</f>
        <v/>
      </c>
      <c r="AK461" s="11">
        <f>IF(ROUNDUP(Z461/20,0)&gt;ROUNDUP(Z460/20,0),"Lần " &amp; ROUNDUP(Z461/20,0),"")</f>
        <v/>
      </c>
      <c r="AL461" s="6" t="n"/>
      <c r="AN461" t="inlineStr">
        <is>
          <t>Coc</t>
        </is>
      </c>
      <c r="AO461" t="n">
        <v>8</v>
      </c>
    </row>
    <row r="462" ht="19" customHeight="1">
      <c r="A462" s="6" t="n">
        <v>441</v>
      </c>
      <c r="B462" s="7" t="inlineStr">
        <is>
          <t>Cọc khoan nhồi C2 Trụ T1 (D1.2m, L=40.0m)</t>
        </is>
      </c>
      <c r="C462" s="7" t="inlineStr">
        <is>
          <t>Cọc trụ T1 L=40m (tr.68)</t>
        </is>
      </c>
      <c r="D462" s="18" t="inlineStr">
        <is>
          <t>P1C</t>
        </is>
      </c>
      <c r="E462" s="19" t="n">
        <v>10</v>
      </c>
      <c r="F462" s="6" t="inlineStr">
        <is>
          <t>CB240-T</t>
        </is>
      </c>
      <c r="G462" s="7" t="inlineStr"/>
      <c r="H462" s="20" t="n">
        <v>3.592</v>
      </c>
      <c r="I462" s="21" t="n">
        <v>2</v>
      </c>
      <c r="J462" s="22" t="n">
        <v>0.617</v>
      </c>
      <c r="K462" s="9">
        <f>ROUND(H462*I462*J462, 2)</f>
        <v/>
      </c>
      <c r="L462" s="23">
        <f>ROUND(K462/1000, 3)</f>
        <v/>
      </c>
      <c r="M462" s="8">
        <f>IF(AO462="","",IF(INDEX(Theo_Doi_Tan_Suat_Be_Tong!$C:$C,AO462)="","",INDEX(Theo_Doi_Tan_Suat_Be_Tong!$C:$C,AO462)-VLOOKUP(AN462,$AQ$2:$AR$7,2,FALSE)))</f>
        <v/>
      </c>
      <c r="N462" s="6" t="n"/>
      <c r="O462" s="24">
        <f>IF(ROUNDUP(P462/20,0)&gt;ROUNDUP(P461/20,0),"TN Ø10 (Lần " &amp; ROUNDUP(P462/20,0) &amp; ")","")</f>
        <v/>
      </c>
      <c r="P462" s="20">
        <f>ROUND(P461+IF(AND(E462&lt;=10,F462&lt;&gt;"ASTM A416"),L462,0),3)</f>
        <v/>
      </c>
      <c r="Q462" s="20">
        <f>ROUND(Q461+IF(AND(E462=12,F462&lt;&gt;"ASTM A416"),L462,0),3)</f>
        <v/>
      </c>
      <c r="R462" s="20">
        <f>ROUND(R461+IF(AND(E462=14,F462&lt;&gt;"ASTM A416"),L462,0),3)</f>
        <v/>
      </c>
      <c r="S462" s="20">
        <f>ROUND(S461+IF(AND(E462=16,F462&lt;&gt;"ASTM A416"),L462,0),3)</f>
        <v/>
      </c>
      <c r="T462" s="20">
        <f>ROUND(T461+IF(AND(E462=18,F462&lt;&gt;"ASTM A416"),L462,0),3)</f>
        <v/>
      </c>
      <c r="U462" s="20">
        <f>ROUND(U461+IF(AND(E462=20,F462&lt;&gt;"ASTM A416"),L462,0),3)</f>
        <v/>
      </c>
      <c r="V462" s="20">
        <f>ROUND(V461+IF(AND(E462=22,F462&lt;&gt;"ASTM A416"),L462,0),3)</f>
        <v/>
      </c>
      <c r="W462" s="20">
        <f>ROUND(W461+IF(AND(E462=25,F462&lt;&gt;"ASTM A416"),L462,0),3)</f>
        <v/>
      </c>
      <c r="X462" s="20">
        <f>ROUND(X461+IF(AND(E462=28,F462&lt;&gt;"ASTM A416"),L462,0),3)</f>
        <v/>
      </c>
      <c r="Y462" s="20">
        <f>ROUND(Y461+IF(AND(E462=32,F462&lt;&gt;"ASTM A416"),L462,0),3)</f>
        <v/>
      </c>
      <c r="Z462" s="20">
        <f>ROUND(Z461+IF(F462="ASTM A416",L462,0),3)</f>
        <v/>
      </c>
      <c r="AA462" s="11">
        <f>IF(ROUNDUP(P462/20,0)&gt;ROUNDUP(P461/20,0),"Lần " &amp; ROUNDUP(P462/20,0),"")</f>
        <v/>
      </c>
      <c r="AB462" s="11">
        <f>IF(ROUNDUP(Q462/20,0)&gt;ROUNDUP(Q461/20,0),"Lần " &amp; ROUNDUP(Q462/20,0),"")</f>
        <v/>
      </c>
      <c r="AC462" s="11">
        <f>IF(ROUNDUP(R462/20,0)&gt;ROUNDUP(R461/20,0),"Lần " &amp; ROUNDUP(R462/20,0),"")</f>
        <v/>
      </c>
      <c r="AD462" s="11">
        <f>IF(ROUNDUP(S462/20,0)&gt;ROUNDUP(S461/20,0),"Lần " &amp; ROUNDUP(S462/20,0),"")</f>
        <v/>
      </c>
      <c r="AE462" s="11">
        <f>IF(ROUNDUP(T462/20,0)&gt;ROUNDUP(T461/20,0),"Lần " &amp; ROUNDUP(T462/20,0),"")</f>
        <v/>
      </c>
      <c r="AF462" s="11">
        <f>IF(ROUNDUP(U462/20,0)&gt;ROUNDUP(U461/20,0),"Lần " &amp; ROUNDUP(U462/20,0),"")</f>
        <v/>
      </c>
      <c r="AG462" s="11">
        <f>IF(ROUNDUP(V462/20,0)&gt;ROUNDUP(V461/20,0),"Lần " &amp; ROUNDUP(V462/20,0),"")</f>
        <v/>
      </c>
      <c r="AH462" s="11">
        <f>IF(ROUNDUP(W462/20,0)&gt;ROUNDUP(W461/20,0),"Lần " &amp; ROUNDUP(W462/20,0),"")</f>
        <v/>
      </c>
      <c r="AI462" s="11">
        <f>IF(ROUNDUP(X462/20,0)&gt;ROUNDUP(X461/20,0),"Lần " &amp; ROUNDUP(X462/20,0),"")</f>
        <v/>
      </c>
      <c r="AJ462" s="11">
        <f>IF(ROUNDUP(Y462/20,0)&gt;ROUNDUP(Y461/20,0),"Lần " &amp; ROUNDUP(Y462/20,0),"")</f>
        <v/>
      </c>
      <c r="AK462" s="11">
        <f>IF(ROUNDUP(Z462/20,0)&gt;ROUNDUP(Z461/20,0),"Lần " &amp; ROUNDUP(Z462/20,0),"")</f>
        <v/>
      </c>
      <c r="AL462" s="6" t="n"/>
      <c r="AN462" t="inlineStr">
        <is>
          <t>Coc</t>
        </is>
      </c>
      <c r="AO462" t="n">
        <v>8</v>
      </c>
    </row>
    <row r="463" ht="19" customHeight="1">
      <c r="A463" s="6" t="n">
        <v>442</v>
      </c>
      <c r="B463" s="7" t="inlineStr">
        <is>
          <t>Cọc khoan nhồi C2 Trụ T1 (D1.2m, L=40.0m)</t>
        </is>
      </c>
      <c r="C463" s="7" t="inlineStr">
        <is>
          <t>Cọc trụ T1 L=40m (tr.68)</t>
        </is>
      </c>
      <c r="D463" s="18" t="inlineStr">
        <is>
          <t>P1D</t>
        </is>
      </c>
      <c r="E463" s="19" t="n">
        <v>10</v>
      </c>
      <c r="F463" s="6" t="inlineStr">
        <is>
          <t>CB240-T</t>
        </is>
      </c>
      <c r="G463" s="7" t="inlineStr"/>
      <c r="H463" s="20" t="n">
        <v>19.721</v>
      </c>
      <c r="I463" s="21" t="n">
        <v>1</v>
      </c>
      <c r="J463" s="22" t="n">
        <v>0.617</v>
      </c>
      <c r="K463" s="9">
        <f>ROUND(H463*I463*J463, 2)</f>
        <v/>
      </c>
      <c r="L463" s="23">
        <f>ROUND(K463/1000, 3)</f>
        <v/>
      </c>
      <c r="M463" s="8">
        <f>IF(AO463="","",IF(INDEX(Theo_Doi_Tan_Suat_Be_Tong!$C:$C,AO463)="","",INDEX(Theo_Doi_Tan_Suat_Be_Tong!$C:$C,AO463)-VLOOKUP(AN463,$AQ$2:$AR$7,2,FALSE)))</f>
        <v/>
      </c>
      <c r="N463" s="6" t="n"/>
      <c r="O463" s="24">
        <f>IF(ROUNDUP(P463/20,0)&gt;ROUNDUP(P462/20,0),"TN Ø10 (Lần " &amp; ROUNDUP(P463/20,0) &amp; ")","")</f>
        <v/>
      </c>
      <c r="P463" s="20">
        <f>ROUND(P462+IF(AND(E463&lt;=10,F463&lt;&gt;"ASTM A416"),L463,0),3)</f>
        <v/>
      </c>
      <c r="Q463" s="20">
        <f>ROUND(Q462+IF(AND(E463=12,F463&lt;&gt;"ASTM A416"),L463,0),3)</f>
        <v/>
      </c>
      <c r="R463" s="20">
        <f>ROUND(R462+IF(AND(E463=14,F463&lt;&gt;"ASTM A416"),L463,0),3)</f>
        <v/>
      </c>
      <c r="S463" s="20">
        <f>ROUND(S462+IF(AND(E463=16,F463&lt;&gt;"ASTM A416"),L463,0),3)</f>
        <v/>
      </c>
      <c r="T463" s="20">
        <f>ROUND(T462+IF(AND(E463=18,F463&lt;&gt;"ASTM A416"),L463,0),3)</f>
        <v/>
      </c>
      <c r="U463" s="20">
        <f>ROUND(U462+IF(AND(E463=20,F463&lt;&gt;"ASTM A416"),L463,0),3)</f>
        <v/>
      </c>
      <c r="V463" s="20">
        <f>ROUND(V462+IF(AND(E463=22,F463&lt;&gt;"ASTM A416"),L463,0),3)</f>
        <v/>
      </c>
      <c r="W463" s="20">
        <f>ROUND(W462+IF(AND(E463=25,F463&lt;&gt;"ASTM A416"),L463,0),3)</f>
        <v/>
      </c>
      <c r="X463" s="20">
        <f>ROUND(X462+IF(AND(E463=28,F463&lt;&gt;"ASTM A416"),L463,0),3)</f>
        <v/>
      </c>
      <c r="Y463" s="20">
        <f>ROUND(Y462+IF(AND(E463=32,F463&lt;&gt;"ASTM A416"),L463,0),3)</f>
        <v/>
      </c>
      <c r="Z463" s="20">
        <f>ROUND(Z462+IF(F463="ASTM A416",L463,0),3)</f>
        <v/>
      </c>
      <c r="AA463" s="11">
        <f>IF(ROUNDUP(P463/20,0)&gt;ROUNDUP(P462/20,0),"Lần " &amp; ROUNDUP(P463/20,0),"")</f>
        <v/>
      </c>
      <c r="AB463" s="11">
        <f>IF(ROUNDUP(Q463/20,0)&gt;ROUNDUP(Q462/20,0),"Lần " &amp; ROUNDUP(Q463/20,0),"")</f>
        <v/>
      </c>
      <c r="AC463" s="11">
        <f>IF(ROUNDUP(R463/20,0)&gt;ROUNDUP(R462/20,0),"Lần " &amp; ROUNDUP(R463/20,0),"")</f>
        <v/>
      </c>
      <c r="AD463" s="11">
        <f>IF(ROUNDUP(S463/20,0)&gt;ROUNDUP(S462/20,0),"Lần " &amp; ROUNDUP(S463/20,0),"")</f>
        <v/>
      </c>
      <c r="AE463" s="11">
        <f>IF(ROUNDUP(T463/20,0)&gt;ROUNDUP(T462/20,0),"Lần " &amp; ROUNDUP(T463/20,0),"")</f>
        <v/>
      </c>
      <c r="AF463" s="11">
        <f>IF(ROUNDUP(U463/20,0)&gt;ROUNDUP(U462/20,0),"Lần " &amp; ROUNDUP(U463/20,0),"")</f>
        <v/>
      </c>
      <c r="AG463" s="11">
        <f>IF(ROUNDUP(V463/20,0)&gt;ROUNDUP(V462/20,0),"Lần " &amp; ROUNDUP(V463/20,0),"")</f>
        <v/>
      </c>
      <c r="AH463" s="11">
        <f>IF(ROUNDUP(W463/20,0)&gt;ROUNDUP(W462/20,0),"Lần " &amp; ROUNDUP(W463/20,0),"")</f>
        <v/>
      </c>
      <c r="AI463" s="11">
        <f>IF(ROUNDUP(X463/20,0)&gt;ROUNDUP(X462/20,0),"Lần " &amp; ROUNDUP(X463/20,0),"")</f>
        <v/>
      </c>
      <c r="AJ463" s="11">
        <f>IF(ROUNDUP(Y463/20,0)&gt;ROUNDUP(Y462/20,0),"Lần " &amp; ROUNDUP(Y463/20,0),"")</f>
        <v/>
      </c>
      <c r="AK463" s="11">
        <f>IF(ROUNDUP(Z463/20,0)&gt;ROUNDUP(Z462/20,0),"Lần " &amp; ROUNDUP(Z463/20,0),"")</f>
        <v/>
      </c>
      <c r="AL463" s="6" t="n"/>
      <c r="AN463" t="inlineStr">
        <is>
          <t>Coc</t>
        </is>
      </c>
      <c r="AO463" t="n">
        <v>8</v>
      </c>
    </row>
    <row r="464" ht="19" customHeight="1">
      <c r="A464" s="6" t="n">
        <v>443</v>
      </c>
      <c r="B464" s="7" t="inlineStr">
        <is>
          <t>Cọc khoan nhồi C2 Trụ T1 (D1.2m, L=40.0m)</t>
        </is>
      </c>
      <c r="C464" s="7" t="inlineStr">
        <is>
          <t>Cọc trụ T1 L=40m (tr.68)</t>
        </is>
      </c>
      <c r="D464" s="18" t="inlineStr">
        <is>
          <t>P2B</t>
        </is>
      </c>
      <c r="E464" s="19" t="n">
        <v>25</v>
      </c>
      <c r="F464" s="6" t="inlineStr">
        <is>
          <t>CB400-V</t>
        </is>
      </c>
      <c r="G464" s="7" t="inlineStr"/>
      <c r="H464" s="20" t="n">
        <v>2.985</v>
      </c>
      <c r="I464" s="21" t="n">
        <v>16</v>
      </c>
      <c r="J464" s="22" t="n">
        <v>3.853</v>
      </c>
      <c r="K464" s="9">
        <f>ROUND(H464*I464*J464, 2)</f>
        <v/>
      </c>
      <c r="L464" s="23">
        <f>ROUND(K464/1000, 3)</f>
        <v/>
      </c>
      <c r="M464" s="8">
        <f>IF(AO464="","",IF(INDEX(Theo_Doi_Tan_Suat_Be_Tong!$C:$C,AO464)="","",INDEX(Theo_Doi_Tan_Suat_Be_Tong!$C:$C,AO464)-VLOOKUP(AN464,$AQ$2:$AR$7,2,FALSE)))</f>
        <v/>
      </c>
      <c r="N464" s="6" t="n"/>
      <c r="O464" s="24">
        <f>IF(ROUNDUP(W464/20,0)&gt;ROUNDUP(W463/20,0),"TN Ø25 (Lần " &amp; ROUNDUP(W464/20,0) &amp; ")","")</f>
        <v/>
      </c>
      <c r="P464" s="20">
        <f>ROUND(P463+IF(AND(E464&lt;=10,F464&lt;&gt;"ASTM A416"),L464,0),3)</f>
        <v/>
      </c>
      <c r="Q464" s="20">
        <f>ROUND(Q463+IF(AND(E464=12,F464&lt;&gt;"ASTM A416"),L464,0),3)</f>
        <v/>
      </c>
      <c r="R464" s="20">
        <f>ROUND(R463+IF(AND(E464=14,F464&lt;&gt;"ASTM A416"),L464,0),3)</f>
        <v/>
      </c>
      <c r="S464" s="20">
        <f>ROUND(S463+IF(AND(E464=16,F464&lt;&gt;"ASTM A416"),L464,0),3)</f>
        <v/>
      </c>
      <c r="T464" s="20">
        <f>ROUND(T463+IF(AND(E464=18,F464&lt;&gt;"ASTM A416"),L464,0),3)</f>
        <v/>
      </c>
      <c r="U464" s="20">
        <f>ROUND(U463+IF(AND(E464=20,F464&lt;&gt;"ASTM A416"),L464,0),3)</f>
        <v/>
      </c>
      <c r="V464" s="20">
        <f>ROUND(V463+IF(AND(E464=22,F464&lt;&gt;"ASTM A416"),L464,0),3)</f>
        <v/>
      </c>
      <c r="W464" s="20">
        <f>ROUND(W463+IF(AND(E464=25,F464&lt;&gt;"ASTM A416"),L464,0),3)</f>
        <v/>
      </c>
      <c r="X464" s="20">
        <f>ROUND(X463+IF(AND(E464=28,F464&lt;&gt;"ASTM A416"),L464,0),3)</f>
        <v/>
      </c>
      <c r="Y464" s="20">
        <f>ROUND(Y463+IF(AND(E464=32,F464&lt;&gt;"ASTM A416"),L464,0),3)</f>
        <v/>
      </c>
      <c r="Z464" s="20">
        <f>ROUND(Z463+IF(F464="ASTM A416",L464,0),3)</f>
        <v/>
      </c>
      <c r="AA464" s="11">
        <f>IF(ROUNDUP(P464/20,0)&gt;ROUNDUP(P463/20,0),"Lần " &amp; ROUNDUP(P464/20,0),"")</f>
        <v/>
      </c>
      <c r="AB464" s="11">
        <f>IF(ROUNDUP(Q464/20,0)&gt;ROUNDUP(Q463/20,0),"Lần " &amp; ROUNDUP(Q464/20,0),"")</f>
        <v/>
      </c>
      <c r="AC464" s="11">
        <f>IF(ROUNDUP(R464/20,0)&gt;ROUNDUP(R463/20,0),"Lần " &amp; ROUNDUP(R464/20,0),"")</f>
        <v/>
      </c>
      <c r="AD464" s="11">
        <f>IF(ROUNDUP(S464/20,0)&gt;ROUNDUP(S463/20,0),"Lần " &amp; ROUNDUP(S464/20,0),"")</f>
        <v/>
      </c>
      <c r="AE464" s="11">
        <f>IF(ROUNDUP(T464/20,0)&gt;ROUNDUP(T463/20,0),"Lần " &amp; ROUNDUP(T464/20,0),"")</f>
        <v/>
      </c>
      <c r="AF464" s="11">
        <f>IF(ROUNDUP(U464/20,0)&gt;ROUNDUP(U463/20,0),"Lần " &amp; ROUNDUP(U464/20,0),"")</f>
        <v/>
      </c>
      <c r="AG464" s="11">
        <f>IF(ROUNDUP(V464/20,0)&gt;ROUNDUP(V463/20,0),"Lần " &amp; ROUNDUP(V464/20,0),"")</f>
        <v/>
      </c>
      <c r="AH464" s="11">
        <f>IF(ROUNDUP(W464/20,0)&gt;ROUNDUP(W463/20,0),"Lần " &amp; ROUNDUP(W464/20,0),"")</f>
        <v/>
      </c>
      <c r="AI464" s="11">
        <f>IF(ROUNDUP(X464/20,0)&gt;ROUNDUP(X463/20,0),"Lần " &amp; ROUNDUP(X464/20,0),"")</f>
        <v/>
      </c>
      <c r="AJ464" s="11">
        <f>IF(ROUNDUP(Y464/20,0)&gt;ROUNDUP(Y463/20,0),"Lần " &amp; ROUNDUP(Y464/20,0),"")</f>
        <v/>
      </c>
      <c r="AK464" s="11">
        <f>IF(ROUNDUP(Z464/20,0)&gt;ROUNDUP(Z463/20,0),"Lần " &amp; ROUNDUP(Z464/20,0),"")</f>
        <v/>
      </c>
      <c r="AL464" s="6" t="n"/>
      <c r="AN464" t="inlineStr">
        <is>
          <t>Coc</t>
        </is>
      </c>
      <c r="AO464" t="n">
        <v>8</v>
      </c>
    </row>
    <row r="465" ht="19" customHeight="1">
      <c r="A465" s="6" t="n">
        <v>444</v>
      </c>
      <c r="B465" s="7" t="inlineStr">
        <is>
          <t>Cọc khoan nhồi C2 Trụ T1 (D1.2m, L=40.0m)</t>
        </is>
      </c>
      <c r="C465" s="7" t="inlineStr">
        <is>
          <t>Cọc trụ T1 L=40m (tr.68)</t>
        </is>
      </c>
      <c r="D465" s="18" t="inlineStr">
        <is>
          <t>P3</t>
        </is>
      </c>
      <c r="E465" s="19" t="n">
        <v>25</v>
      </c>
      <c r="F465" s="6" t="inlineStr">
        <is>
          <t>CB400-V</t>
        </is>
      </c>
      <c r="G465" s="7" t="inlineStr"/>
      <c r="H465" s="20" t="n">
        <v>10.7</v>
      </c>
      <c r="I465" s="21" t="n">
        <v>12</v>
      </c>
      <c r="J465" s="22" t="n">
        <v>3.853</v>
      </c>
      <c r="K465" s="9">
        <f>ROUND(H465*I465*J465, 2)</f>
        <v/>
      </c>
      <c r="L465" s="23">
        <f>ROUND(K465/1000, 3)</f>
        <v/>
      </c>
      <c r="M465" s="8">
        <f>IF(AO465="","",IF(INDEX(Theo_Doi_Tan_Suat_Be_Tong!$C:$C,AO465)="","",INDEX(Theo_Doi_Tan_Suat_Be_Tong!$C:$C,AO465)-VLOOKUP(AN465,$AQ$2:$AR$7,2,FALSE)))</f>
        <v/>
      </c>
      <c r="N465" s="6" t="n"/>
      <c r="O465" s="24">
        <f>IF(ROUNDUP(W465/20,0)&gt;ROUNDUP(W464/20,0),"TN Ø25 (Lần " &amp; ROUNDUP(W465/20,0) &amp; ")","")</f>
        <v/>
      </c>
      <c r="P465" s="20">
        <f>ROUND(P464+IF(AND(E465&lt;=10,F465&lt;&gt;"ASTM A416"),L465,0),3)</f>
        <v/>
      </c>
      <c r="Q465" s="20">
        <f>ROUND(Q464+IF(AND(E465=12,F465&lt;&gt;"ASTM A416"),L465,0),3)</f>
        <v/>
      </c>
      <c r="R465" s="20">
        <f>ROUND(R464+IF(AND(E465=14,F465&lt;&gt;"ASTM A416"),L465,0),3)</f>
        <v/>
      </c>
      <c r="S465" s="20">
        <f>ROUND(S464+IF(AND(E465=16,F465&lt;&gt;"ASTM A416"),L465,0),3)</f>
        <v/>
      </c>
      <c r="T465" s="20">
        <f>ROUND(T464+IF(AND(E465=18,F465&lt;&gt;"ASTM A416"),L465,0),3)</f>
        <v/>
      </c>
      <c r="U465" s="20">
        <f>ROUND(U464+IF(AND(E465=20,F465&lt;&gt;"ASTM A416"),L465,0),3)</f>
        <v/>
      </c>
      <c r="V465" s="20">
        <f>ROUND(V464+IF(AND(E465=22,F465&lt;&gt;"ASTM A416"),L465,0),3)</f>
        <v/>
      </c>
      <c r="W465" s="20">
        <f>ROUND(W464+IF(AND(E465=25,F465&lt;&gt;"ASTM A416"),L465,0),3)</f>
        <v/>
      </c>
      <c r="X465" s="20">
        <f>ROUND(X464+IF(AND(E465=28,F465&lt;&gt;"ASTM A416"),L465,0),3)</f>
        <v/>
      </c>
      <c r="Y465" s="20">
        <f>ROUND(Y464+IF(AND(E465=32,F465&lt;&gt;"ASTM A416"),L465,0),3)</f>
        <v/>
      </c>
      <c r="Z465" s="20">
        <f>ROUND(Z464+IF(F465="ASTM A416",L465,0),3)</f>
        <v/>
      </c>
      <c r="AA465" s="11">
        <f>IF(ROUNDUP(P465/20,0)&gt;ROUNDUP(P464/20,0),"Lần " &amp; ROUNDUP(P465/20,0),"")</f>
        <v/>
      </c>
      <c r="AB465" s="11">
        <f>IF(ROUNDUP(Q465/20,0)&gt;ROUNDUP(Q464/20,0),"Lần " &amp; ROUNDUP(Q465/20,0),"")</f>
        <v/>
      </c>
      <c r="AC465" s="11">
        <f>IF(ROUNDUP(R465/20,0)&gt;ROUNDUP(R464/20,0),"Lần " &amp; ROUNDUP(R465/20,0),"")</f>
        <v/>
      </c>
      <c r="AD465" s="11">
        <f>IF(ROUNDUP(S465/20,0)&gt;ROUNDUP(S464/20,0),"Lần " &amp; ROUNDUP(S465/20,0),"")</f>
        <v/>
      </c>
      <c r="AE465" s="11">
        <f>IF(ROUNDUP(T465/20,0)&gt;ROUNDUP(T464/20,0),"Lần " &amp; ROUNDUP(T465/20,0),"")</f>
        <v/>
      </c>
      <c r="AF465" s="11">
        <f>IF(ROUNDUP(U465/20,0)&gt;ROUNDUP(U464/20,0),"Lần " &amp; ROUNDUP(U465/20,0),"")</f>
        <v/>
      </c>
      <c r="AG465" s="11">
        <f>IF(ROUNDUP(V465/20,0)&gt;ROUNDUP(V464/20,0),"Lần " &amp; ROUNDUP(V465/20,0),"")</f>
        <v/>
      </c>
      <c r="AH465" s="11">
        <f>IF(ROUNDUP(W465/20,0)&gt;ROUNDUP(W464/20,0),"Lần " &amp; ROUNDUP(W465/20,0),"")</f>
        <v/>
      </c>
      <c r="AI465" s="11">
        <f>IF(ROUNDUP(X465/20,0)&gt;ROUNDUP(X464/20,0),"Lần " &amp; ROUNDUP(X465/20,0),"")</f>
        <v/>
      </c>
      <c r="AJ465" s="11">
        <f>IF(ROUNDUP(Y465/20,0)&gt;ROUNDUP(Y464/20,0),"Lần " &amp; ROUNDUP(Y465/20,0),"")</f>
        <v/>
      </c>
      <c r="AK465" s="11">
        <f>IF(ROUNDUP(Z465/20,0)&gt;ROUNDUP(Z464/20,0),"Lần " &amp; ROUNDUP(Z465/20,0),"")</f>
        <v/>
      </c>
      <c r="AL465" s="6" t="n"/>
      <c r="AN465" t="inlineStr">
        <is>
          <t>Coc</t>
        </is>
      </c>
      <c r="AO465" t="n">
        <v>8</v>
      </c>
    </row>
    <row r="466" ht="19" customHeight="1">
      <c r="A466" s="6" t="n">
        <v>445</v>
      </c>
      <c r="B466" s="7" t="inlineStr">
        <is>
          <t>Cọc khoan nhồi C2 Trụ T1 (D1.2m, L=40.0m)</t>
        </is>
      </c>
      <c r="C466" s="7" t="inlineStr">
        <is>
          <t>Cọc trụ T1 L=40m (tr.68)</t>
        </is>
      </c>
      <c r="D466" s="18" t="inlineStr">
        <is>
          <t>P4</t>
        </is>
      </c>
      <c r="E466" s="19" t="n">
        <v>25</v>
      </c>
      <c r="F466" s="6" t="inlineStr">
        <is>
          <t>CB400-V</t>
        </is>
      </c>
      <c r="G466" s="7" t="inlineStr"/>
      <c r="H466" s="20" t="n">
        <v>11.7</v>
      </c>
      <c r="I466" s="21" t="n">
        <v>60</v>
      </c>
      <c r="J466" s="22" t="n">
        <v>3.853</v>
      </c>
      <c r="K466" s="9">
        <f>ROUND(H466*I466*J466, 2)</f>
        <v/>
      </c>
      <c r="L466" s="23">
        <f>ROUND(K466/1000, 3)</f>
        <v/>
      </c>
      <c r="M466" s="8">
        <f>IF(AO466="","",IF(INDEX(Theo_Doi_Tan_Suat_Be_Tong!$C:$C,AO466)="","",INDEX(Theo_Doi_Tan_Suat_Be_Tong!$C:$C,AO466)-VLOOKUP(AN466,$AQ$2:$AR$7,2,FALSE)))</f>
        <v/>
      </c>
      <c r="N466" s="6" t="n"/>
      <c r="O466" s="24">
        <f>IF(ROUNDUP(W466/20,0)&gt;ROUNDUP(W465/20,0),"TN Ø25 (Lần " &amp; ROUNDUP(W466/20,0) &amp; ")","")</f>
        <v/>
      </c>
      <c r="P466" s="20">
        <f>ROUND(P465+IF(AND(E466&lt;=10,F466&lt;&gt;"ASTM A416"),L466,0),3)</f>
        <v/>
      </c>
      <c r="Q466" s="20">
        <f>ROUND(Q465+IF(AND(E466=12,F466&lt;&gt;"ASTM A416"),L466,0),3)</f>
        <v/>
      </c>
      <c r="R466" s="20">
        <f>ROUND(R465+IF(AND(E466=14,F466&lt;&gt;"ASTM A416"),L466,0),3)</f>
        <v/>
      </c>
      <c r="S466" s="20">
        <f>ROUND(S465+IF(AND(E466=16,F466&lt;&gt;"ASTM A416"),L466,0),3)</f>
        <v/>
      </c>
      <c r="T466" s="20">
        <f>ROUND(T465+IF(AND(E466=18,F466&lt;&gt;"ASTM A416"),L466,0),3)</f>
        <v/>
      </c>
      <c r="U466" s="20">
        <f>ROUND(U465+IF(AND(E466=20,F466&lt;&gt;"ASTM A416"),L466,0),3)</f>
        <v/>
      </c>
      <c r="V466" s="20">
        <f>ROUND(V465+IF(AND(E466=22,F466&lt;&gt;"ASTM A416"),L466,0),3)</f>
        <v/>
      </c>
      <c r="W466" s="20">
        <f>ROUND(W465+IF(AND(E466=25,F466&lt;&gt;"ASTM A416"),L466,0),3)</f>
        <v/>
      </c>
      <c r="X466" s="20">
        <f>ROUND(X465+IF(AND(E466=28,F466&lt;&gt;"ASTM A416"),L466,0),3)</f>
        <v/>
      </c>
      <c r="Y466" s="20">
        <f>ROUND(Y465+IF(AND(E466=32,F466&lt;&gt;"ASTM A416"),L466,0),3)</f>
        <v/>
      </c>
      <c r="Z466" s="20">
        <f>ROUND(Z465+IF(F466="ASTM A416",L466,0),3)</f>
        <v/>
      </c>
      <c r="AA466" s="11">
        <f>IF(ROUNDUP(P466/20,0)&gt;ROUNDUP(P465/20,0),"Lần " &amp; ROUNDUP(P466/20,0),"")</f>
        <v/>
      </c>
      <c r="AB466" s="11">
        <f>IF(ROUNDUP(Q466/20,0)&gt;ROUNDUP(Q465/20,0),"Lần " &amp; ROUNDUP(Q466/20,0),"")</f>
        <v/>
      </c>
      <c r="AC466" s="11">
        <f>IF(ROUNDUP(R466/20,0)&gt;ROUNDUP(R465/20,0),"Lần " &amp; ROUNDUP(R466/20,0),"")</f>
        <v/>
      </c>
      <c r="AD466" s="11">
        <f>IF(ROUNDUP(S466/20,0)&gt;ROUNDUP(S465/20,0),"Lần " &amp; ROUNDUP(S466/20,0),"")</f>
        <v/>
      </c>
      <c r="AE466" s="11">
        <f>IF(ROUNDUP(T466/20,0)&gt;ROUNDUP(T465/20,0),"Lần " &amp; ROUNDUP(T466/20,0),"")</f>
        <v/>
      </c>
      <c r="AF466" s="11">
        <f>IF(ROUNDUP(U466/20,0)&gt;ROUNDUP(U465/20,0),"Lần " &amp; ROUNDUP(U466/20,0),"")</f>
        <v/>
      </c>
      <c r="AG466" s="11">
        <f>IF(ROUNDUP(V466/20,0)&gt;ROUNDUP(V465/20,0),"Lần " &amp; ROUNDUP(V466/20,0),"")</f>
        <v/>
      </c>
      <c r="AH466" s="11">
        <f>IF(ROUNDUP(W466/20,0)&gt;ROUNDUP(W465/20,0),"Lần " &amp; ROUNDUP(W466/20,0),"")</f>
        <v/>
      </c>
      <c r="AI466" s="11">
        <f>IF(ROUNDUP(X466/20,0)&gt;ROUNDUP(X465/20,0),"Lần " &amp; ROUNDUP(X466/20,0),"")</f>
        <v/>
      </c>
      <c r="AJ466" s="11">
        <f>IF(ROUNDUP(Y466/20,0)&gt;ROUNDUP(Y465/20,0),"Lần " &amp; ROUNDUP(Y466/20,0),"")</f>
        <v/>
      </c>
      <c r="AK466" s="11">
        <f>IF(ROUNDUP(Z466/20,0)&gt;ROUNDUP(Z465/20,0),"Lần " &amp; ROUNDUP(Z466/20,0),"")</f>
        <v/>
      </c>
      <c r="AL466" s="6" t="n"/>
      <c r="AN466" t="inlineStr">
        <is>
          <t>Coc</t>
        </is>
      </c>
      <c r="AO466" t="n">
        <v>8</v>
      </c>
    </row>
    <row r="467" ht="19" customHeight="1">
      <c r="A467" s="6" t="n">
        <v>446</v>
      </c>
      <c r="B467" s="7" t="inlineStr">
        <is>
          <t>Cọc khoan nhồi C2 Trụ T1 (D1.2m, L=40.0m)</t>
        </is>
      </c>
      <c r="C467" s="7" t="inlineStr">
        <is>
          <t>Cọc trụ T1 L=40m (tr.68)</t>
        </is>
      </c>
      <c r="D467" s="18" t="inlineStr">
        <is>
          <t>P6</t>
        </is>
      </c>
      <c r="E467" s="19" t="n">
        <v>25</v>
      </c>
      <c r="F467" s="6" t="inlineStr">
        <is>
          <t>CB400-V</t>
        </is>
      </c>
      <c r="G467" s="7" t="inlineStr"/>
      <c r="H467" s="20" t="n">
        <v>9.032999999999999</v>
      </c>
      <c r="I467" s="21" t="n">
        <v>12</v>
      </c>
      <c r="J467" s="22" t="n">
        <v>3.853</v>
      </c>
      <c r="K467" s="9">
        <f>ROUND(H467*I467*J467, 2)</f>
        <v/>
      </c>
      <c r="L467" s="23">
        <f>ROUND(K467/1000, 3)</f>
        <v/>
      </c>
      <c r="M467" s="8">
        <f>IF(AO467="","",IF(INDEX(Theo_Doi_Tan_Suat_Be_Tong!$C:$C,AO467)="","",INDEX(Theo_Doi_Tan_Suat_Be_Tong!$C:$C,AO467)-VLOOKUP(AN467,$AQ$2:$AR$7,2,FALSE)))</f>
        <v/>
      </c>
      <c r="N467" s="6" t="n"/>
      <c r="O467" s="24">
        <f>IF(ROUNDUP(W467/20,0)&gt;ROUNDUP(W466/20,0),"TN Ø25 (Lần " &amp; ROUNDUP(W467/20,0) &amp; ")","")</f>
        <v/>
      </c>
      <c r="P467" s="20">
        <f>ROUND(P466+IF(AND(E467&lt;=10,F467&lt;&gt;"ASTM A416"),L467,0),3)</f>
        <v/>
      </c>
      <c r="Q467" s="20">
        <f>ROUND(Q466+IF(AND(E467=12,F467&lt;&gt;"ASTM A416"),L467,0),3)</f>
        <v/>
      </c>
      <c r="R467" s="20">
        <f>ROUND(R466+IF(AND(E467=14,F467&lt;&gt;"ASTM A416"),L467,0),3)</f>
        <v/>
      </c>
      <c r="S467" s="20">
        <f>ROUND(S466+IF(AND(E467=16,F467&lt;&gt;"ASTM A416"),L467,0),3)</f>
        <v/>
      </c>
      <c r="T467" s="20">
        <f>ROUND(T466+IF(AND(E467=18,F467&lt;&gt;"ASTM A416"),L467,0),3)</f>
        <v/>
      </c>
      <c r="U467" s="20">
        <f>ROUND(U466+IF(AND(E467=20,F467&lt;&gt;"ASTM A416"),L467,0),3)</f>
        <v/>
      </c>
      <c r="V467" s="20">
        <f>ROUND(V466+IF(AND(E467=22,F467&lt;&gt;"ASTM A416"),L467,0),3)</f>
        <v/>
      </c>
      <c r="W467" s="20">
        <f>ROUND(W466+IF(AND(E467=25,F467&lt;&gt;"ASTM A416"),L467,0),3)</f>
        <v/>
      </c>
      <c r="X467" s="20">
        <f>ROUND(X466+IF(AND(E467=28,F467&lt;&gt;"ASTM A416"),L467,0),3)</f>
        <v/>
      </c>
      <c r="Y467" s="20">
        <f>ROUND(Y466+IF(AND(E467=32,F467&lt;&gt;"ASTM A416"),L467,0),3)</f>
        <v/>
      </c>
      <c r="Z467" s="20">
        <f>ROUND(Z466+IF(F467="ASTM A416",L467,0),3)</f>
        <v/>
      </c>
      <c r="AA467" s="11">
        <f>IF(ROUNDUP(P467/20,0)&gt;ROUNDUP(P466/20,0),"Lần " &amp; ROUNDUP(P467/20,0),"")</f>
        <v/>
      </c>
      <c r="AB467" s="11">
        <f>IF(ROUNDUP(Q467/20,0)&gt;ROUNDUP(Q466/20,0),"Lần " &amp; ROUNDUP(Q467/20,0),"")</f>
        <v/>
      </c>
      <c r="AC467" s="11">
        <f>IF(ROUNDUP(R467/20,0)&gt;ROUNDUP(R466/20,0),"Lần " &amp; ROUNDUP(R467/20,0),"")</f>
        <v/>
      </c>
      <c r="AD467" s="11">
        <f>IF(ROUNDUP(S467/20,0)&gt;ROUNDUP(S466/20,0),"Lần " &amp; ROUNDUP(S467/20,0),"")</f>
        <v/>
      </c>
      <c r="AE467" s="11">
        <f>IF(ROUNDUP(T467/20,0)&gt;ROUNDUP(T466/20,0),"Lần " &amp; ROUNDUP(T467/20,0),"")</f>
        <v/>
      </c>
      <c r="AF467" s="11">
        <f>IF(ROUNDUP(U467/20,0)&gt;ROUNDUP(U466/20,0),"Lần " &amp; ROUNDUP(U467/20,0),"")</f>
        <v/>
      </c>
      <c r="AG467" s="11">
        <f>IF(ROUNDUP(V467/20,0)&gt;ROUNDUP(V466/20,0),"Lần " &amp; ROUNDUP(V467/20,0),"")</f>
        <v/>
      </c>
      <c r="AH467" s="11">
        <f>IF(ROUNDUP(W467/20,0)&gt;ROUNDUP(W466/20,0),"Lần " &amp; ROUNDUP(W467/20,0),"")</f>
        <v/>
      </c>
      <c r="AI467" s="11">
        <f>IF(ROUNDUP(X467/20,0)&gt;ROUNDUP(X466/20,0),"Lần " &amp; ROUNDUP(X467/20,0),"")</f>
        <v/>
      </c>
      <c r="AJ467" s="11">
        <f>IF(ROUNDUP(Y467/20,0)&gt;ROUNDUP(Y466/20,0),"Lần " &amp; ROUNDUP(Y467/20,0),"")</f>
        <v/>
      </c>
      <c r="AK467" s="11">
        <f>IF(ROUNDUP(Z467/20,0)&gt;ROUNDUP(Z466/20,0),"Lần " &amp; ROUNDUP(Z467/20,0),"")</f>
        <v/>
      </c>
      <c r="AL467" s="6" t="n"/>
      <c r="AN467" t="inlineStr">
        <is>
          <t>Coc</t>
        </is>
      </c>
      <c r="AO467" t="n">
        <v>8</v>
      </c>
    </row>
    <row r="468" ht="19" customHeight="1">
      <c r="A468" s="6" t="n">
        <v>447</v>
      </c>
      <c r="B468" s="7" t="inlineStr">
        <is>
          <t>Cọc khoan nhồi C2 Trụ T1 (D1.2m, L=40.0m)</t>
        </is>
      </c>
      <c r="C468" s="7" t="inlineStr">
        <is>
          <t>Cọc trụ T1 L=40m (tr.68)</t>
        </is>
      </c>
      <c r="D468" s="18" t="inlineStr">
        <is>
          <t>P7</t>
        </is>
      </c>
      <c r="E468" s="19" t="n">
        <v>25</v>
      </c>
      <c r="F468" s="6" t="inlineStr">
        <is>
          <t>CB400-V</t>
        </is>
      </c>
      <c r="G468" s="7" t="inlineStr"/>
      <c r="H468" s="20" t="n">
        <v>10.033</v>
      </c>
      <c r="I468" s="21" t="n">
        <v>12</v>
      </c>
      <c r="J468" s="22" t="n">
        <v>3.853</v>
      </c>
      <c r="K468" s="9">
        <f>ROUND(H468*I468*J468, 2)</f>
        <v/>
      </c>
      <c r="L468" s="23">
        <f>ROUND(K468/1000, 3)</f>
        <v/>
      </c>
      <c r="M468" s="8">
        <f>IF(AO468="","",IF(INDEX(Theo_Doi_Tan_Suat_Be_Tong!$C:$C,AO468)="","",INDEX(Theo_Doi_Tan_Suat_Be_Tong!$C:$C,AO468)-VLOOKUP(AN468,$AQ$2:$AR$7,2,FALSE)))</f>
        <v/>
      </c>
      <c r="N468" s="6" t="n"/>
      <c r="O468" s="24">
        <f>IF(ROUNDUP(W468/20,0)&gt;ROUNDUP(W467/20,0),"TN Ø25 (Lần " &amp; ROUNDUP(W468/20,0) &amp; ")","")</f>
        <v/>
      </c>
      <c r="P468" s="20">
        <f>ROUND(P467+IF(AND(E468&lt;=10,F468&lt;&gt;"ASTM A416"),L468,0),3)</f>
        <v/>
      </c>
      <c r="Q468" s="20">
        <f>ROUND(Q467+IF(AND(E468=12,F468&lt;&gt;"ASTM A416"),L468,0),3)</f>
        <v/>
      </c>
      <c r="R468" s="20">
        <f>ROUND(R467+IF(AND(E468=14,F468&lt;&gt;"ASTM A416"),L468,0),3)</f>
        <v/>
      </c>
      <c r="S468" s="20">
        <f>ROUND(S467+IF(AND(E468=16,F468&lt;&gt;"ASTM A416"),L468,0),3)</f>
        <v/>
      </c>
      <c r="T468" s="20">
        <f>ROUND(T467+IF(AND(E468=18,F468&lt;&gt;"ASTM A416"),L468,0),3)</f>
        <v/>
      </c>
      <c r="U468" s="20">
        <f>ROUND(U467+IF(AND(E468=20,F468&lt;&gt;"ASTM A416"),L468,0),3)</f>
        <v/>
      </c>
      <c r="V468" s="20">
        <f>ROUND(V467+IF(AND(E468=22,F468&lt;&gt;"ASTM A416"),L468,0),3)</f>
        <v/>
      </c>
      <c r="W468" s="20">
        <f>ROUND(W467+IF(AND(E468=25,F468&lt;&gt;"ASTM A416"),L468,0),3)</f>
        <v/>
      </c>
      <c r="X468" s="20">
        <f>ROUND(X467+IF(AND(E468=28,F468&lt;&gt;"ASTM A416"),L468,0),3)</f>
        <v/>
      </c>
      <c r="Y468" s="20">
        <f>ROUND(Y467+IF(AND(E468=32,F468&lt;&gt;"ASTM A416"),L468,0),3)</f>
        <v/>
      </c>
      <c r="Z468" s="20">
        <f>ROUND(Z467+IF(F468="ASTM A416",L468,0),3)</f>
        <v/>
      </c>
      <c r="AA468" s="11">
        <f>IF(ROUNDUP(P468/20,0)&gt;ROUNDUP(P467/20,0),"Lần " &amp; ROUNDUP(P468/20,0),"")</f>
        <v/>
      </c>
      <c r="AB468" s="11">
        <f>IF(ROUNDUP(Q468/20,0)&gt;ROUNDUP(Q467/20,0),"Lần " &amp; ROUNDUP(Q468/20,0),"")</f>
        <v/>
      </c>
      <c r="AC468" s="11">
        <f>IF(ROUNDUP(R468/20,0)&gt;ROUNDUP(R467/20,0),"Lần " &amp; ROUNDUP(R468/20,0),"")</f>
        <v/>
      </c>
      <c r="AD468" s="11">
        <f>IF(ROUNDUP(S468/20,0)&gt;ROUNDUP(S467/20,0),"Lần " &amp; ROUNDUP(S468/20,0),"")</f>
        <v/>
      </c>
      <c r="AE468" s="11">
        <f>IF(ROUNDUP(T468/20,0)&gt;ROUNDUP(T467/20,0),"Lần " &amp; ROUNDUP(T468/20,0),"")</f>
        <v/>
      </c>
      <c r="AF468" s="11">
        <f>IF(ROUNDUP(U468/20,0)&gt;ROUNDUP(U467/20,0),"Lần " &amp; ROUNDUP(U468/20,0),"")</f>
        <v/>
      </c>
      <c r="AG468" s="11">
        <f>IF(ROUNDUP(V468/20,0)&gt;ROUNDUP(V467/20,0),"Lần " &amp; ROUNDUP(V468/20,0),"")</f>
        <v/>
      </c>
      <c r="AH468" s="11">
        <f>IF(ROUNDUP(W468/20,0)&gt;ROUNDUP(W467/20,0),"Lần " &amp; ROUNDUP(W468/20,0),"")</f>
        <v/>
      </c>
      <c r="AI468" s="11">
        <f>IF(ROUNDUP(X468/20,0)&gt;ROUNDUP(X467/20,0),"Lần " &amp; ROUNDUP(X468/20,0),"")</f>
        <v/>
      </c>
      <c r="AJ468" s="11">
        <f>IF(ROUNDUP(Y468/20,0)&gt;ROUNDUP(Y467/20,0),"Lần " &amp; ROUNDUP(Y468/20,0),"")</f>
        <v/>
      </c>
      <c r="AK468" s="11">
        <f>IF(ROUNDUP(Z468/20,0)&gt;ROUNDUP(Z467/20,0),"Lần " &amp; ROUNDUP(Z468/20,0),"")</f>
        <v/>
      </c>
      <c r="AL468" s="6" t="n"/>
      <c r="AN468" t="inlineStr">
        <is>
          <t>Coc</t>
        </is>
      </c>
      <c r="AO468" t="n">
        <v>8</v>
      </c>
    </row>
    <row r="469" ht="19" customHeight="1">
      <c r="A469" s="6" t="n">
        <v>448</v>
      </c>
      <c r="B469" s="7" t="inlineStr">
        <is>
          <t>Cọc khoan nhồi C2 Trụ T1 (D1.2m, L=40.0m)</t>
        </is>
      </c>
      <c r="C469" s="7" t="inlineStr">
        <is>
          <t>Cọc trụ T1 L=40m (tr.68)</t>
        </is>
      </c>
      <c r="D469" s="18" t="inlineStr">
        <is>
          <t>P8</t>
        </is>
      </c>
      <c r="E469" s="19" t="n">
        <v>12</v>
      </c>
      <c r="F469" s="6" t="inlineStr">
        <is>
          <t>CB400-V</t>
        </is>
      </c>
      <c r="G469" s="7" t="inlineStr"/>
      <c r="H469" s="20" t="n">
        <v>0.647</v>
      </c>
      <c r="I469" s="21" t="n">
        <v>16</v>
      </c>
      <c r="J469" s="22" t="n">
        <v>0.888</v>
      </c>
      <c r="K469" s="9">
        <f>ROUND(H469*I469*J469, 2)</f>
        <v/>
      </c>
      <c r="L469" s="23">
        <f>ROUND(K469/1000, 3)</f>
        <v/>
      </c>
      <c r="M469" s="8">
        <f>IF(AO469="","",IF(INDEX(Theo_Doi_Tan_Suat_Be_Tong!$C:$C,AO469)="","",INDEX(Theo_Doi_Tan_Suat_Be_Tong!$C:$C,AO469)-VLOOKUP(AN469,$AQ$2:$AR$7,2,FALSE)))</f>
        <v/>
      </c>
      <c r="N469" s="6" t="n"/>
      <c r="O469" s="24">
        <f>IF(ROUNDUP(Q469/20,0)&gt;ROUNDUP(Q468/20,0),"TN Ø12 (Lần " &amp; ROUNDUP(Q469/20,0) &amp; ")","")</f>
        <v/>
      </c>
      <c r="P469" s="20">
        <f>ROUND(P468+IF(AND(E469&lt;=10,F469&lt;&gt;"ASTM A416"),L469,0),3)</f>
        <v/>
      </c>
      <c r="Q469" s="20">
        <f>ROUND(Q468+IF(AND(E469=12,F469&lt;&gt;"ASTM A416"),L469,0),3)</f>
        <v/>
      </c>
      <c r="R469" s="20">
        <f>ROUND(R468+IF(AND(E469=14,F469&lt;&gt;"ASTM A416"),L469,0),3)</f>
        <v/>
      </c>
      <c r="S469" s="20">
        <f>ROUND(S468+IF(AND(E469=16,F469&lt;&gt;"ASTM A416"),L469,0),3)</f>
        <v/>
      </c>
      <c r="T469" s="20">
        <f>ROUND(T468+IF(AND(E469=18,F469&lt;&gt;"ASTM A416"),L469,0),3)</f>
        <v/>
      </c>
      <c r="U469" s="20">
        <f>ROUND(U468+IF(AND(E469=20,F469&lt;&gt;"ASTM A416"),L469,0),3)</f>
        <v/>
      </c>
      <c r="V469" s="20">
        <f>ROUND(V468+IF(AND(E469=22,F469&lt;&gt;"ASTM A416"),L469,0),3)</f>
        <v/>
      </c>
      <c r="W469" s="20">
        <f>ROUND(W468+IF(AND(E469=25,F469&lt;&gt;"ASTM A416"),L469,0),3)</f>
        <v/>
      </c>
      <c r="X469" s="20">
        <f>ROUND(X468+IF(AND(E469=28,F469&lt;&gt;"ASTM A416"),L469,0),3)</f>
        <v/>
      </c>
      <c r="Y469" s="20">
        <f>ROUND(Y468+IF(AND(E469=32,F469&lt;&gt;"ASTM A416"),L469,0),3)</f>
        <v/>
      </c>
      <c r="Z469" s="20">
        <f>ROUND(Z468+IF(F469="ASTM A416",L469,0),3)</f>
        <v/>
      </c>
      <c r="AA469" s="11">
        <f>IF(ROUNDUP(P469/20,0)&gt;ROUNDUP(P468/20,0),"Lần " &amp; ROUNDUP(P469/20,0),"")</f>
        <v/>
      </c>
      <c r="AB469" s="11">
        <f>IF(ROUNDUP(Q469/20,0)&gt;ROUNDUP(Q468/20,0),"Lần " &amp; ROUNDUP(Q469/20,0),"")</f>
        <v/>
      </c>
      <c r="AC469" s="11">
        <f>IF(ROUNDUP(R469/20,0)&gt;ROUNDUP(R468/20,0),"Lần " &amp; ROUNDUP(R469/20,0),"")</f>
        <v/>
      </c>
      <c r="AD469" s="11">
        <f>IF(ROUNDUP(S469/20,0)&gt;ROUNDUP(S468/20,0),"Lần " &amp; ROUNDUP(S469/20,0),"")</f>
        <v/>
      </c>
      <c r="AE469" s="11">
        <f>IF(ROUNDUP(T469/20,0)&gt;ROUNDUP(T468/20,0),"Lần " &amp; ROUNDUP(T469/20,0),"")</f>
        <v/>
      </c>
      <c r="AF469" s="11">
        <f>IF(ROUNDUP(U469/20,0)&gt;ROUNDUP(U468/20,0),"Lần " &amp; ROUNDUP(U469/20,0),"")</f>
        <v/>
      </c>
      <c r="AG469" s="11">
        <f>IF(ROUNDUP(V469/20,0)&gt;ROUNDUP(V468/20,0),"Lần " &amp; ROUNDUP(V469/20,0),"")</f>
        <v/>
      </c>
      <c r="AH469" s="11">
        <f>IF(ROUNDUP(W469/20,0)&gt;ROUNDUP(W468/20,0),"Lần " &amp; ROUNDUP(W469/20,0),"")</f>
        <v/>
      </c>
      <c r="AI469" s="11">
        <f>IF(ROUNDUP(X469/20,0)&gt;ROUNDUP(X468/20,0),"Lần " &amp; ROUNDUP(X469/20,0),"")</f>
        <v/>
      </c>
      <c r="AJ469" s="11">
        <f>IF(ROUNDUP(Y469/20,0)&gt;ROUNDUP(Y468/20,0),"Lần " &amp; ROUNDUP(Y469/20,0),"")</f>
        <v/>
      </c>
      <c r="AK469" s="11">
        <f>IF(ROUNDUP(Z469/20,0)&gt;ROUNDUP(Z468/20,0),"Lần " &amp; ROUNDUP(Z469/20,0),"")</f>
        <v/>
      </c>
      <c r="AL469" s="6" t="n"/>
      <c r="AN469" t="inlineStr">
        <is>
          <t>Coc</t>
        </is>
      </c>
      <c r="AO469" t="n">
        <v>8</v>
      </c>
    </row>
    <row r="470" ht="19" customHeight="1">
      <c r="A470" s="6" t="n">
        <v>449</v>
      </c>
      <c r="B470" s="7" t="inlineStr">
        <is>
          <t>Cọc khoan nhồi C2 Trụ T1 (D1.2m, L=40.0m)</t>
        </is>
      </c>
      <c r="C470" s="7" t="inlineStr">
        <is>
          <t>Cọc trụ T1 L=40m (tr.68)</t>
        </is>
      </c>
      <c r="D470" s="18" t="inlineStr">
        <is>
          <t>P9</t>
        </is>
      </c>
      <c r="E470" s="19" t="n">
        <v>12</v>
      </c>
      <c r="F470" s="6" t="inlineStr">
        <is>
          <t>CB400-V</t>
        </is>
      </c>
      <c r="G470" s="7" t="inlineStr"/>
      <c r="H470" s="20" t="n">
        <v>0.379</v>
      </c>
      <c r="I470" s="21" t="n">
        <v>48</v>
      </c>
      <c r="J470" s="22" t="n">
        <v>0.888</v>
      </c>
      <c r="K470" s="9">
        <f>ROUND(H470*I470*J470, 2)</f>
        <v/>
      </c>
      <c r="L470" s="23">
        <f>ROUND(K470/1000, 3)</f>
        <v/>
      </c>
      <c r="M470" s="8">
        <f>IF(AO470="","",IF(INDEX(Theo_Doi_Tan_Suat_Be_Tong!$C:$C,AO470)="","",INDEX(Theo_Doi_Tan_Suat_Be_Tong!$C:$C,AO470)-VLOOKUP(AN470,$AQ$2:$AR$7,2,FALSE)))</f>
        <v/>
      </c>
      <c r="N470" s="6" t="n"/>
      <c r="O470" s="24">
        <f>IF(ROUNDUP(Q470/20,0)&gt;ROUNDUP(Q469/20,0),"TN Ø12 (Lần " &amp; ROUNDUP(Q470/20,0) &amp; ")","")</f>
        <v/>
      </c>
      <c r="P470" s="20">
        <f>ROUND(P469+IF(AND(E470&lt;=10,F470&lt;&gt;"ASTM A416"),L470,0),3)</f>
        <v/>
      </c>
      <c r="Q470" s="20">
        <f>ROUND(Q469+IF(AND(E470=12,F470&lt;&gt;"ASTM A416"),L470,0),3)</f>
        <v/>
      </c>
      <c r="R470" s="20">
        <f>ROUND(R469+IF(AND(E470=14,F470&lt;&gt;"ASTM A416"),L470,0),3)</f>
        <v/>
      </c>
      <c r="S470" s="20">
        <f>ROUND(S469+IF(AND(E470=16,F470&lt;&gt;"ASTM A416"),L470,0),3)</f>
        <v/>
      </c>
      <c r="T470" s="20">
        <f>ROUND(T469+IF(AND(E470=18,F470&lt;&gt;"ASTM A416"),L470,0),3)</f>
        <v/>
      </c>
      <c r="U470" s="20">
        <f>ROUND(U469+IF(AND(E470=20,F470&lt;&gt;"ASTM A416"),L470,0),3)</f>
        <v/>
      </c>
      <c r="V470" s="20">
        <f>ROUND(V469+IF(AND(E470=22,F470&lt;&gt;"ASTM A416"),L470,0),3)</f>
        <v/>
      </c>
      <c r="W470" s="20">
        <f>ROUND(W469+IF(AND(E470=25,F470&lt;&gt;"ASTM A416"),L470,0),3)</f>
        <v/>
      </c>
      <c r="X470" s="20">
        <f>ROUND(X469+IF(AND(E470=28,F470&lt;&gt;"ASTM A416"),L470,0),3)</f>
        <v/>
      </c>
      <c r="Y470" s="20">
        <f>ROUND(Y469+IF(AND(E470=32,F470&lt;&gt;"ASTM A416"),L470,0),3)</f>
        <v/>
      </c>
      <c r="Z470" s="20">
        <f>ROUND(Z469+IF(F470="ASTM A416",L470,0),3)</f>
        <v/>
      </c>
      <c r="AA470" s="11">
        <f>IF(ROUNDUP(P470/20,0)&gt;ROUNDUP(P469/20,0),"Lần " &amp; ROUNDUP(P470/20,0),"")</f>
        <v/>
      </c>
      <c r="AB470" s="11">
        <f>IF(ROUNDUP(Q470/20,0)&gt;ROUNDUP(Q469/20,0),"Lần " &amp; ROUNDUP(Q470/20,0),"")</f>
        <v/>
      </c>
      <c r="AC470" s="11">
        <f>IF(ROUNDUP(R470/20,0)&gt;ROUNDUP(R469/20,0),"Lần " &amp; ROUNDUP(R470/20,0),"")</f>
        <v/>
      </c>
      <c r="AD470" s="11">
        <f>IF(ROUNDUP(S470/20,0)&gt;ROUNDUP(S469/20,0),"Lần " &amp; ROUNDUP(S470/20,0),"")</f>
        <v/>
      </c>
      <c r="AE470" s="11">
        <f>IF(ROUNDUP(T470/20,0)&gt;ROUNDUP(T469/20,0),"Lần " &amp; ROUNDUP(T470/20,0),"")</f>
        <v/>
      </c>
      <c r="AF470" s="11">
        <f>IF(ROUNDUP(U470/20,0)&gt;ROUNDUP(U469/20,0),"Lần " &amp; ROUNDUP(U470/20,0),"")</f>
        <v/>
      </c>
      <c r="AG470" s="11">
        <f>IF(ROUNDUP(V470/20,0)&gt;ROUNDUP(V469/20,0),"Lần " &amp; ROUNDUP(V470/20,0),"")</f>
        <v/>
      </c>
      <c r="AH470" s="11">
        <f>IF(ROUNDUP(W470/20,0)&gt;ROUNDUP(W469/20,0),"Lần " &amp; ROUNDUP(W470/20,0),"")</f>
        <v/>
      </c>
      <c r="AI470" s="11">
        <f>IF(ROUNDUP(X470/20,0)&gt;ROUNDUP(X469/20,0),"Lần " &amp; ROUNDUP(X470/20,0),"")</f>
        <v/>
      </c>
      <c r="AJ470" s="11">
        <f>IF(ROUNDUP(Y470/20,0)&gt;ROUNDUP(Y469/20,0),"Lần " &amp; ROUNDUP(Y470/20,0),"")</f>
        <v/>
      </c>
      <c r="AK470" s="11">
        <f>IF(ROUNDUP(Z470/20,0)&gt;ROUNDUP(Z469/20,0),"Lần " &amp; ROUNDUP(Z470/20,0),"")</f>
        <v/>
      </c>
      <c r="AL470" s="6" t="n"/>
      <c r="AN470" t="inlineStr">
        <is>
          <t>Coc</t>
        </is>
      </c>
      <c r="AO470" t="n">
        <v>8</v>
      </c>
    </row>
    <row r="471" ht="19" customHeight="1">
      <c r="A471" s="6" t="n">
        <v>450</v>
      </c>
      <c r="B471" s="7" t="inlineStr">
        <is>
          <t>Cọc khoan nhồi C2 Trụ T1 (D1.2m, L=40.0m)</t>
        </is>
      </c>
      <c r="C471" s="7" t="inlineStr">
        <is>
          <t>Cọc trụ T1 L=40m (tr.68)</t>
        </is>
      </c>
      <c r="D471" s="18" t="inlineStr">
        <is>
          <t>P10</t>
        </is>
      </c>
      <c r="E471" s="19" t="n">
        <v>20</v>
      </c>
      <c r="F471" s="6" t="inlineStr">
        <is>
          <t>CB400-V</t>
        </is>
      </c>
      <c r="G471" s="7" t="inlineStr"/>
      <c r="H471" s="20" t="n">
        <v>2.057</v>
      </c>
      <c r="I471" s="21" t="n">
        <v>1</v>
      </c>
      <c r="J471" s="22" t="n">
        <v>2.466</v>
      </c>
      <c r="K471" s="9">
        <f>ROUND(H471*I471*J471, 2)</f>
        <v/>
      </c>
      <c r="L471" s="23">
        <f>ROUND(K471/1000, 3)</f>
        <v/>
      </c>
      <c r="M471" s="8">
        <f>IF(AO471="","",IF(INDEX(Theo_Doi_Tan_Suat_Be_Tong!$C:$C,AO471)="","",INDEX(Theo_Doi_Tan_Suat_Be_Tong!$C:$C,AO471)-VLOOKUP(AN471,$AQ$2:$AR$7,2,FALSE)))</f>
        <v/>
      </c>
      <c r="N471" s="6" t="n"/>
      <c r="O471" s="24">
        <f>IF(ROUNDUP(U471/20,0)&gt;ROUNDUP(U470/20,0),"TN Ø20 (Lần " &amp; ROUNDUP(U471/20,0) &amp; ")","")</f>
        <v/>
      </c>
      <c r="P471" s="20">
        <f>ROUND(P470+IF(AND(E471&lt;=10,F471&lt;&gt;"ASTM A416"),L471,0),3)</f>
        <v/>
      </c>
      <c r="Q471" s="20">
        <f>ROUND(Q470+IF(AND(E471=12,F471&lt;&gt;"ASTM A416"),L471,0),3)</f>
        <v/>
      </c>
      <c r="R471" s="20">
        <f>ROUND(R470+IF(AND(E471=14,F471&lt;&gt;"ASTM A416"),L471,0),3)</f>
        <v/>
      </c>
      <c r="S471" s="20">
        <f>ROUND(S470+IF(AND(E471=16,F471&lt;&gt;"ASTM A416"),L471,0),3)</f>
        <v/>
      </c>
      <c r="T471" s="20">
        <f>ROUND(T470+IF(AND(E471=18,F471&lt;&gt;"ASTM A416"),L471,0),3)</f>
        <v/>
      </c>
      <c r="U471" s="20">
        <f>ROUND(U470+IF(AND(E471=20,F471&lt;&gt;"ASTM A416"),L471,0),3)</f>
        <v/>
      </c>
      <c r="V471" s="20">
        <f>ROUND(V470+IF(AND(E471=22,F471&lt;&gt;"ASTM A416"),L471,0),3)</f>
        <v/>
      </c>
      <c r="W471" s="20">
        <f>ROUND(W470+IF(AND(E471=25,F471&lt;&gt;"ASTM A416"),L471,0),3)</f>
        <v/>
      </c>
      <c r="X471" s="20">
        <f>ROUND(X470+IF(AND(E471=28,F471&lt;&gt;"ASTM A416"),L471,0),3)</f>
        <v/>
      </c>
      <c r="Y471" s="20">
        <f>ROUND(Y470+IF(AND(E471=32,F471&lt;&gt;"ASTM A416"),L471,0),3)</f>
        <v/>
      </c>
      <c r="Z471" s="20">
        <f>ROUND(Z470+IF(F471="ASTM A416",L471,0),3)</f>
        <v/>
      </c>
      <c r="AA471" s="11">
        <f>IF(ROUNDUP(P471/20,0)&gt;ROUNDUP(P470/20,0),"Lần " &amp; ROUNDUP(P471/20,0),"")</f>
        <v/>
      </c>
      <c r="AB471" s="11">
        <f>IF(ROUNDUP(Q471/20,0)&gt;ROUNDUP(Q470/20,0),"Lần " &amp; ROUNDUP(Q471/20,0),"")</f>
        <v/>
      </c>
      <c r="AC471" s="11">
        <f>IF(ROUNDUP(R471/20,0)&gt;ROUNDUP(R470/20,0),"Lần " &amp; ROUNDUP(R471/20,0),"")</f>
        <v/>
      </c>
      <c r="AD471" s="11">
        <f>IF(ROUNDUP(S471/20,0)&gt;ROUNDUP(S470/20,0),"Lần " &amp; ROUNDUP(S471/20,0),"")</f>
        <v/>
      </c>
      <c r="AE471" s="11">
        <f>IF(ROUNDUP(T471/20,0)&gt;ROUNDUP(T470/20,0),"Lần " &amp; ROUNDUP(T471/20,0),"")</f>
        <v/>
      </c>
      <c r="AF471" s="11">
        <f>IF(ROUNDUP(U471/20,0)&gt;ROUNDUP(U470/20,0),"Lần " &amp; ROUNDUP(U471/20,0),"")</f>
        <v/>
      </c>
      <c r="AG471" s="11">
        <f>IF(ROUNDUP(V471/20,0)&gt;ROUNDUP(V470/20,0),"Lần " &amp; ROUNDUP(V471/20,0),"")</f>
        <v/>
      </c>
      <c r="AH471" s="11">
        <f>IF(ROUNDUP(W471/20,0)&gt;ROUNDUP(W470/20,0),"Lần " &amp; ROUNDUP(W471/20,0),"")</f>
        <v/>
      </c>
      <c r="AI471" s="11">
        <f>IF(ROUNDUP(X471/20,0)&gt;ROUNDUP(X470/20,0),"Lần " &amp; ROUNDUP(X471/20,0),"")</f>
        <v/>
      </c>
      <c r="AJ471" s="11">
        <f>IF(ROUNDUP(Y471/20,0)&gt;ROUNDUP(Y470/20,0),"Lần " &amp; ROUNDUP(Y471/20,0),"")</f>
        <v/>
      </c>
      <c r="AK471" s="11">
        <f>IF(ROUNDUP(Z471/20,0)&gt;ROUNDUP(Z470/20,0),"Lần " &amp; ROUNDUP(Z471/20,0),"")</f>
        <v/>
      </c>
      <c r="AL471" s="6" t="n"/>
      <c r="AN471" t="inlineStr">
        <is>
          <t>Coc</t>
        </is>
      </c>
      <c r="AO471" t="n">
        <v>8</v>
      </c>
    </row>
    <row r="472" ht="19" customHeight="1">
      <c r="A472" s="6" t="n">
        <v>451</v>
      </c>
      <c r="B472" s="7" t="inlineStr">
        <is>
          <t>Cọc khoan nhồi C2 Trụ T1 (D1.2m, L=40.0m)</t>
        </is>
      </c>
      <c r="C472" s="7" t="inlineStr">
        <is>
          <t>Cọc trụ T1 L=40m (tr.68)</t>
        </is>
      </c>
      <c r="D472" s="18" t="inlineStr">
        <is>
          <t>P12</t>
        </is>
      </c>
      <c r="E472" s="19" t="n">
        <v>20</v>
      </c>
      <c r="F472" s="6" t="inlineStr">
        <is>
          <t>CB400-V</t>
        </is>
      </c>
      <c r="G472" s="7" t="inlineStr"/>
      <c r="H472" s="20" t="n">
        <v>0.583</v>
      </c>
      <c r="I472" s="21" t="n">
        <v>64</v>
      </c>
      <c r="J472" s="22" t="n">
        <v>2.466</v>
      </c>
      <c r="K472" s="9">
        <f>ROUND(H472*I472*J472, 2)</f>
        <v/>
      </c>
      <c r="L472" s="23">
        <f>ROUND(K472/1000, 3)</f>
        <v/>
      </c>
      <c r="M472" s="8">
        <f>IF(AO472="","",IF(INDEX(Theo_Doi_Tan_Suat_Be_Tong!$C:$C,AO472)="","",INDEX(Theo_Doi_Tan_Suat_Be_Tong!$C:$C,AO472)-VLOOKUP(AN472,$AQ$2:$AR$7,2,FALSE)))</f>
        <v/>
      </c>
      <c r="N472" s="6" t="n"/>
      <c r="O472" s="24">
        <f>IF(ROUNDUP(U472/20,0)&gt;ROUNDUP(U471/20,0),"TN Ø20 (Lần " &amp; ROUNDUP(U472/20,0) &amp; ")","")</f>
        <v/>
      </c>
      <c r="P472" s="20">
        <f>ROUND(P471+IF(AND(E472&lt;=10,F472&lt;&gt;"ASTM A416"),L472,0),3)</f>
        <v/>
      </c>
      <c r="Q472" s="20">
        <f>ROUND(Q471+IF(AND(E472=12,F472&lt;&gt;"ASTM A416"),L472,0),3)</f>
        <v/>
      </c>
      <c r="R472" s="20">
        <f>ROUND(R471+IF(AND(E472=14,F472&lt;&gt;"ASTM A416"),L472,0),3)</f>
        <v/>
      </c>
      <c r="S472" s="20">
        <f>ROUND(S471+IF(AND(E472=16,F472&lt;&gt;"ASTM A416"),L472,0),3)</f>
        <v/>
      </c>
      <c r="T472" s="20">
        <f>ROUND(T471+IF(AND(E472=18,F472&lt;&gt;"ASTM A416"),L472,0),3)</f>
        <v/>
      </c>
      <c r="U472" s="20">
        <f>ROUND(U471+IF(AND(E472=20,F472&lt;&gt;"ASTM A416"),L472,0),3)</f>
        <v/>
      </c>
      <c r="V472" s="20">
        <f>ROUND(V471+IF(AND(E472=22,F472&lt;&gt;"ASTM A416"),L472,0),3)</f>
        <v/>
      </c>
      <c r="W472" s="20">
        <f>ROUND(W471+IF(AND(E472=25,F472&lt;&gt;"ASTM A416"),L472,0),3)</f>
        <v/>
      </c>
      <c r="X472" s="20">
        <f>ROUND(X471+IF(AND(E472=28,F472&lt;&gt;"ASTM A416"),L472,0),3)</f>
        <v/>
      </c>
      <c r="Y472" s="20">
        <f>ROUND(Y471+IF(AND(E472=32,F472&lt;&gt;"ASTM A416"),L472,0),3)</f>
        <v/>
      </c>
      <c r="Z472" s="20">
        <f>ROUND(Z471+IF(F472="ASTM A416",L472,0),3)</f>
        <v/>
      </c>
      <c r="AA472" s="11">
        <f>IF(ROUNDUP(P472/20,0)&gt;ROUNDUP(P471/20,0),"Lần " &amp; ROUNDUP(P472/20,0),"")</f>
        <v/>
      </c>
      <c r="AB472" s="11">
        <f>IF(ROUNDUP(Q472/20,0)&gt;ROUNDUP(Q471/20,0),"Lần " &amp; ROUNDUP(Q472/20,0),"")</f>
        <v/>
      </c>
      <c r="AC472" s="11">
        <f>IF(ROUNDUP(R472/20,0)&gt;ROUNDUP(R471/20,0),"Lần " &amp; ROUNDUP(R472/20,0),"")</f>
        <v/>
      </c>
      <c r="AD472" s="11">
        <f>IF(ROUNDUP(S472/20,0)&gt;ROUNDUP(S471/20,0),"Lần " &amp; ROUNDUP(S472/20,0),"")</f>
        <v/>
      </c>
      <c r="AE472" s="11">
        <f>IF(ROUNDUP(T472/20,0)&gt;ROUNDUP(T471/20,0),"Lần " &amp; ROUNDUP(T472/20,0),"")</f>
        <v/>
      </c>
      <c r="AF472" s="11">
        <f>IF(ROUNDUP(U472/20,0)&gt;ROUNDUP(U471/20,0),"Lần " &amp; ROUNDUP(U472/20,0),"")</f>
        <v/>
      </c>
      <c r="AG472" s="11">
        <f>IF(ROUNDUP(V472/20,0)&gt;ROUNDUP(V471/20,0),"Lần " &amp; ROUNDUP(V472/20,0),"")</f>
        <v/>
      </c>
      <c r="AH472" s="11">
        <f>IF(ROUNDUP(W472/20,0)&gt;ROUNDUP(W471/20,0),"Lần " &amp; ROUNDUP(W472/20,0),"")</f>
        <v/>
      </c>
      <c r="AI472" s="11">
        <f>IF(ROUNDUP(X472/20,0)&gt;ROUNDUP(X471/20,0),"Lần " &amp; ROUNDUP(X472/20,0),"")</f>
        <v/>
      </c>
      <c r="AJ472" s="11">
        <f>IF(ROUNDUP(Y472/20,0)&gt;ROUNDUP(Y471/20,0),"Lần " &amp; ROUNDUP(Y472/20,0),"")</f>
        <v/>
      </c>
      <c r="AK472" s="11">
        <f>IF(ROUNDUP(Z472/20,0)&gt;ROUNDUP(Z471/20,0),"Lần " &amp; ROUNDUP(Z472/20,0),"")</f>
        <v/>
      </c>
      <c r="AL472" s="6" t="n"/>
      <c r="AN472" t="inlineStr">
        <is>
          <t>Coc</t>
        </is>
      </c>
      <c r="AO472" t="n">
        <v>8</v>
      </c>
    </row>
    <row r="473" ht="19" customHeight="1">
      <c r="A473" s="6" t="n">
        <v>452</v>
      </c>
      <c r="B473" s="7" t="inlineStr">
        <is>
          <t>Cọc khoan nhồi C2 Trụ T1 (D1.2m, L=40.0m)</t>
        </is>
      </c>
      <c r="C473" s="7" t="inlineStr">
        <is>
          <t>Cọc trụ T1 L=40m (tr.68)</t>
        </is>
      </c>
      <c r="D473" s="18" t="inlineStr">
        <is>
          <t>P11</t>
        </is>
      </c>
      <c r="E473" s="19" t="n">
        <v>16</v>
      </c>
      <c r="F473" s="6" t="inlineStr">
        <is>
          <t>CB400-V</t>
        </is>
      </c>
      <c r="G473" s="7" t="inlineStr"/>
      <c r="H473" s="20" t="n">
        <v>2.604</v>
      </c>
      <c r="I473" s="21" t="n">
        <v>4</v>
      </c>
      <c r="J473" s="22" t="n">
        <v>1.578</v>
      </c>
      <c r="K473" s="9">
        <f>ROUND(H473*I473*J473, 2)</f>
        <v/>
      </c>
      <c r="L473" s="23">
        <f>ROUND(K473/1000, 3)</f>
        <v/>
      </c>
      <c r="M473" s="8">
        <f>IF(AO473="","",IF(INDEX(Theo_Doi_Tan_Suat_Be_Tong!$C:$C,AO473)="","",INDEX(Theo_Doi_Tan_Suat_Be_Tong!$C:$C,AO473)-VLOOKUP(AN473,$AQ$2:$AR$7,2,FALSE)))</f>
        <v/>
      </c>
      <c r="N473" s="6" t="n"/>
      <c r="O473" s="24">
        <f>IF(ROUNDUP(S473/20,0)&gt;ROUNDUP(S472/20,0),"TN Ø16 (Lần " &amp; ROUNDUP(S473/20,0) &amp; ")","")</f>
        <v/>
      </c>
      <c r="P473" s="20">
        <f>ROUND(P472+IF(AND(E473&lt;=10,F473&lt;&gt;"ASTM A416"),L473,0),3)</f>
        <v/>
      </c>
      <c r="Q473" s="20">
        <f>ROUND(Q472+IF(AND(E473=12,F473&lt;&gt;"ASTM A416"),L473,0),3)</f>
        <v/>
      </c>
      <c r="R473" s="20">
        <f>ROUND(R472+IF(AND(E473=14,F473&lt;&gt;"ASTM A416"),L473,0),3)</f>
        <v/>
      </c>
      <c r="S473" s="20">
        <f>ROUND(S472+IF(AND(E473=16,F473&lt;&gt;"ASTM A416"),L473,0),3)</f>
        <v/>
      </c>
      <c r="T473" s="20">
        <f>ROUND(T472+IF(AND(E473=18,F473&lt;&gt;"ASTM A416"),L473,0),3)</f>
        <v/>
      </c>
      <c r="U473" s="20">
        <f>ROUND(U472+IF(AND(E473=20,F473&lt;&gt;"ASTM A416"),L473,0),3)</f>
        <v/>
      </c>
      <c r="V473" s="20">
        <f>ROUND(V472+IF(AND(E473=22,F473&lt;&gt;"ASTM A416"),L473,0),3)</f>
        <v/>
      </c>
      <c r="W473" s="20">
        <f>ROUND(W472+IF(AND(E473=25,F473&lt;&gt;"ASTM A416"),L473,0),3)</f>
        <v/>
      </c>
      <c r="X473" s="20">
        <f>ROUND(X472+IF(AND(E473=28,F473&lt;&gt;"ASTM A416"),L473,0),3)</f>
        <v/>
      </c>
      <c r="Y473" s="20">
        <f>ROUND(Y472+IF(AND(E473=32,F473&lt;&gt;"ASTM A416"),L473,0),3)</f>
        <v/>
      </c>
      <c r="Z473" s="20">
        <f>ROUND(Z472+IF(F473="ASTM A416",L473,0),3)</f>
        <v/>
      </c>
      <c r="AA473" s="11">
        <f>IF(ROUNDUP(P473/20,0)&gt;ROUNDUP(P472/20,0),"Lần " &amp; ROUNDUP(P473/20,0),"")</f>
        <v/>
      </c>
      <c r="AB473" s="11">
        <f>IF(ROUNDUP(Q473/20,0)&gt;ROUNDUP(Q472/20,0),"Lần " &amp; ROUNDUP(Q473/20,0),"")</f>
        <v/>
      </c>
      <c r="AC473" s="11">
        <f>IF(ROUNDUP(R473/20,0)&gt;ROUNDUP(R472/20,0),"Lần " &amp; ROUNDUP(R473/20,0),"")</f>
        <v/>
      </c>
      <c r="AD473" s="11">
        <f>IF(ROUNDUP(S473/20,0)&gt;ROUNDUP(S472/20,0),"Lần " &amp; ROUNDUP(S473/20,0),"")</f>
        <v/>
      </c>
      <c r="AE473" s="11">
        <f>IF(ROUNDUP(T473/20,0)&gt;ROUNDUP(T472/20,0),"Lần " &amp; ROUNDUP(T473/20,0),"")</f>
        <v/>
      </c>
      <c r="AF473" s="11">
        <f>IF(ROUNDUP(U473/20,0)&gt;ROUNDUP(U472/20,0),"Lần " &amp; ROUNDUP(U473/20,0),"")</f>
        <v/>
      </c>
      <c r="AG473" s="11">
        <f>IF(ROUNDUP(V473/20,0)&gt;ROUNDUP(V472/20,0),"Lần " &amp; ROUNDUP(V473/20,0),"")</f>
        <v/>
      </c>
      <c r="AH473" s="11">
        <f>IF(ROUNDUP(W473/20,0)&gt;ROUNDUP(W472/20,0),"Lần " &amp; ROUNDUP(W473/20,0),"")</f>
        <v/>
      </c>
      <c r="AI473" s="11">
        <f>IF(ROUNDUP(X473/20,0)&gt;ROUNDUP(X472/20,0),"Lần " &amp; ROUNDUP(X473/20,0),"")</f>
        <v/>
      </c>
      <c r="AJ473" s="11">
        <f>IF(ROUNDUP(Y473/20,0)&gt;ROUNDUP(Y472/20,0),"Lần " &amp; ROUNDUP(Y473/20,0),"")</f>
        <v/>
      </c>
      <c r="AK473" s="11">
        <f>IF(ROUNDUP(Z473/20,0)&gt;ROUNDUP(Z472/20,0),"Lần " &amp; ROUNDUP(Z473/20,0),"")</f>
        <v/>
      </c>
      <c r="AL473" s="6" t="n"/>
      <c r="AN473" t="inlineStr">
        <is>
          <t>Coc</t>
        </is>
      </c>
      <c r="AO473" t="n">
        <v>8</v>
      </c>
    </row>
    <row r="474" ht="19" customHeight="1">
      <c r="A474" s="17" t="inlineStr">
        <is>
          <t>--- CỌC KHOAN NHỒI C3 TRỤ T1 (D1.2M, L=40.0M) ---</t>
        </is>
      </c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  <c r="AG474" s="35" t="n"/>
      <c r="AH474" s="35" t="n"/>
      <c r="AI474" s="35" t="n"/>
      <c r="AJ474" s="35" t="n"/>
      <c r="AK474" s="35" t="n"/>
      <c r="AL474" s="34" t="n"/>
    </row>
    <row r="475" ht="19" customHeight="1">
      <c r="A475" s="6" t="n">
        <v>453</v>
      </c>
      <c r="B475" s="7" t="inlineStr">
        <is>
          <t>Cọc khoan nhồi C3 Trụ T1 (D1.2m, L=40.0m)</t>
        </is>
      </c>
      <c r="C475" s="7" t="inlineStr">
        <is>
          <t>Cọc trụ T1 L=40m (tr.68)</t>
        </is>
      </c>
      <c r="D475" s="18" t="inlineStr">
        <is>
          <t>P1</t>
        </is>
      </c>
      <c r="E475" s="19" t="n">
        <v>10</v>
      </c>
      <c r="F475" s="6" t="inlineStr">
        <is>
          <t>CB240-T</t>
        </is>
      </c>
      <c r="G475" s="7" t="inlineStr"/>
      <c r="H475" s="20" t="n">
        <v>96.604</v>
      </c>
      <c r="I475" s="21" t="n">
        <v>1</v>
      </c>
      <c r="J475" s="22" t="n">
        <v>0.617</v>
      </c>
      <c r="K475" s="9">
        <f>ROUND(H475*I475*J475, 2)</f>
        <v/>
      </c>
      <c r="L475" s="23">
        <f>ROUND(K475/1000, 3)</f>
        <v/>
      </c>
      <c r="M475" s="8">
        <f>IF(AO475="","",IF(INDEX(Theo_Doi_Tan_Suat_Be_Tong!$C:$C,AO475)="","",INDEX(Theo_Doi_Tan_Suat_Be_Tong!$C:$C,AO475)-VLOOKUP(AN475,$AQ$2:$AR$7,2,FALSE)))</f>
        <v/>
      </c>
      <c r="N475" s="6" t="n"/>
      <c r="O475" s="24">
        <f>IF(ROUNDUP(P475/20,0)&gt;ROUNDUP(P473/20,0),"TN Ø10 (Lần " &amp; ROUNDUP(P475/20,0) &amp; ")","")</f>
        <v/>
      </c>
      <c r="P475" s="20">
        <f>ROUND(P473+IF(AND(E475&lt;=10,F475&lt;&gt;"ASTM A416"),L475,0),3)</f>
        <v/>
      </c>
      <c r="Q475" s="20">
        <f>ROUND(Q473+IF(AND(E475=12,F475&lt;&gt;"ASTM A416"),L475,0),3)</f>
        <v/>
      </c>
      <c r="R475" s="20">
        <f>ROUND(R473+IF(AND(E475=14,F475&lt;&gt;"ASTM A416"),L475,0),3)</f>
        <v/>
      </c>
      <c r="S475" s="20">
        <f>ROUND(S473+IF(AND(E475=16,F475&lt;&gt;"ASTM A416"),L475,0),3)</f>
        <v/>
      </c>
      <c r="T475" s="20">
        <f>ROUND(T473+IF(AND(E475=18,F475&lt;&gt;"ASTM A416"),L475,0),3)</f>
        <v/>
      </c>
      <c r="U475" s="20">
        <f>ROUND(U473+IF(AND(E475=20,F475&lt;&gt;"ASTM A416"),L475,0),3)</f>
        <v/>
      </c>
      <c r="V475" s="20">
        <f>ROUND(V473+IF(AND(E475=22,F475&lt;&gt;"ASTM A416"),L475,0),3)</f>
        <v/>
      </c>
      <c r="W475" s="20">
        <f>ROUND(W473+IF(AND(E475=25,F475&lt;&gt;"ASTM A416"),L475,0),3)</f>
        <v/>
      </c>
      <c r="X475" s="20">
        <f>ROUND(X473+IF(AND(E475=28,F475&lt;&gt;"ASTM A416"),L475,0),3)</f>
        <v/>
      </c>
      <c r="Y475" s="20">
        <f>ROUND(Y473+IF(AND(E475=32,F475&lt;&gt;"ASTM A416"),L475,0),3)</f>
        <v/>
      </c>
      <c r="Z475" s="20">
        <f>ROUND(Z473+IF(F475="ASTM A416",L475,0),3)</f>
        <v/>
      </c>
      <c r="AA475" s="11">
        <f>IF(ROUNDUP(P475/20,0)&gt;ROUNDUP(P473/20,0),"Lần " &amp; ROUNDUP(P475/20,0),"")</f>
        <v/>
      </c>
      <c r="AB475" s="11">
        <f>IF(ROUNDUP(Q475/20,0)&gt;ROUNDUP(Q473/20,0),"Lần " &amp; ROUNDUP(Q475/20,0),"")</f>
        <v/>
      </c>
      <c r="AC475" s="11">
        <f>IF(ROUNDUP(R475/20,0)&gt;ROUNDUP(R473/20,0),"Lần " &amp; ROUNDUP(R475/20,0),"")</f>
        <v/>
      </c>
      <c r="AD475" s="11">
        <f>IF(ROUNDUP(S475/20,0)&gt;ROUNDUP(S473/20,0),"Lần " &amp; ROUNDUP(S475/20,0),"")</f>
        <v/>
      </c>
      <c r="AE475" s="11">
        <f>IF(ROUNDUP(T475/20,0)&gt;ROUNDUP(T473/20,0),"Lần " &amp; ROUNDUP(T475/20,0),"")</f>
        <v/>
      </c>
      <c r="AF475" s="11">
        <f>IF(ROUNDUP(U475/20,0)&gt;ROUNDUP(U473/20,0),"Lần " &amp; ROUNDUP(U475/20,0),"")</f>
        <v/>
      </c>
      <c r="AG475" s="11">
        <f>IF(ROUNDUP(V475/20,0)&gt;ROUNDUP(V473/20,0),"Lần " &amp; ROUNDUP(V475/20,0),"")</f>
        <v/>
      </c>
      <c r="AH475" s="11">
        <f>IF(ROUNDUP(W475/20,0)&gt;ROUNDUP(W473/20,0),"Lần " &amp; ROUNDUP(W475/20,0),"")</f>
        <v/>
      </c>
      <c r="AI475" s="11">
        <f>IF(ROUNDUP(X475/20,0)&gt;ROUNDUP(X473/20,0),"Lần " &amp; ROUNDUP(X475/20,0),"")</f>
        <v/>
      </c>
      <c r="AJ475" s="11">
        <f>IF(ROUNDUP(Y475/20,0)&gt;ROUNDUP(Y473/20,0),"Lần " &amp; ROUNDUP(Y475/20,0),"")</f>
        <v/>
      </c>
      <c r="AK475" s="11">
        <f>IF(ROUNDUP(Z475/20,0)&gt;ROUNDUP(Z473/20,0),"Lần " &amp; ROUNDUP(Z475/20,0),"")</f>
        <v/>
      </c>
      <c r="AL475" s="6" t="n"/>
      <c r="AN475" t="inlineStr">
        <is>
          <t>Coc</t>
        </is>
      </c>
      <c r="AO475" t="n">
        <v>9</v>
      </c>
    </row>
    <row r="476" ht="19" customHeight="1">
      <c r="A476" s="6" t="n">
        <v>454</v>
      </c>
      <c r="B476" s="7" t="inlineStr">
        <is>
          <t>Cọc khoan nhồi C3 Trụ T1 (D1.2m, L=40.0m)</t>
        </is>
      </c>
      <c r="C476" s="7" t="inlineStr">
        <is>
          <t>Cọc trụ T1 L=40m (tr.68)</t>
        </is>
      </c>
      <c r="D476" s="18" t="inlineStr">
        <is>
          <t>P1A</t>
        </is>
      </c>
      <c r="E476" s="19" t="n">
        <v>10</v>
      </c>
      <c r="F476" s="6" t="inlineStr">
        <is>
          <t>CB240-T</t>
        </is>
      </c>
      <c r="G476" s="7" t="inlineStr"/>
      <c r="H476" s="20" t="n">
        <v>389.636</v>
      </c>
      <c r="I476" s="21" t="n">
        <v>1</v>
      </c>
      <c r="J476" s="22" t="n">
        <v>0.617</v>
      </c>
      <c r="K476" s="9">
        <f>ROUND(H476*I476*J476, 2)</f>
        <v/>
      </c>
      <c r="L476" s="23">
        <f>ROUND(K476/1000, 3)</f>
        <v/>
      </c>
      <c r="M476" s="8">
        <f>IF(AO476="","",IF(INDEX(Theo_Doi_Tan_Suat_Be_Tong!$C:$C,AO476)="","",INDEX(Theo_Doi_Tan_Suat_Be_Tong!$C:$C,AO476)-VLOOKUP(AN476,$AQ$2:$AR$7,2,FALSE)))</f>
        <v/>
      </c>
      <c r="N476" s="6" t="n"/>
      <c r="O476" s="24">
        <f>IF(ROUNDUP(P476/20,0)&gt;ROUNDUP(P475/20,0),"TN Ø10 (Lần " &amp; ROUNDUP(P476/20,0) &amp; ")","")</f>
        <v/>
      </c>
      <c r="P476" s="20">
        <f>ROUND(P475+IF(AND(E476&lt;=10,F476&lt;&gt;"ASTM A416"),L476,0),3)</f>
        <v/>
      </c>
      <c r="Q476" s="20">
        <f>ROUND(Q475+IF(AND(E476=12,F476&lt;&gt;"ASTM A416"),L476,0),3)</f>
        <v/>
      </c>
      <c r="R476" s="20">
        <f>ROUND(R475+IF(AND(E476=14,F476&lt;&gt;"ASTM A416"),L476,0),3)</f>
        <v/>
      </c>
      <c r="S476" s="20">
        <f>ROUND(S475+IF(AND(E476=16,F476&lt;&gt;"ASTM A416"),L476,0),3)</f>
        <v/>
      </c>
      <c r="T476" s="20">
        <f>ROUND(T475+IF(AND(E476=18,F476&lt;&gt;"ASTM A416"),L476,0),3)</f>
        <v/>
      </c>
      <c r="U476" s="20">
        <f>ROUND(U475+IF(AND(E476=20,F476&lt;&gt;"ASTM A416"),L476,0),3)</f>
        <v/>
      </c>
      <c r="V476" s="20">
        <f>ROUND(V475+IF(AND(E476=22,F476&lt;&gt;"ASTM A416"),L476,0),3)</f>
        <v/>
      </c>
      <c r="W476" s="20">
        <f>ROUND(W475+IF(AND(E476=25,F476&lt;&gt;"ASTM A416"),L476,0),3)</f>
        <v/>
      </c>
      <c r="X476" s="20">
        <f>ROUND(X475+IF(AND(E476=28,F476&lt;&gt;"ASTM A416"),L476,0),3)</f>
        <v/>
      </c>
      <c r="Y476" s="20">
        <f>ROUND(Y475+IF(AND(E476=32,F476&lt;&gt;"ASTM A416"),L476,0),3)</f>
        <v/>
      </c>
      <c r="Z476" s="20">
        <f>ROUND(Z475+IF(F476="ASTM A416",L476,0),3)</f>
        <v/>
      </c>
      <c r="AA476" s="11">
        <f>IF(ROUNDUP(P476/20,0)&gt;ROUNDUP(P475/20,0),"Lần " &amp; ROUNDUP(P476/20,0),"")</f>
        <v/>
      </c>
      <c r="AB476" s="11">
        <f>IF(ROUNDUP(Q476/20,0)&gt;ROUNDUP(Q475/20,0),"Lần " &amp; ROUNDUP(Q476/20,0),"")</f>
        <v/>
      </c>
      <c r="AC476" s="11">
        <f>IF(ROUNDUP(R476/20,0)&gt;ROUNDUP(R475/20,0),"Lần " &amp; ROUNDUP(R476/20,0),"")</f>
        <v/>
      </c>
      <c r="AD476" s="11">
        <f>IF(ROUNDUP(S476/20,0)&gt;ROUNDUP(S475/20,0),"Lần " &amp; ROUNDUP(S476/20,0),"")</f>
        <v/>
      </c>
      <c r="AE476" s="11">
        <f>IF(ROUNDUP(T476/20,0)&gt;ROUNDUP(T475/20,0),"Lần " &amp; ROUNDUP(T476/20,0),"")</f>
        <v/>
      </c>
      <c r="AF476" s="11">
        <f>IF(ROUNDUP(U476/20,0)&gt;ROUNDUP(U475/20,0),"Lần " &amp; ROUNDUP(U476/20,0),"")</f>
        <v/>
      </c>
      <c r="AG476" s="11">
        <f>IF(ROUNDUP(V476/20,0)&gt;ROUNDUP(V475/20,0),"Lần " &amp; ROUNDUP(V476/20,0),"")</f>
        <v/>
      </c>
      <c r="AH476" s="11">
        <f>IF(ROUNDUP(W476/20,0)&gt;ROUNDUP(W475/20,0),"Lần " &amp; ROUNDUP(W476/20,0),"")</f>
        <v/>
      </c>
      <c r="AI476" s="11">
        <f>IF(ROUNDUP(X476/20,0)&gt;ROUNDUP(X475/20,0),"Lần " &amp; ROUNDUP(X476/20,0),"")</f>
        <v/>
      </c>
      <c r="AJ476" s="11">
        <f>IF(ROUNDUP(Y476/20,0)&gt;ROUNDUP(Y475/20,0),"Lần " &amp; ROUNDUP(Y476/20,0),"")</f>
        <v/>
      </c>
      <c r="AK476" s="11">
        <f>IF(ROUNDUP(Z476/20,0)&gt;ROUNDUP(Z475/20,0),"Lần " &amp; ROUNDUP(Z476/20,0),"")</f>
        <v/>
      </c>
      <c r="AL476" s="6" t="n"/>
      <c r="AN476" t="inlineStr">
        <is>
          <t>Coc</t>
        </is>
      </c>
      <c r="AO476" t="n">
        <v>9</v>
      </c>
    </row>
    <row r="477" ht="19" customHeight="1">
      <c r="A477" s="6" t="n">
        <v>455</v>
      </c>
      <c r="B477" s="7" t="inlineStr">
        <is>
          <t>Cọc khoan nhồi C3 Trụ T1 (D1.2m, L=40.0m)</t>
        </is>
      </c>
      <c r="C477" s="7" t="inlineStr">
        <is>
          <t>Cọc trụ T1 L=40m (tr.68)</t>
        </is>
      </c>
      <c r="D477" s="18" t="inlineStr">
        <is>
          <t>P1B</t>
        </is>
      </c>
      <c r="E477" s="19" t="n">
        <v>10</v>
      </c>
      <c r="F477" s="6" t="inlineStr">
        <is>
          <t>CB240-T</t>
        </is>
      </c>
      <c r="G477" s="7" t="inlineStr"/>
      <c r="H477" s="20" t="n">
        <v>206.981</v>
      </c>
      <c r="I477" s="21" t="n">
        <v>1</v>
      </c>
      <c r="J477" s="22" t="n">
        <v>0.617</v>
      </c>
      <c r="K477" s="9">
        <f>ROUND(H477*I477*J477, 2)</f>
        <v/>
      </c>
      <c r="L477" s="23">
        <f>ROUND(K477/1000, 3)</f>
        <v/>
      </c>
      <c r="M477" s="8">
        <f>IF(AO477="","",IF(INDEX(Theo_Doi_Tan_Suat_Be_Tong!$C:$C,AO477)="","",INDEX(Theo_Doi_Tan_Suat_Be_Tong!$C:$C,AO477)-VLOOKUP(AN477,$AQ$2:$AR$7,2,FALSE)))</f>
        <v/>
      </c>
      <c r="N477" s="6" t="n"/>
      <c r="O477" s="24">
        <f>IF(ROUNDUP(P477/20,0)&gt;ROUNDUP(P476/20,0),"TN Ø10 (Lần " &amp; ROUNDUP(P477/20,0) &amp; ")","")</f>
        <v/>
      </c>
      <c r="P477" s="20">
        <f>ROUND(P476+IF(AND(E477&lt;=10,F477&lt;&gt;"ASTM A416"),L477,0),3)</f>
        <v/>
      </c>
      <c r="Q477" s="20">
        <f>ROUND(Q476+IF(AND(E477=12,F477&lt;&gt;"ASTM A416"),L477,0),3)</f>
        <v/>
      </c>
      <c r="R477" s="20">
        <f>ROUND(R476+IF(AND(E477=14,F477&lt;&gt;"ASTM A416"),L477,0),3)</f>
        <v/>
      </c>
      <c r="S477" s="20">
        <f>ROUND(S476+IF(AND(E477=16,F477&lt;&gt;"ASTM A416"),L477,0),3)</f>
        <v/>
      </c>
      <c r="T477" s="20">
        <f>ROUND(T476+IF(AND(E477=18,F477&lt;&gt;"ASTM A416"),L477,0),3)</f>
        <v/>
      </c>
      <c r="U477" s="20">
        <f>ROUND(U476+IF(AND(E477=20,F477&lt;&gt;"ASTM A416"),L477,0),3)</f>
        <v/>
      </c>
      <c r="V477" s="20">
        <f>ROUND(V476+IF(AND(E477=22,F477&lt;&gt;"ASTM A416"),L477,0),3)</f>
        <v/>
      </c>
      <c r="W477" s="20">
        <f>ROUND(W476+IF(AND(E477=25,F477&lt;&gt;"ASTM A416"),L477,0),3)</f>
        <v/>
      </c>
      <c r="X477" s="20">
        <f>ROUND(X476+IF(AND(E477=28,F477&lt;&gt;"ASTM A416"),L477,0),3)</f>
        <v/>
      </c>
      <c r="Y477" s="20">
        <f>ROUND(Y476+IF(AND(E477=32,F477&lt;&gt;"ASTM A416"),L477,0),3)</f>
        <v/>
      </c>
      <c r="Z477" s="20">
        <f>ROUND(Z476+IF(F477="ASTM A416",L477,0),3)</f>
        <v/>
      </c>
      <c r="AA477" s="11">
        <f>IF(ROUNDUP(P477/20,0)&gt;ROUNDUP(P476/20,0),"Lần " &amp; ROUNDUP(P477/20,0),"")</f>
        <v/>
      </c>
      <c r="AB477" s="11">
        <f>IF(ROUNDUP(Q477/20,0)&gt;ROUNDUP(Q476/20,0),"Lần " &amp; ROUNDUP(Q477/20,0),"")</f>
        <v/>
      </c>
      <c r="AC477" s="11">
        <f>IF(ROUNDUP(R477/20,0)&gt;ROUNDUP(R476/20,0),"Lần " &amp; ROUNDUP(R477/20,0),"")</f>
        <v/>
      </c>
      <c r="AD477" s="11">
        <f>IF(ROUNDUP(S477/20,0)&gt;ROUNDUP(S476/20,0),"Lần " &amp; ROUNDUP(S477/20,0),"")</f>
        <v/>
      </c>
      <c r="AE477" s="11">
        <f>IF(ROUNDUP(T477/20,0)&gt;ROUNDUP(T476/20,0),"Lần " &amp; ROUNDUP(T477/20,0),"")</f>
        <v/>
      </c>
      <c r="AF477" s="11">
        <f>IF(ROUNDUP(U477/20,0)&gt;ROUNDUP(U476/20,0),"Lần " &amp; ROUNDUP(U477/20,0),"")</f>
        <v/>
      </c>
      <c r="AG477" s="11">
        <f>IF(ROUNDUP(V477/20,0)&gt;ROUNDUP(V476/20,0),"Lần " &amp; ROUNDUP(V477/20,0),"")</f>
        <v/>
      </c>
      <c r="AH477" s="11">
        <f>IF(ROUNDUP(W477/20,0)&gt;ROUNDUP(W476/20,0),"Lần " &amp; ROUNDUP(W477/20,0),"")</f>
        <v/>
      </c>
      <c r="AI477" s="11">
        <f>IF(ROUNDUP(X477/20,0)&gt;ROUNDUP(X476/20,0),"Lần " &amp; ROUNDUP(X477/20,0),"")</f>
        <v/>
      </c>
      <c r="AJ477" s="11">
        <f>IF(ROUNDUP(Y477/20,0)&gt;ROUNDUP(Y476/20,0),"Lần " &amp; ROUNDUP(Y477/20,0),"")</f>
        <v/>
      </c>
      <c r="AK477" s="11">
        <f>IF(ROUNDUP(Z477/20,0)&gt;ROUNDUP(Z476/20,0),"Lần " &amp; ROUNDUP(Z477/20,0),"")</f>
        <v/>
      </c>
      <c r="AL477" s="6" t="n"/>
      <c r="AN477" t="inlineStr">
        <is>
          <t>Coc</t>
        </is>
      </c>
      <c r="AO477" t="n">
        <v>9</v>
      </c>
    </row>
    <row r="478" ht="19" customHeight="1">
      <c r="A478" s="6" t="n">
        <v>456</v>
      </c>
      <c r="B478" s="7" t="inlineStr">
        <is>
          <t>Cọc khoan nhồi C3 Trụ T1 (D1.2m, L=40.0m)</t>
        </is>
      </c>
      <c r="C478" s="7" t="inlineStr">
        <is>
          <t>Cọc trụ T1 L=40m (tr.68)</t>
        </is>
      </c>
      <c r="D478" s="18" t="inlineStr">
        <is>
          <t>P1C</t>
        </is>
      </c>
      <c r="E478" s="19" t="n">
        <v>10</v>
      </c>
      <c r="F478" s="6" t="inlineStr">
        <is>
          <t>CB240-T</t>
        </is>
      </c>
      <c r="G478" s="7" t="inlineStr"/>
      <c r="H478" s="20" t="n">
        <v>3.592</v>
      </c>
      <c r="I478" s="21" t="n">
        <v>2</v>
      </c>
      <c r="J478" s="22" t="n">
        <v>0.617</v>
      </c>
      <c r="K478" s="9">
        <f>ROUND(H478*I478*J478, 2)</f>
        <v/>
      </c>
      <c r="L478" s="23">
        <f>ROUND(K478/1000, 3)</f>
        <v/>
      </c>
      <c r="M478" s="8">
        <f>IF(AO478="","",IF(INDEX(Theo_Doi_Tan_Suat_Be_Tong!$C:$C,AO478)="","",INDEX(Theo_Doi_Tan_Suat_Be_Tong!$C:$C,AO478)-VLOOKUP(AN478,$AQ$2:$AR$7,2,FALSE)))</f>
        <v/>
      </c>
      <c r="N478" s="6" t="n"/>
      <c r="O478" s="24">
        <f>IF(ROUNDUP(P478/20,0)&gt;ROUNDUP(P477/20,0),"TN Ø10 (Lần " &amp; ROUNDUP(P478/20,0) &amp; ")","")</f>
        <v/>
      </c>
      <c r="P478" s="20">
        <f>ROUND(P477+IF(AND(E478&lt;=10,F478&lt;&gt;"ASTM A416"),L478,0),3)</f>
        <v/>
      </c>
      <c r="Q478" s="20">
        <f>ROUND(Q477+IF(AND(E478=12,F478&lt;&gt;"ASTM A416"),L478,0),3)</f>
        <v/>
      </c>
      <c r="R478" s="20">
        <f>ROUND(R477+IF(AND(E478=14,F478&lt;&gt;"ASTM A416"),L478,0),3)</f>
        <v/>
      </c>
      <c r="S478" s="20">
        <f>ROUND(S477+IF(AND(E478=16,F478&lt;&gt;"ASTM A416"),L478,0),3)</f>
        <v/>
      </c>
      <c r="T478" s="20">
        <f>ROUND(T477+IF(AND(E478=18,F478&lt;&gt;"ASTM A416"),L478,0),3)</f>
        <v/>
      </c>
      <c r="U478" s="20">
        <f>ROUND(U477+IF(AND(E478=20,F478&lt;&gt;"ASTM A416"),L478,0),3)</f>
        <v/>
      </c>
      <c r="V478" s="20">
        <f>ROUND(V477+IF(AND(E478=22,F478&lt;&gt;"ASTM A416"),L478,0),3)</f>
        <v/>
      </c>
      <c r="W478" s="20">
        <f>ROUND(W477+IF(AND(E478=25,F478&lt;&gt;"ASTM A416"),L478,0),3)</f>
        <v/>
      </c>
      <c r="X478" s="20">
        <f>ROUND(X477+IF(AND(E478=28,F478&lt;&gt;"ASTM A416"),L478,0),3)</f>
        <v/>
      </c>
      <c r="Y478" s="20">
        <f>ROUND(Y477+IF(AND(E478=32,F478&lt;&gt;"ASTM A416"),L478,0),3)</f>
        <v/>
      </c>
      <c r="Z478" s="20">
        <f>ROUND(Z477+IF(F478="ASTM A416",L478,0),3)</f>
        <v/>
      </c>
      <c r="AA478" s="11">
        <f>IF(ROUNDUP(P478/20,0)&gt;ROUNDUP(P477/20,0),"Lần " &amp; ROUNDUP(P478/20,0),"")</f>
        <v/>
      </c>
      <c r="AB478" s="11">
        <f>IF(ROUNDUP(Q478/20,0)&gt;ROUNDUP(Q477/20,0),"Lần " &amp; ROUNDUP(Q478/20,0),"")</f>
        <v/>
      </c>
      <c r="AC478" s="11">
        <f>IF(ROUNDUP(R478/20,0)&gt;ROUNDUP(R477/20,0),"Lần " &amp; ROUNDUP(R478/20,0),"")</f>
        <v/>
      </c>
      <c r="AD478" s="11">
        <f>IF(ROUNDUP(S478/20,0)&gt;ROUNDUP(S477/20,0),"Lần " &amp; ROUNDUP(S478/20,0),"")</f>
        <v/>
      </c>
      <c r="AE478" s="11">
        <f>IF(ROUNDUP(T478/20,0)&gt;ROUNDUP(T477/20,0),"Lần " &amp; ROUNDUP(T478/20,0),"")</f>
        <v/>
      </c>
      <c r="AF478" s="11">
        <f>IF(ROUNDUP(U478/20,0)&gt;ROUNDUP(U477/20,0),"Lần " &amp; ROUNDUP(U478/20,0),"")</f>
        <v/>
      </c>
      <c r="AG478" s="11">
        <f>IF(ROUNDUP(V478/20,0)&gt;ROUNDUP(V477/20,0),"Lần " &amp; ROUNDUP(V478/20,0),"")</f>
        <v/>
      </c>
      <c r="AH478" s="11">
        <f>IF(ROUNDUP(W478/20,0)&gt;ROUNDUP(W477/20,0),"Lần " &amp; ROUNDUP(W478/20,0),"")</f>
        <v/>
      </c>
      <c r="AI478" s="11">
        <f>IF(ROUNDUP(X478/20,0)&gt;ROUNDUP(X477/20,0),"Lần " &amp; ROUNDUP(X478/20,0),"")</f>
        <v/>
      </c>
      <c r="AJ478" s="11">
        <f>IF(ROUNDUP(Y478/20,0)&gt;ROUNDUP(Y477/20,0),"Lần " &amp; ROUNDUP(Y478/20,0),"")</f>
        <v/>
      </c>
      <c r="AK478" s="11">
        <f>IF(ROUNDUP(Z478/20,0)&gt;ROUNDUP(Z477/20,0),"Lần " &amp; ROUNDUP(Z478/20,0),"")</f>
        <v/>
      </c>
      <c r="AL478" s="6" t="n"/>
      <c r="AN478" t="inlineStr">
        <is>
          <t>Coc</t>
        </is>
      </c>
      <c r="AO478" t="n">
        <v>9</v>
      </c>
    </row>
    <row r="479" ht="19" customHeight="1">
      <c r="A479" s="6" t="n">
        <v>457</v>
      </c>
      <c r="B479" s="7" t="inlineStr">
        <is>
          <t>Cọc khoan nhồi C3 Trụ T1 (D1.2m, L=40.0m)</t>
        </is>
      </c>
      <c r="C479" s="7" t="inlineStr">
        <is>
          <t>Cọc trụ T1 L=40m (tr.68)</t>
        </is>
      </c>
      <c r="D479" s="18" t="inlineStr">
        <is>
          <t>P1D</t>
        </is>
      </c>
      <c r="E479" s="19" t="n">
        <v>10</v>
      </c>
      <c r="F479" s="6" t="inlineStr">
        <is>
          <t>CB240-T</t>
        </is>
      </c>
      <c r="G479" s="7" t="inlineStr"/>
      <c r="H479" s="20" t="n">
        <v>19.721</v>
      </c>
      <c r="I479" s="21" t="n">
        <v>1</v>
      </c>
      <c r="J479" s="22" t="n">
        <v>0.617</v>
      </c>
      <c r="K479" s="9">
        <f>ROUND(H479*I479*J479, 2)</f>
        <v/>
      </c>
      <c r="L479" s="23">
        <f>ROUND(K479/1000, 3)</f>
        <v/>
      </c>
      <c r="M479" s="8">
        <f>IF(AO479="","",IF(INDEX(Theo_Doi_Tan_Suat_Be_Tong!$C:$C,AO479)="","",INDEX(Theo_Doi_Tan_Suat_Be_Tong!$C:$C,AO479)-VLOOKUP(AN479,$AQ$2:$AR$7,2,FALSE)))</f>
        <v/>
      </c>
      <c r="N479" s="6" t="n"/>
      <c r="O479" s="24">
        <f>IF(ROUNDUP(P479/20,0)&gt;ROUNDUP(P478/20,0),"TN Ø10 (Lần " &amp; ROUNDUP(P479/20,0) &amp; ")","")</f>
        <v/>
      </c>
      <c r="P479" s="20">
        <f>ROUND(P478+IF(AND(E479&lt;=10,F479&lt;&gt;"ASTM A416"),L479,0),3)</f>
        <v/>
      </c>
      <c r="Q479" s="20">
        <f>ROUND(Q478+IF(AND(E479=12,F479&lt;&gt;"ASTM A416"),L479,0),3)</f>
        <v/>
      </c>
      <c r="R479" s="20">
        <f>ROUND(R478+IF(AND(E479=14,F479&lt;&gt;"ASTM A416"),L479,0),3)</f>
        <v/>
      </c>
      <c r="S479" s="20">
        <f>ROUND(S478+IF(AND(E479=16,F479&lt;&gt;"ASTM A416"),L479,0),3)</f>
        <v/>
      </c>
      <c r="T479" s="20">
        <f>ROUND(T478+IF(AND(E479=18,F479&lt;&gt;"ASTM A416"),L479,0),3)</f>
        <v/>
      </c>
      <c r="U479" s="20">
        <f>ROUND(U478+IF(AND(E479=20,F479&lt;&gt;"ASTM A416"),L479,0),3)</f>
        <v/>
      </c>
      <c r="V479" s="20">
        <f>ROUND(V478+IF(AND(E479=22,F479&lt;&gt;"ASTM A416"),L479,0),3)</f>
        <v/>
      </c>
      <c r="W479" s="20">
        <f>ROUND(W478+IF(AND(E479=25,F479&lt;&gt;"ASTM A416"),L479,0),3)</f>
        <v/>
      </c>
      <c r="X479" s="20">
        <f>ROUND(X478+IF(AND(E479=28,F479&lt;&gt;"ASTM A416"),L479,0),3)</f>
        <v/>
      </c>
      <c r="Y479" s="20">
        <f>ROUND(Y478+IF(AND(E479=32,F479&lt;&gt;"ASTM A416"),L479,0),3)</f>
        <v/>
      </c>
      <c r="Z479" s="20">
        <f>ROUND(Z478+IF(F479="ASTM A416",L479,0),3)</f>
        <v/>
      </c>
      <c r="AA479" s="11">
        <f>IF(ROUNDUP(P479/20,0)&gt;ROUNDUP(P478/20,0),"Lần " &amp; ROUNDUP(P479/20,0),"")</f>
        <v/>
      </c>
      <c r="AB479" s="11">
        <f>IF(ROUNDUP(Q479/20,0)&gt;ROUNDUP(Q478/20,0),"Lần " &amp; ROUNDUP(Q479/20,0),"")</f>
        <v/>
      </c>
      <c r="AC479" s="11">
        <f>IF(ROUNDUP(R479/20,0)&gt;ROUNDUP(R478/20,0),"Lần " &amp; ROUNDUP(R479/20,0),"")</f>
        <v/>
      </c>
      <c r="AD479" s="11">
        <f>IF(ROUNDUP(S479/20,0)&gt;ROUNDUP(S478/20,0),"Lần " &amp; ROUNDUP(S479/20,0),"")</f>
        <v/>
      </c>
      <c r="AE479" s="11">
        <f>IF(ROUNDUP(T479/20,0)&gt;ROUNDUP(T478/20,0),"Lần " &amp; ROUNDUP(T479/20,0),"")</f>
        <v/>
      </c>
      <c r="AF479" s="11">
        <f>IF(ROUNDUP(U479/20,0)&gt;ROUNDUP(U478/20,0),"Lần " &amp; ROUNDUP(U479/20,0),"")</f>
        <v/>
      </c>
      <c r="AG479" s="11">
        <f>IF(ROUNDUP(V479/20,0)&gt;ROUNDUP(V478/20,0),"Lần " &amp; ROUNDUP(V479/20,0),"")</f>
        <v/>
      </c>
      <c r="AH479" s="11">
        <f>IF(ROUNDUP(W479/20,0)&gt;ROUNDUP(W478/20,0),"Lần " &amp; ROUNDUP(W479/20,0),"")</f>
        <v/>
      </c>
      <c r="AI479" s="11">
        <f>IF(ROUNDUP(X479/20,0)&gt;ROUNDUP(X478/20,0),"Lần " &amp; ROUNDUP(X479/20,0),"")</f>
        <v/>
      </c>
      <c r="AJ479" s="11">
        <f>IF(ROUNDUP(Y479/20,0)&gt;ROUNDUP(Y478/20,0),"Lần " &amp; ROUNDUP(Y479/20,0),"")</f>
        <v/>
      </c>
      <c r="AK479" s="11">
        <f>IF(ROUNDUP(Z479/20,0)&gt;ROUNDUP(Z478/20,0),"Lần " &amp; ROUNDUP(Z479/20,0),"")</f>
        <v/>
      </c>
      <c r="AL479" s="6" t="n"/>
      <c r="AN479" t="inlineStr">
        <is>
          <t>Coc</t>
        </is>
      </c>
      <c r="AO479" t="n">
        <v>9</v>
      </c>
    </row>
    <row r="480" ht="19" customHeight="1">
      <c r="A480" s="6" t="n">
        <v>458</v>
      </c>
      <c r="B480" s="7" t="inlineStr">
        <is>
          <t>Cọc khoan nhồi C3 Trụ T1 (D1.2m, L=40.0m)</t>
        </is>
      </c>
      <c r="C480" s="7" t="inlineStr">
        <is>
          <t>Cọc trụ T1 L=40m (tr.68)</t>
        </is>
      </c>
      <c r="D480" s="18" t="inlineStr">
        <is>
          <t>P2B</t>
        </is>
      </c>
      <c r="E480" s="19" t="n">
        <v>25</v>
      </c>
      <c r="F480" s="6" t="inlineStr">
        <is>
          <t>CB400-V</t>
        </is>
      </c>
      <c r="G480" s="7" t="inlineStr"/>
      <c r="H480" s="20" t="n">
        <v>2.985</v>
      </c>
      <c r="I480" s="21" t="n">
        <v>16</v>
      </c>
      <c r="J480" s="22" t="n">
        <v>3.853</v>
      </c>
      <c r="K480" s="9">
        <f>ROUND(H480*I480*J480, 2)</f>
        <v/>
      </c>
      <c r="L480" s="23">
        <f>ROUND(K480/1000, 3)</f>
        <v/>
      </c>
      <c r="M480" s="8">
        <f>IF(AO480="","",IF(INDEX(Theo_Doi_Tan_Suat_Be_Tong!$C:$C,AO480)="","",INDEX(Theo_Doi_Tan_Suat_Be_Tong!$C:$C,AO480)-VLOOKUP(AN480,$AQ$2:$AR$7,2,FALSE)))</f>
        <v/>
      </c>
      <c r="N480" s="6" t="n"/>
      <c r="O480" s="24">
        <f>IF(ROUNDUP(W480/20,0)&gt;ROUNDUP(W479/20,0),"TN Ø25 (Lần " &amp; ROUNDUP(W480/20,0) &amp; ")","")</f>
        <v/>
      </c>
      <c r="P480" s="20">
        <f>ROUND(P479+IF(AND(E480&lt;=10,F480&lt;&gt;"ASTM A416"),L480,0),3)</f>
        <v/>
      </c>
      <c r="Q480" s="20">
        <f>ROUND(Q479+IF(AND(E480=12,F480&lt;&gt;"ASTM A416"),L480,0),3)</f>
        <v/>
      </c>
      <c r="R480" s="20">
        <f>ROUND(R479+IF(AND(E480=14,F480&lt;&gt;"ASTM A416"),L480,0),3)</f>
        <v/>
      </c>
      <c r="S480" s="20">
        <f>ROUND(S479+IF(AND(E480=16,F480&lt;&gt;"ASTM A416"),L480,0),3)</f>
        <v/>
      </c>
      <c r="T480" s="20">
        <f>ROUND(T479+IF(AND(E480=18,F480&lt;&gt;"ASTM A416"),L480,0),3)</f>
        <v/>
      </c>
      <c r="U480" s="20">
        <f>ROUND(U479+IF(AND(E480=20,F480&lt;&gt;"ASTM A416"),L480,0),3)</f>
        <v/>
      </c>
      <c r="V480" s="20">
        <f>ROUND(V479+IF(AND(E480=22,F480&lt;&gt;"ASTM A416"),L480,0),3)</f>
        <v/>
      </c>
      <c r="W480" s="20">
        <f>ROUND(W479+IF(AND(E480=25,F480&lt;&gt;"ASTM A416"),L480,0),3)</f>
        <v/>
      </c>
      <c r="X480" s="20">
        <f>ROUND(X479+IF(AND(E480=28,F480&lt;&gt;"ASTM A416"),L480,0),3)</f>
        <v/>
      </c>
      <c r="Y480" s="20">
        <f>ROUND(Y479+IF(AND(E480=32,F480&lt;&gt;"ASTM A416"),L480,0),3)</f>
        <v/>
      </c>
      <c r="Z480" s="20">
        <f>ROUND(Z479+IF(F480="ASTM A416",L480,0),3)</f>
        <v/>
      </c>
      <c r="AA480" s="11">
        <f>IF(ROUNDUP(P480/20,0)&gt;ROUNDUP(P479/20,0),"Lần " &amp; ROUNDUP(P480/20,0),"")</f>
        <v/>
      </c>
      <c r="AB480" s="11">
        <f>IF(ROUNDUP(Q480/20,0)&gt;ROUNDUP(Q479/20,0),"Lần " &amp; ROUNDUP(Q480/20,0),"")</f>
        <v/>
      </c>
      <c r="AC480" s="11">
        <f>IF(ROUNDUP(R480/20,0)&gt;ROUNDUP(R479/20,0),"Lần " &amp; ROUNDUP(R480/20,0),"")</f>
        <v/>
      </c>
      <c r="AD480" s="11">
        <f>IF(ROUNDUP(S480/20,0)&gt;ROUNDUP(S479/20,0),"Lần " &amp; ROUNDUP(S480/20,0),"")</f>
        <v/>
      </c>
      <c r="AE480" s="11">
        <f>IF(ROUNDUP(T480/20,0)&gt;ROUNDUP(T479/20,0),"Lần " &amp; ROUNDUP(T480/20,0),"")</f>
        <v/>
      </c>
      <c r="AF480" s="11">
        <f>IF(ROUNDUP(U480/20,0)&gt;ROUNDUP(U479/20,0),"Lần " &amp; ROUNDUP(U480/20,0),"")</f>
        <v/>
      </c>
      <c r="AG480" s="11">
        <f>IF(ROUNDUP(V480/20,0)&gt;ROUNDUP(V479/20,0),"Lần " &amp; ROUNDUP(V480/20,0),"")</f>
        <v/>
      </c>
      <c r="AH480" s="11">
        <f>IF(ROUNDUP(W480/20,0)&gt;ROUNDUP(W479/20,0),"Lần " &amp; ROUNDUP(W480/20,0),"")</f>
        <v/>
      </c>
      <c r="AI480" s="11">
        <f>IF(ROUNDUP(X480/20,0)&gt;ROUNDUP(X479/20,0),"Lần " &amp; ROUNDUP(X480/20,0),"")</f>
        <v/>
      </c>
      <c r="AJ480" s="11">
        <f>IF(ROUNDUP(Y480/20,0)&gt;ROUNDUP(Y479/20,0),"Lần " &amp; ROUNDUP(Y480/20,0),"")</f>
        <v/>
      </c>
      <c r="AK480" s="11">
        <f>IF(ROUNDUP(Z480/20,0)&gt;ROUNDUP(Z479/20,0),"Lần " &amp; ROUNDUP(Z480/20,0),"")</f>
        <v/>
      </c>
      <c r="AL480" s="6" t="n"/>
      <c r="AN480" t="inlineStr">
        <is>
          <t>Coc</t>
        </is>
      </c>
      <c r="AO480" t="n">
        <v>9</v>
      </c>
    </row>
    <row r="481" ht="19" customHeight="1">
      <c r="A481" s="6" t="n">
        <v>459</v>
      </c>
      <c r="B481" s="7" t="inlineStr">
        <is>
          <t>Cọc khoan nhồi C3 Trụ T1 (D1.2m, L=40.0m)</t>
        </is>
      </c>
      <c r="C481" s="7" t="inlineStr">
        <is>
          <t>Cọc trụ T1 L=40m (tr.68)</t>
        </is>
      </c>
      <c r="D481" s="18" t="inlineStr">
        <is>
          <t>P3</t>
        </is>
      </c>
      <c r="E481" s="19" t="n">
        <v>25</v>
      </c>
      <c r="F481" s="6" t="inlineStr">
        <is>
          <t>CB400-V</t>
        </is>
      </c>
      <c r="G481" s="7" t="inlineStr"/>
      <c r="H481" s="20" t="n">
        <v>10.7</v>
      </c>
      <c r="I481" s="21" t="n">
        <v>12</v>
      </c>
      <c r="J481" s="22" t="n">
        <v>3.853</v>
      </c>
      <c r="K481" s="9">
        <f>ROUND(H481*I481*J481, 2)</f>
        <v/>
      </c>
      <c r="L481" s="23">
        <f>ROUND(K481/1000, 3)</f>
        <v/>
      </c>
      <c r="M481" s="8">
        <f>IF(AO481="","",IF(INDEX(Theo_Doi_Tan_Suat_Be_Tong!$C:$C,AO481)="","",INDEX(Theo_Doi_Tan_Suat_Be_Tong!$C:$C,AO481)-VLOOKUP(AN481,$AQ$2:$AR$7,2,FALSE)))</f>
        <v/>
      </c>
      <c r="N481" s="6" t="n"/>
      <c r="O481" s="24">
        <f>IF(ROUNDUP(W481/20,0)&gt;ROUNDUP(W480/20,0),"TN Ø25 (Lần " &amp; ROUNDUP(W481/20,0) &amp; ")","")</f>
        <v/>
      </c>
      <c r="P481" s="20">
        <f>ROUND(P480+IF(AND(E481&lt;=10,F481&lt;&gt;"ASTM A416"),L481,0),3)</f>
        <v/>
      </c>
      <c r="Q481" s="20">
        <f>ROUND(Q480+IF(AND(E481=12,F481&lt;&gt;"ASTM A416"),L481,0),3)</f>
        <v/>
      </c>
      <c r="R481" s="20">
        <f>ROUND(R480+IF(AND(E481=14,F481&lt;&gt;"ASTM A416"),L481,0),3)</f>
        <v/>
      </c>
      <c r="S481" s="20">
        <f>ROUND(S480+IF(AND(E481=16,F481&lt;&gt;"ASTM A416"),L481,0),3)</f>
        <v/>
      </c>
      <c r="T481" s="20">
        <f>ROUND(T480+IF(AND(E481=18,F481&lt;&gt;"ASTM A416"),L481,0),3)</f>
        <v/>
      </c>
      <c r="U481" s="20">
        <f>ROUND(U480+IF(AND(E481=20,F481&lt;&gt;"ASTM A416"),L481,0),3)</f>
        <v/>
      </c>
      <c r="V481" s="20">
        <f>ROUND(V480+IF(AND(E481=22,F481&lt;&gt;"ASTM A416"),L481,0),3)</f>
        <v/>
      </c>
      <c r="W481" s="20">
        <f>ROUND(W480+IF(AND(E481=25,F481&lt;&gt;"ASTM A416"),L481,0),3)</f>
        <v/>
      </c>
      <c r="X481" s="20">
        <f>ROUND(X480+IF(AND(E481=28,F481&lt;&gt;"ASTM A416"),L481,0),3)</f>
        <v/>
      </c>
      <c r="Y481" s="20">
        <f>ROUND(Y480+IF(AND(E481=32,F481&lt;&gt;"ASTM A416"),L481,0),3)</f>
        <v/>
      </c>
      <c r="Z481" s="20">
        <f>ROUND(Z480+IF(F481="ASTM A416",L481,0),3)</f>
        <v/>
      </c>
      <c r="AA481" s="11">
        <f>IF(ROUNDUP(P481/20,0)&gt;ROUNDUP(P480/20,0),"Lần " &amp; ROUNDUP(P481/20,0),"")</f>
        <v/>
      </c>
      <c r="AB481" s="11">
        <f>IF(ROUNDUP(Q481/20,0)&gt;ROUNDUP(Q480/20,0),"Lần " &amp; ROUNDUP(Q481/20,0),"")</f>
        <v/>
      </c>
      <c r="AC481" s="11">
        <f>IF(ROUNDUP(R481/20,0)&gt;ROUNDUP(R480/20,0),"Lần " &amp; ROUNDUP(R481/20,0),"")</f>
        <v/>
      </c>
      <c r="AD481" s="11">
        <f>IF(ROUNDUP(S481/20,0)&gt;ROUNDUP(S480/20,0),"Lần " &amp; ROUNDUP(S481/20,0),"")</f>
        <v/>
      </c>
      <c r="AE481" s="11">
        <f>IF(ROUNDUP(T481/20,0)&gt;ROUNDUP(T480/20,0),"Lần " &amp; ROUNDUP(T481/20,0),"")</f>
        <v/>
      </c>
      <c r="AF481" s="11">
        <f>IF(ROUNDUP(U481/20,0)&gt;ROUNDUP(U480/20,0),"Lần " &amp; ROUNDUP(U481/20,0),"")</f>
        <v/>
      </c>
      <c r="AG481" s="11">
        <f>IF(ROUNDUP(V481/20,0)&gt;ROUNDUP(V480/20,0),"Lần " &amp; ROUNDUP(V481/20,0),"")</f>
        <v/>
      </c>
      <c r="AH481" s="11">
        <f>IF(ROUNDUP(W481/20,0)&gt;ROUNDUP(W480/20,0),"Lần " &amp; ROUNDUP(W481/20,0),"")</f>
        <v/>
      </c>
      <c r="AI481" s="11">
        <f>IF(ROUNDUP(X481/20,0)&gt;ROUNDUP(X480/20,0),"Lần " &amp; ROUNDUP(X481/20,0),"")</f>
        <v/>
      </c>
      <c r="AJ481" s="11">
        <f>IF(ROUNDUP(Y481/20,0)&gt;ROUNDUP(Y480/20,0),"Lần " &amp; ROUNDUP(Y481/20,0),"")</f>
        <v/>
      </c>
      <c r="AK481" s="11">
        <f>IF(ROUNDUP(Z481/20,0)&gt;ROUNDUP(Z480/20,0),"Lần " &amp; ROUNDUP(Z481/20,0),"")</f>
        <v/>
      </c>
      <c r="AL481" s="6" t="n"/>
      <c r="AN481" t="inlineStr">
        <is>
          <t>Coc</t>
        </is>
      </c>
      <c r="AO481" t="n">
        <v>9</v>
      </c>
    </row>
    <row r="482" ht="19" customHeight="1">
      <c r="A482" s="6" t="n">
        <v>460</v>
      </c>
      <c r="B482" s="7" t="inlineStr">
        <is>
          <t>Cọc khoan nhồi C3 Trụ T1 (D1.2m, L=40.0m)</t>
        </is>
      </c>
      <c r="C482" s="7" t="inlineStr">
        <is>
          <t>Cọc trụ T1 L=40m (tr.68)</t>
        </is>
      </c>
      <c r="D482" s="18" t="inlineStr">
        <is>
          <t>P4</t>
        </is>
      </c>
      <c r="E482" s="19" t="n">
        <v>25</v>
      </c>
      <c r="F482" s="6" t="inlineStr">
        <is>
          <t>CB400-V</t>
        </is>
      </c>
      <c r="G482" s="7" t="inlineStr"/>
      <c r="H482" s="20" t="n">
        <v>11.7</v>
      </c>
      <c r="I482" s="21" t="n">
        <v>60</v>
      </c>
      <c r="J482" s="22" t="n">
        <v>3.853</v>
      </c>
      <c r="K482" s="9">
        <f>ROUND(H482*I482*J482, 2)</f>
        <v/>
      </c>
      <c r="L482" s="23">
        <f>ROUND(K482/1000, 3)</f>
        <v/>
      </c>
      <c r="M482" s="8">
        <f>IF(AO482="","",IF(INDEX(Theo_Doi_Tan_Suat_Be_Tong!$C:$C,AO482)="","",INDEX(Theo_Doi_Tan_Suat_Be_Tong!$C:$C,AO482)-VLOOKUP(AN482,$AQ$2:$AR$7,2,FALSE)))</f>
        <v/>
      </c>
      <c r="N482" s="6" t="n"/>
      <c r="O482" s="24">
        <f>IF(ROUNDUP(W482/20,0)&gt;ROUNDUP(W481/20,0),"TN Ø25 (Lần " &amp; ROUNDUP(W482/20,0) &amp; ")","")</f>
        <v/>
      </c>
      <c r="P482" s="20">
        <f>ROUND(P481+IF(AND(E482&lt;=10,F482&lt;&gt;"ASTM A416"),L482,0),3)</f>
        <v/>
      </c>
      <c r="Q482" s="20">
        <f>ROUND(Q481+IF(AND(E482=12,F482&lt;&gt;"ASTM A416"),L482,0),3)</f>
        <v/>
      </c>
      <c r="R482" s="20">
        <f>ROUND(R481+IF(AND(E482=14,F482&lt;&gt;"ASTM A416"),L482,0),3)</f>
        <v/>
      </c>
      <c r="S482" s="20">
        <f>ROUND(S481+IF(AND(E482=16,F482&lt;&gt;"ASTM A416"),L482,0),3)</f>
        <v/>
      </c>
      <c r="T482" s="20">
        <f>ROUND(T481+IF(AND(E482=18,F482&lt;&gt;"ASTM A416"),L482,0),3)</f>
        <v/>
      </c>
      <c r="U482" s="20">
        <f>ROUND(U481+IF(AND(E482=20,F482&lt;&gt;"ASTM A416"),L482,0),3)</f>
        <v/>
      </c>
      <c r="V482" s="20">
        <f>ROUND(V481+IF(AND(E482=22,F482&lt;&gt;"ASTM A416"),L482,0),3)</f>
        <v/>
      </c>
      <c r="W482" s="20">
        <f>ROUND(W481+IF(AND(E482=25,F482&lt;&gt;"ASTM A416"),L482,0),3)</f>
        <v/>
      </c>
      <c r="X482" s="20">
        <f>ROUND(X481+IF(AND(E482=28,F482&lt;&gt;"ASTM A416"),L482,0),3)</f>
        <v/>
      </c>
      <c r="Y482" s="20">
        <f>ROUND(Y481+IF(AND(E482=32,F482&lt;&gt;"ASTM A416"),L482,0),3)</f>
        <v/>
      </c>
      <c r="Z482" s="20">
        <f>ROUND(Z481+IF(F482="ASTM A416",L482,0),3)</f>
        <v/>
      </c>
      <c r="AA482" s="11">
        <f>IF(ROUNDUP(P482/20,0)&gt;ROUNDUP(P481/20,0),"Lần " &amp; ROUNDUP(P482/20,0),"")</f>
        <v/>
      </c>
      <c r="AB482" s="11">
        <f>IF(ROUNDUP(Q482/20,0)&gt;ROUNDUP(Q481/20,0),"Lần " &amp; ROUNDUP(Q482/20,0),"")</f>
        <v/>
      </c>
      <c r="AC482" s="11">
        <f>IF(ROUNDUP(R482/20,0)&gt;ROUNDUP(R481/20,0),"Lần " &amp; ROUNDUP(R482/20,0),"")</f>
        <v/>
      </c>
      <c r="AD482" s="11">
        <f>IF(ROUNDUP(S482/20,0)&gt;ROUNDUP(S481/20,0),"Lần " &amp; ROUNDUP(S482/20,0),"")</f>
        <v/>
      </c>
      <c r="AE482" s="11">
        <f>IF(ROUNDUP(T482/20,0)&gt;ROUNDUP(T481/20,0),"Lần " &amp; ROUNDUP(T482/20,0),"")</f>
        <v/>
      </c>
      <c r="AF482" s="11">
        <f>IF(ROUNDUP(U482/20,0)&gt;ROUNDUP(U481/20,0),"Lần " &amp; ROUNDUP(U482/20,0),"")</f>
        <v/>
      </c>
      <c r="AG482" s="11">
        <f>IF(ROUNDUP(V482/20,0)&gt;ROUNDUP(V481/20,0),"Lần " &amp; ROUNDUP(V482/20,0),"")</f>
        <v/>
      </c>
      <c r="AH482" s="11">
        <f>IF(ROUNDUP(W482/20,0)&gt;ROUNDUP(W481/20,0),"Lần " &amp; ROUNDUP(W482/20,0),"")</f>
        <v/>
      </c>
      <c r="AI482" s="11">
        <f>IF(ROUNDUP(X482/20,0)&gt;ROUNDUP(X481/20,0),"Lần " &amp; ROUNDUP(X482/20,0),"")</f>
        <v/>
      </c>
      <c r="AJ482" s="11">
        <f>IF(ROUNDUP(Y482/20,0)&gt;ROUNDUP(Y481/20,0),"Lần " &amp; ROUNDUP(Y482/20,0),"")</f>
        <v/>
      </c>
      <c r="AK482" s="11">
        <f>IF(ROUNDUP(Z482/20,0)&gt;ROUNDUP(Z481/20,0),"Lần " &amp; ROUNDUP(Z482/20,0),"")</f>
        <v/>
      </c>
      <c r="AL482" s="6" t="n"/>
      <c r="AN482" t="inlineStr">
        <is>
          <t>Coc</t>
        </is>
      </c>
      <c r="AO482" t="n">
        <v>9</v>
      </c>
    </row>
    <row r="483" ht="19" customHeight="1">
      <c r="A483" s="6" t="n">
        <v>461</v>
      </c>
      <c r="B483" s="7" t="inlineStr">
        <is>
          <t>Cọc khoan nhồi C3 Trụ T1 (D1.2m, L=40.0m)</t>
        </is>
      </c>
      <c r="C483" s="7" t="inlineStr">
        <is>
          <t>Cọc trụ T1 L=40m (tr.68)</t>
        </is>
      </c>
      <c r="D483" s="18" t="inlineStr">
        <is>
          <t>P6</t>
        </is>
      </c>
      <c r="E483" s="19" t="n">
        <v>25</v>
      </c>
      <c r="F483" s="6" t="inlineStr">
        <is>
          <t>CB400-V</t>
        </is>
      </c>
      <c r="G483" s="7" t="inlineStr"/>
      <c r="H483" s="20" t="n">
        <v>9.032999999999999</v>
      </c>
      <c r="I483" s="21" t="n">
        <v>12</v>
      </c>
      <c r="J483" s="22" t="n">
        <v>3.853</v>
      </c>
      <c r="K483" s="9">
        <f>ROUND(H483*I483*J483, 2)</f>
        <v/>
      </c>
      <c r="L483" s="23">
        <f>ROUND(K483/1000, 3)</f>
        <v/>
      </c>
      <c r="M483" s="8">
        <f>IF(AO483="","",IF(INDEX(Theo_Doi_Tan_Suat_Be_Tong!$C:$C,AO483)="","",INDEX(Theo_Doi_Tan_Suat_Be_Tong!$C:$C,AO483)-VLOOKUP(AN483,$AQ$2:$AR$7,2,FALSE)))</f>
        <v/>
      </c>
      <c r="N483" s="6" t="n"/>
      <c r="O483" s="24">
        <f>IF(ROUNDUP(W483/20,0)&gt;ROUNDUP(W482/20,0),"TN Ø25 (Lần " &amp; ROUNDUP(W483/20,0) &amp; ")","")</f>
        <v/>
      </c>
      <c r="P483" s="20">
        <f>ROUND(P482+IF(AND(E483&lt;=10,F483&lt;&gt;"ASTM A416"),L483,0),3)</f>
        <v/>
      </c>
      <c r="Q483" s="20">
        <f>ROUND(Q482+IF(AND(E483=12,F483&lt;&gt;"ASTM A416"),L483,0),3)</f>
        <v/>
      </c>
      <c r="R483" s="20">
        <f>ROUND(R482+IF(AND(E483=14,F483&lt;&gt;"ASTM A416"),L483,0),3)</f>
        <v/>
      </c>
      <c r="S483" s="20">
        <f>ROUND(S482+IF(AND(E483=16,F483&lt;&gt;"ASTM A416"),L483,0),3)</f>
        <v/>
      </c>
      <c r="T483" s="20">
        <f>ROUND(T482+IF(AND(E483=18,F483&lt;&gt;"ASTM A416"),L483,0),3)</f>
        <v/>
      </c>
      <c r="U483" s="20">
        <f>ROUND(U482+IF(AND(E483=20,F483&lt;&gt;"ASTM A416"),L483,0),3)</f>
        <v/>
      </c>
      <c r="V483" s="20">
        <f>ROUND(V482+IF(AND(E483=22,F483&lt;&gt;"ASTM A416"),L483,0),3)</f>
        <v/>
      </c>
      <c r="W483" s="20">
        <f>ROUND(W482+IF(AND(E483=25,F483&lt;&gt;"ASTM A416"),L483,0),3)</f>
        <v/>
      </c>
      <c r="X483" s="20">
        <f>ROUND(X482+IF(AND(E483=28,F483&lt;&gt;"ASTM A416"),L483,0),3)</f>
        <v/>
      </c>
      <c r="Y483" s="20">
        <f>ROUND(Y482+IF(AND(E483=32,F483&lt;&gt;"ASTM A416"),L483,0),3)</f>
        <v/>
      </c>
      <c r="Z483" s="20">
        <f>ROUND(Z482+IF(F483="ASTM A416",L483,0),3)</f>
        <v/>
      </c>
      <c r="AA483" s="11">
        <f>IF(ROUNDUP(P483/20,0)&gt;ROUNDUP(P482/20,0),"Lần " &amp; ROUNDUP(P483/20,0),"")</f>
        <v/>
      </c>
      <c r="AB483" s="11">
        <f>IF(ROUNDUP(Q483/20,0)&gt;ROUNDUP(Q482/20,0),"Lần " &amp; ROUNDUP(Q483/20,0),"")</f>
        <v/>
      </c>
      <c r="AC483" s="11">
        <f>IF(ROUNDUP(R483/20,0)&gt;ROUNDUP(R482/20,0),"Lần " &amp; ROUNDUP(R483/20,0),"")</f>
        <v/>
      </c>
      <c r="AD483" s="11">
        <f>IF(ROUNDUP(S483/20,0)&gt;ROUNDUP(S482/20,0),"Lần " &amp; ROUNDUP(S483/20,0),"")</f>
        <v/>
      </c>
      <c r="AE483" s="11">
        <f>IF(ROUNDUP(T483/20,0)&gt;ROUNDUP(T482/20,0),"Lần " &amp; ROUNDUP(T483/20,0),"")</f>
        <v/>
      </c>
      <c r="AF483" s="11">
        <f>IF(ROUNDUP(U483/20,0)&gt;ROUNDUP(U482/20,0),"Lần " &amp; ROUNDUP(U483/20,0),"")</f>
        <v/>
      </c>
      <c r="AG483" s="11">
        <f>IF(ROUNDUP(V483/20,0)&gt;ROUNDUP(V482/20,0),"Lần " &amp; ROUNDUP(V483/20,0),"")</f>
        <v/>
      </c>
      <c r="AH483" s="11">
        <f>IF(ROUNDUP(W483/20,0)&gt;ROUNDUP(W482/20,0),"Lần " &amp; ROUNDUP(W483/20,0),"")</f>
        <v/>
      </c>
      <c r="AI483" s="11">
        <f>IF(ROUNDUP(X483/20,0)&gt;ROUNDUP(X482/20,0),"Lần " &amp; ROUNDUP(X483/20,0),"")</f>
        <v/>
      </c>
      <c r="AJ483" s="11">
        <f>IF(ROUNDUP(Y483/20,0)&gt;ROUNDUP(Y482/20,0),"Lần " &amp; ROUNDUP(Y483/20,0),"")</f>
        <v/>
      </c>
      <c r="AK483" s="11">
        <f>IF(ROUNDUP(Z483/20,0)&gt;ROUNDUP(Z482/20,0),"Lần " &amp; ROUNDUP(Z483/20,0),"")</f>
        <v/>
      </c>
      <c r="AL483" s="6" t="n"/>
      <c r="AN483" t="inlineStr">
        <is>
          <t>Coc</t>
        </is>
      </c>
      <c r="AO483" t="n">
        <v>9</v>
      </c>
    </row>
    <row r="484" ht="19" customHeight="1">
      <c r="A484" s="6" t="n">
        <v>462</v>
      </c>
      <c r="B484" s="7" t="inlineStr">
        <is>
          <t>Cọc khoan nhồi C3 Trụ T1 (D1.2m, L=40.0m)</t>
        </is>
      </c>
      <c r="C484" s="7" t="inlineStr">
        <is>
          <t>Cọc trụ T1 L=40m (tr.68)</t>
        </is>
      </c>
      <c r="D484" s="18" t="inlineStr">
        <is>
          <t>P7</t>
        </is>
      </c>
      <c r="E484" s="19" t="n">
        <v>25</v>
      </c>
      <c r="F484" s="6" t="inlineStr">
        <is>
          <t>CB400-V</t>
        </is>
      </c>
      <c r="G484" s="7" t="inlineStr"/>
      <c r="H484" s="20" t="n">
        <v>10.033</v>
      </c>
      <c r="I484" s="21" t="n">
        <v>12</v>
      </c>
      <c r="J484" s="22" t="n">
        <v>3.853</v>
      </c>
      <c r="K484" s="9">
        <f>ROUND(H484*I484*J484, 2)</f>
        <v/>
      </c>
      <c r="L484" s="23">
        <f>ROUND(K484/1000, 3)</f>
        <v/>
      </c>
      <c r="M484" s="8">
        <f>IF(AO484="","",IF(INDEX(Theo_Doi_Tan_Suat_Be_Tong!$C:$C,AO484)="","",INDEX(Theo_Doi_Tan_Suat_Be_Tong!$C:$C,AO484)-VLOOKUP(AN484,$AQ$2:$AR$7,2,FALSE)))</f>
        <v/>
      </c>
      <c r="N484" s="6" t="n"/>
      <c r="O484" s="24">
        <f>IF(ROUNDUP(W484/20,0)&gt;ROUNDUP(W483/20,0),"TN Ø25 (Lần " &amp; ROUNDUP(W484/20,0) &amp; ")","")</f>
        <v/>
      </c>
      <c r="P484" s="20">
        <f>ROUND(P483+IF(AND(E484&lt;=10,F484&lt;&gt;"ASTM A416"),L484,0),3)</f>
        <v/>
      </c>
      <c r="Q484" s="20">
        <f>ROUND(Q483+IF(AND(E484=12,F484&lt;&gt;"ASTM A416"),L484,0),3)</f>
        <v/>
      </c>
      <c r="R484" s="20">
        <f>ROUND(R483+IF(AND(E484=14,F484&lt;&gt;"ASTM A416"),L484,0),3)</f>
        <v/>
      </c>
      <c r="S484" s="20">
        <f>ROUND(S483+IF(AND(E484=16,F484&lt;&gt;"ASTM A416"),L484,0),3)</f>
        <v/>
      </c>
      <c r="T484" s="20">
        <f>ROUND(T483+IF(AND(E484=18,F484&lt;&gt;"ASTM A416"),L484,0),3)</f>
        <v/>
      </c>
      <c r="U484" s="20">
        <f>ROUND(U483+IF(AND(E484=20,F484&lt;&gt;"ASTM A416"),L484,0),3)</f>
        <v/>
      </c>
      <c r="V484" s="20">
        <f>ROUND(V483+IF(AND(E484=22,F484&lt;&gt;"ASTM A416"),L484,0),3)</f>
        <v/>
      </c>
      <c r="W484" s="20">
        <f>ROUND(W483+IF(AND(E484=25,F484&lt;&gt;"ASTM A416"),L484,0),3)</f>
        <v/>
      </c>
      <c r="X484" s="20">
        <f>ROUND(X483+IF(AND(E484=28,F484&lt;&gt;"ASTM A416"),L484,0),3)</f>
        <v/>
      </c>
      <c r="Y484" s="20">
        <f>ROUND(Y483+IF(AND(E484=32,F484&lt;&gt;"ASTM A416"),L484,0),3)</f>
        <v/>
      </c>
      <c r="Z484" s="20">
        <f>ROUND(Z483+IF(F484="ASTM A416",L484,0),3)</f>
        <v/>
      </c>
      <c r="AA484" s="11">
        <f>IF(ROUNDUP(P484/20,0)&gt;ROUNDUP(P483/20,0),"Lần " &amp; ROUNDUP(P484/20,0),"")</f>
        <v/>
      </c>
      <c r="AB484" s="11">
        <f>IF(ROUNDUP(Q484/20,0)&gt;ROUNDUP(Q483/20,0),"Lần " &amp; ROUNDUP(Q484/20,0),"")</f>
        <v/>
      </c>
      <c r="AC484" s="11">
        <f>IF(ROUNDUP(R484/20,0)&gt;ROUNDUP(R483/20,0),"Lần " &amp; ROUNDUP(R484/20,0),"")</f>
        <v/>
      </c>
      <c r="AD484" s="11">
        <f>IF(ROUNDUP(S484/20,0)&gt;ROUNDUP(S483/20,0),"Lần " &amp; ROUNDUP(S484/20,0),"")</f>
        <v/>
      </c>
      <c r="AE484" s="11">
        <f>IF(ROUNDUP(T484/20,0)&gt;ROUNDUP(T483/20,0),"Lần " &amp; ROUNDUP(T484/20,0),"")</f>
        <v/>
      </c>
      <c r="AF484" s="11">
        <f>IF(ROUNDUP(U484/20,0)&gt;ROUNDUP(U483/20,0),"Lần " &amp; ROUNDUP(U484/20,0),"")</f>
        <v/>
      </c>
      <c r="AG484" s="11">
        <f>IF(ROUNDUP(V484/20,0)&gt;ROUNDUP(V483/20,0),"Lần " &amp; ROUNDUP(V484/20,0),"")</f>
        <v/>
      </c>
      <c r="AH484" s="11">
        <f>IF(ROUNDUP(W484/20,0)&gt;ROUNDUP(W483/20,0),"Lần " &amp; ROUNDUP(W484/20,0),"")</f>
        <v/>
      </c>
      <c r="AI484" s="11">
        <f>IF(ROUNDUP(X484/20,0)&gt;ROUNDUP(X483/20,0),"Lần " &amp; ROUNDUP(X484/20,0),"")</f>
        <v/>
      </c>
      <c r="AJ484" s="11">
        <f>IF(ROUNDUP(Y484/20,0)&gt;ROUNDUP(Y483/20,0),"Lần " &amp; ROUNDUP(Y484/20,0),"")</f>
        <v/>
      </c>
      <c r="AK484" s="11">
        <f>IF(ROUNDUP(Z484/20,0)&gt;ROUNDUP(Z483/20,0),"Lần " &amp; ROUNDUP(Z484/20,0),"")</f>
        <v/>
      </c>
      <c r="AL484" s="6" t="n"/>
      <c r="AN484" t="inlineStr">
        <is>
          <t>Coc</t>
        </is>
      </c>
      <c r="AO484" t="n">
        <v>9</v>
      </c>
    </row>
    <row r="485" ht="19" customHeight="1">
      <c r="A485" s="6" t="n">
        <v>463</v>
      </c>
      <c r="B485" s="7" t="inlineStr">
        <is>
          <t>Cọc khoan nhồi C3 Trụ T1 (D1.2m, L=40.0m)</t>
        </is>
      </c>
      <c r="C485" s="7" t="inlineStr">
        <is>
          <t>Cọc trụ T1 L=40m (tr.68)</t>
        </is>
      </c>
      <c r="D485" s="18" t="inlineStr">
        <is>
          <t>P8</t>
        </is>
      </c>
      <c r="E485" s="19" t="n">
        <v>12</v>
      </c>
      <c r="F485" s="6" t="inlineStr">
        <is>
          <t>CB400-V</t>
        </is>
      </c>
      <c r="G485" s="7" t="inlineStr"/>
      <c r="H485" s="20" t="n">
        <v>0.647</v>
      </c>
      <c r="I485" s="21" t="n">
        <v>16</v>
      </c>
      <c r="J485" s="22" t="n">
        <v>0.888</v>
      </c>
      <c r="K485" s="9">
        <f>ROUND(H485*I485*J485, 2)</f>
        <v/>
      </c>
      <c r="L485" s="23">
        <f>ROUND(K485/1000, 3)</f>
        <v/>
      </c>
      <c r="M485" s="8">
        <f>IF(AO485="","",IF(INDEX(Theo_Doi_Tan_Suat_Be_Tong!$C:$C,AO485)="","",INDEX(Theo_Doi_Tan_Suat_Be_Tong!$C:$C,AO485)-VLOOKUP(AN485,$AQ$2:$AR$7,2,FALSE)))</f>
        <v/>
      </c>
      <c r="N485" s="6" t="n"/>
      <c r="O485" s="24">
        <f>IF(ROUNDUP(Q485/20,0)&gt;ROUNDUP(Q484/20,0),"TN Ø12 (Lần " &amp; ROUNDUP(Q485/20,0) &amp; ")","")</f>
        <v/>
      </c>
      <c r="P485" s="20">
        <f>ROUND(P484+IF(AND(E485&lt;=10,F485&lt;&gt;"ASTM A416"),L485,0),3)</f>
        <v/>
      </c>
      <c r="Q485" s="20">
        <f>ROUND(Q484+IF(AND(E485=12,F485&lt;&gt;"ASTM A416"),L485,0),3)</f>
        <v/>
      </c>
      <c r="R485" s="20">
        <f>ROUND(R484+IF(AND(E485=14,F485&lt;&gt;"ASTM A416"),L485,0),3)</f>
        <v/>
      </c>
      <c r="S485" s="20">
        <f>ROUND(S484+IF(AND(E485=16,F485&lt;&gt;"ASTM A416"),L485,0),3)</f>
        <v/>
      </c>
      <c r="T485" s="20">
        <f>ROUND(T484+IF(AND(E485=18,F485&lt;&gt;"ASTM A416"),L485,0),3)</f>
        <v/>
      </c>
      <c r="U485" s="20">
        <f>ROUND(U484+IF(AND(E485=20,F485&lt;&gt;"ASTM A416"),L485,0),3)</f>
        <v/>
      </c>
      <c r="V485" s="20">
        <f>ROUND(V484+IF(AND(E485=22,F485&lt;&gt;"ASTM A416"),L485,0),3)</f>
        <v/>
      </c>
      <c r="W485" s="20">
        <f>ROUND(W484+IF(AND(E485=25,F485&lt;&gt;"ASTM A416"),L485,0),3)</f>
        <v/>
      </c>
      <c r="X485" s="20">
        <f>ROUND(X484+IF(AND(E485=28,F485&lt;&gt;"ASTM A416"),L485,0),3)</f>
        <v/>
      </c>
      <c r="Y485" s="20">
        <f>ROUND(Y484+IF(AND(E485=32,F485&lt;&gt;"ASTM A416"),L485,0),3)</f>
        <v/>
      </c>
      <c r="Z485" s="20">
        <f>ROUND(Z484+IF(F485="ASTM A416",L485,0),3)</f>
        <v/>
      </c>
      <c r="AA485" s="11">
        <f>IF(ROUNDUP(P485/20,0)&gt;ROUNDUP(P484/20,0),"Lần " &amp; ROUNDUP(P485/20,0),"")</f>
        <v/>
      </c>
      <c r="AB485" s="11">
        <f>IF(ROUNDUP(Q485/20,0)&gt;ROUNDUP(Q484/20,0),"Lần " &amp; ROUNDUP(Q485/20,0),"")</f>
        <v/>
      </c>
      <c r="AC485" s="11">
        <f>IF(ROUNDUP(R485/20,0)&gt;ROUNDUP(R484/20,0),"Lần " &amp; ROUNDUP(R485/20,0),"")</f>
        <v/>
      </c>
      <c r="AD485" s="11">
        <f>IF(ROUNDUP(S485/20,0)&gt;ROUNDUP(S484/20,0),"Lần " &amp; ROUNDUP(S485/20,0),"")</f>
        <v/>
      </c>
      <c r="AE485" s="11">
        <f>IF(ROUNDUP(T485/20,0)&gt;ROUNDUP(T484/20,0),"Lần " &amp; ROUNDUP(T485/20,0),"")</f>
        <v/>
      </c>
      <c r="AF485" s="11">
        <f>IF(ROUNDUP(U485/20,0)&gt;ROUNDUP(U484/20,0),"Lần " &amp; ROUNDUP(U485/20,0),"")</f>
        <v/>
      </c>
      <c r="AG485" s="11">
        <f>IF(ROUNDUP(V485/20,0)&gt;ROUNDUP(V484/20,0),"Lần " &amp; ROUNDUP(V485/20,0),"")</f>
        <v/>
      </c>
      <c r="AH485" s="11">
        <f>IF(ROUNDUP(W485/20,0)&gt;ROUNDUP(W484/20,0),"Lần " &amp; ROUNDUP(W485/20,0),"")</f>
        <v/>
      </c>
      <c r="AI485" s="11">
        <f>IF(ROUNDUP(X485/20,0)&gt;ROUNDUP(X484/20,0),"Lần " &amp; ROUNDUP(X485/20,0),"")</f>
        <v/>
      </c>
      <c r="AJ485" s="11">
        <f>IF(ROUNDUP(Y485/20,0)&gt;ROUNDUP(Y484/20,0),"Lần " &amp; ROUNDUP(Y485/20,0),"")</f>
        <v/>
      </c>
      <c r="AK485" s="11">
        <f>IF(ROUNDUP(Z485/20,0)&gt;ROUNDUP(Z484/20,0),"Lần " &amp; ROUNDUP(Z485/20,0),"")</f>
        <v/>
      </c>
      <c r="AL485" s="6" t="n"/>
      <c r="AN485" t="inlineStr">
        <is>
          <t>Coc</t>
        </is>
      </c>
      <c r="AO485" t="n">
        <v>9</v>
      </c>
    </row>
    <row r="486" ht="19" customHeight="1">
      <c r="A486" s="6" t="n">
        <v>464</v>
      </c>
      <c r="B486" s="7" t="inlineStr">
        <is>
          <t>Cọc khoan nhồi C3 Trụ T1 (D1.2m, L=40.0m)</t>
        </is>
      </c>
      <c r="C486" s="7" t="inlineStr">
        <is>
          <t>Cọc trụ T1 L=40m (tr.68)</t>
        </is>
      </c>
      <c r="D486" s="18" t="inlineStr">
        <is>
          <t>P9</t>
        </is>
      </c>
      <c r="E486" s="19" t="n">
        <v>12</v>
      </c>
      <c r="F486" s="6" t="inlineStr">
        <is>
          <t>CB400-V</t>
        </is>
      </c>
      <c r="G486" s="7" t="inlineStr"/>
      <c r="H486" s="20" t="n">
        <v>0.379</v>
      </c>
      <c r="I486" s="21" t="n">
        <v>48</v>
      </c>
      <c r="J486" s="22" t="n">
        <v>0.888</v>
      </c>
      <c r="K486" s="9">
        <f>ROUND(H486*I486*J486, 2)</f>
        <v/>
      </c>
      <c r="L486" s="23">
        <f>ROUND(K486/1000, 3)</f>
        <v/>
      </c>
      <c r="M486" s="8">
        <f>IF(AO486="","",IF(INDEX(Theo_Doi_Tan_Suat_Be_Tong!$C:$C,AO486)="","",INDEX(Theo_Doi_Tan_Suat_Be_Tong!$C:$C,AO486)-VLOOKUP(AN486,$AQ$2:$AR$7,2,FALSE)))</f>
        <v/>
      </c>
      <c r="N486" s="6" t="n"/>
      <c r="O486" s="24">
        <f>IF(ROUNDUP(Q486/20,0)&gt;ROUNDUP(Q485/20,0),"TN Ø12 (Lần " &amp; ROUNDUP(Q486/20,0) &amp; ")","")</f>
        <v/>
      </c>
      <c r="P486" s="20">
        <f>ROUND(P485+IF(AND(E486&lt;=10,F486&lt;&gt;"ASTM A416"),L486,0),3)</f>
        <v/>
      </c>
      <c r="Q486" s="20">
        <f>ROUND(Q485+IF(AND(E486=12,F486&lt;&gt;"ASTM A416"),L486,0),3)</f>
        <v/>
      </c>
      <c r="R486" s="20">
        <f>ROUND(R485+IF(AND(E486=14,F486&lt;&gt;"ASTM A416"),L486,0),3)</f>
        <v/>
      </c>
      <c r="S486" s="20">
        <f>ROUND(S485+IF(AND(E486=16,F486&lt;&gt;"ASTM A416"),L486,0),3)</f>
        <v/>
      </c>
      <c r="T486" s="20">
        <f>ROUND(T485+IF(AND(E486=18,F486&lt;&gt;"ASTM A416"),L486,0),3)</f>
        <v/>
      </c>
      <c r="U486" s="20">
        <f>ROUND(U485+IF(AND(E486=20,F486&lt;&gt;"ASTM A416"),L486,0),3)</f>
        <v/>
      </c>
      <c r="V486" s="20">
        <f>ROUND(V485+IF(AND(E486=22,F486&lt;&gt;"ASTM A416"),L486,0),3)</f>
        <v/>
      </c>
      <c r="W486" s="20">
        <f>ROUND(W485+IF(AND(E486=25,F486&lt;&gt;"ASTM A416"),L486,0),3)</f>
        <v/>
      </c>
      <c r="X486" s="20">
        <f>ROUND(X485+IF(AND(E486=28,F486&lt;&gt;"ASTM A416"),L486,0),3)</f>
        <v/>
      </c>
      <c r="Y486" s="20">
        <f>ROUND(Y485+IF(AND(E486=32,F486&lt;&gt;"ASTM A416"),L486,0),3)</f>
        <v/>
      </c>
      <c r="Z486" s="20">
        <f>ROUND(Z485+IF(F486="ASTM A416",L486,0),3)</f>
        <v/>
      </c>
      <c r="AA486" s="11">
        <f>IF(ROUNDUP(P486/20,0)&gt;ROUNDUP(P485/20,0),"Lần " &amp; ROUNDUP(P486/20,0),"")</f>
        <v/>
      </c>
      <c r="AB486" s="11">
        <f>IF(ROUNDUP(Q486/20,0)&gt;ROUNDUP(Q485/20,0),"Lần " &amp; ROUNDUP(Q486/20,0),"")</f>
        <v/>
      </c>
      <c r="AC486" s="11">
        <f>IF(ROUNDUP(R486/20,0)&gt;ROUNDUP(R485/20,0),"Lần " &amp; ROUNDUP(R486/20,0),"")</f>
        <v/>
      </c>
      <c r="AD486" s="11">
        <f>IF(ROUNDUP(S486/20,0)&gt;ROUNDUP(S485/20,0),"Lần " &amp; ROUNDUP(S486/20,0),"")</f>
        <v/>
      </c>
      <c r="AE486" s="11">
        <f>IF(ROUNDUP(T486/20,0)&gt;ROUNDUP(T485/20,0),"Lần " &amp; ROUNDUP(T486/20,0),"")</f>
        <v/>
      </c>
      <c r="AF486" s="11">
        <f>IF(ROUNDUP(U486/20,0)&gt;ROUNDUP(U485/20,0),"Lần " &amp; ROUNDUP(U486/20,0),"")</f>
        <v/>
      </c>
      <c r="AG486" s="11">
        <f>IF(ROUNDUP(V486/20,0)&gt;ROUNDUP(V485/20,0),"Lần " &amp; ROUNDUP(V486/20,0),"")</f>
        <v/>
      </c>
      <c r="AH486" s="11">
        <f>IF(ROUNDUP(W486/20,0)&gt;ROUNDUP(W485/20,0),"Lần " &amp; ROUNDUP(W486/20,0),"")</f>
        <v/>
      </c>
      <c r="AI486" s="11">
        <f>IF(ROUNDUP(X486/20,0)&gt;ROUNDUP(X485/20,0),"Lần " &amp; ROUNDUP(X486/20,0),"")</f>
        <v/>
      </c>
      <c r="AJ486" s="11">
        <f>IF(ROUNDUP(Y486/20,0)&gt;ROUNDUP(Y485/20,0),"Lần " &amp; ROUNDUP(Y486/20,0),"")</f>
        <v/>
      </c>
      <c r="AK486" s="11">
        <f>IF(ROUNDUP(Z486/20,0)&gt;ROUNDUP(Z485/20,0),"Lần " &amp; ROUNDUP(Z486/20,0),"")</f>
        <v/>
      </c>
      <c r="AL486" s="6" t="n"/>
      <c r="AN486" t="inlineStr">
        <is>
          <t>Coc</t>
        </is>
      </c>
      <c r="AO486" t="n">
        <v>9</v>
      </c>
    </row>
    <row r="487" ht="19" customHeight="1">
      <c r="A487" s="6" t="n">
        <v>465</v>
      </c>
      <c r="B487" s="7" t="inlineStr">
        <is>
          <t>Cọc khoan nhồi C3 Trụ T1 (D1.2m, L=40.0m)</t>
        </is>
      </c>
      <c r="C487" s="7" t="inlineStr">
        <is>
          <t>Cọc trụ T1 L=40m (tr.68)</t>
        </is>
      </c>
      <c r="D487" s="18" t="inlineStr">
        <is>
          <t>P10</t>
        </is>
      </c>
      <c r="E487" s="19" t="n">
        <v>20</v>
      </c>
      <c r="F487" s="6" t="inlineStr">
        <is>
          <t>CB400-V</t>
        </is>
      </c>
      <c r="G487" s="7" t="inlineStr"/>
      <c r="H487" s="20" t="n">
        <v>2.057</v>
      </c>
      <c r="I487" s="21" t="n">
        <v>1</v>
      </c>
      <c r="J487" s="22" t="n">
        <v>2.466</v>
      </c>
      <c r="K487" s="9">
        <f>ROUND(H487*I487*J487, 2)</f>
        <v/>
      </c>
      <c r="L487" s="23">
        <f>ROUND(K487/1000, 3)</f>
        <v/>
      </c>
      <c r="M487" s="8">
        <f>IF(AO487="","",IF(INDEX(Theo_Doi_Tan_Suat_Be_Tong!$C:$C,AO487)="","",INDEX(Theo_Doi_Tan_Suat_Be_Tong!$C:$C,AO487)-VLOOKUP(AN487,$AQ$2:$AR$7,2,FALSE)))</f>
        <v/>
      </c>
      <c r="N487" s="6" t="n"/>
      <c r="O487" s="24">
        <f>IF(ROUNDUP(U487/20,0)&gt;ROUNDUP(U486/20,0),"TN Ø20 (Lần " &amp; ROUNDUP(U487/20,0) &amp; ")","")</f>
        <v/>
      </c>
      <c r="P487" s="20">
        <f>ROUND(P486+IF(AND(E487&lt;=10,F487&lt;&gt;"ASTM A416"),L487,0),3)</f>
        <v/>
      </c>
      <c r="Q487" s="20">
        <f>ROUND(Q486+IF(AND(E487=12,F487&lt;&gt;"ASTM A416"),L487,0),3)</f>
        <v/>
      </c>
      <c r="R487" s="20">
        <f>ROUND(R486+IF(AND(E487=14,F487&lt;&gt;"ASTM A416"),L487,0),3)</f>
        <v/>
      </c>
      <c r="S487" s="20">
        <f>ROUND(S486+IF(AND(E487=16,F487&lt;&gt;"ASTM A416"),L487,0),3)</f>
        <v/>
      </c>
      <c r="T487" s="20">
        <f>ROUND(T486+IF(AND(E487=18,F487&lt;&gt;"ASTM A416"),L487,0),3)</f>
        <v/>
      </c>
      <c r="U487" s="20">
        <f>ROUND(U486+IF(AND(E487=20,F487&lt;&gt;"ASTM A416"),L487,0),3)</f>
        <v/>
      </c>
      <c r="V487" s="20">
        <f>ROUND(V486+IF(AND(E487=22,F487&lt;&gt;"ASTM A416"),L487,0),3)</f>
        <v/>
      </c>
      <c r="W487" s="20">
        <f>ROUND(W486+IF(AND(E487=25,F487&lt;&gt;"ASTM A416"),L487,0),3)</f>
        <v/>
      </c>
      <c r="X487" s="20">
        <f>ROUND(X486+IF(AND(E487=28,F487&lt;&gt;"ASTM A416"),L487,0),3)</f>
        <v/>
      </c>
      <c r="Y487" s="20">
        <f>ROUND(Y486+IF(AND(E487=32,F487&lt;&gt;"ASTM A416"),L487,0),3)</f>
        <v/>
      </c>
      <c r="Z487" s="20">
        <f>ROUND(Z486+IF(F487="ASTM A416",L487,0),3)</f>
        <v/>
      </c>
      <c r="AA487" s="11">
        <f>IF(ROUNDUP(P487/20,0)&gt;ROUNDUP(P486/20,0),"Lần " &amp; ROUNDUP(P487/20,0),"")</f>
        <v/>
      </c>
      <c r="AB487" s="11">
        <f>IF(ROUNDUP(Q487/20,0)&gt;ROUNDUP(Q486/20,0),"Lần " &amp; ROUNDUP(Q487/20,0),"")</f>
        <v/>
      </c>
      <c r="AC487" s="11">
        <f>IF(ROUNDUP(R487/20,0)&gt;ROUNDUP(R486/20,0),"Lần " &amp; ROUNDUP(R487/20,0),"")</f>
        <v/>
      </c>
      <c r="AD487" s="11">
        <f>IF(ROUNDUP(S487/20,0)&gt;ROUNDUP(S486/20,0),"Lần " &amp; ROUNDUP(S487/20,0),"")</f>
        <v/>
      </c>
      <c r="AE487" s="11">
        <f>IF(ROUNDUP(T487/20,0)&gt;ROUNDUP(T486/20,0),"Lần " &amp; ROUNDUP(T487/20,0),"")</f>
        <v/>
      </c>
      <c r="AF487" s="11">
        <f>IF(ROUNDUP(U487/20,0)&gt;ROUNDUP(U486/20,0),"Lần " &amp; ROUNDUP(U487/20,0),"")</f>
        <v/>
      </c>
      <c r="AG487" s="11">
        <f>IF(ROUNDUP(V487/20,0)&gt;ROUNDUP(V486/20,0),"Lần " &amp; ROUNDUP(V487/20,0),"")</f>
        <v/>
      </c>
      <c r="AH487" s="11">
        <f>IF(ROUNDUP(W487/20,0)&gt;ROUNDUP(W486/20,0),"Lần " &amp; ROUNDUP(W487/20,0),"")</f>
        <v/>
      </c>
      <c r="AI487" s="11">
        <f>IF(ROUNDUP(X487/20,0)&gt;ROUNDUP(X486/20,0),"Lần " &amp; ROUNDUP(X487/20,0),"")</f>
        <v/>
      </c>
      <c r="AJ487" s="11">
        <f>IF(ROUNDUP(Y487/20,0)&gt;ROUNDUP(Y486/20,0),"Lần " &amp; ROUNDUP(Y487/20,0),"")</f>
        <v/>
      </c>
      <c r="AK487" s="11">
        <f>IF(ROUNDUP(Z487/20,0)&gt;ROUNDUP(Z486/20,0),"Lần " &amp; ROUNDUP(Z487/20,0),"")</f>
        <v/>
      </c>
      <c r="AL487" s="6" t="n"/>
      <c r="AN487" t="inlineStr">
        <is>
          <t>Coc</t>
        </is>
      </c>
      <c r="AO487" t="n">
        <v>9</v>
      </c>
    </row>
    <row r="488" ht="19" customHeight="1">
      <c r="A488" s="6" t="n">
        <v>466</v>
      </c>
      <c r="B488" s="7" t="inlineStr">
        <is>
          <t>Cọc khoan nhồi C3 Trụ T1 (D1.2m, L=40.0m)</t>
        </is>
      </c>
      <c r="C488" s="7" t="inlineStr">
        <is>
          <t>Cọc trụ T1 L=40m (tr.68)</t>
        </is>
      </c>
      <c r="D488" s="18" t="inlineStr">
        <is>
          <t>P12</t>
        </is>
      </c>
      <c r="E488" s="19" t="n">
        <v>20</v>
      </c>
      <c r="F488" s="6" t="inlineStr">
        <is>
          <t>CB400-V</t>
        </is>
      </c>
      <c r="G488" s="7" t="inlineStr"/>
      <c r="H488" s="20" t="n">
        <v>0.583</v>
      </c>
      <c r="I488" s="21" t="n">
        <v>64</v>
      </c>
      <c r="J488" s="22" t="n">
        <v>2.466</v>
      </c>
      <c r="K488" s="9">
        <f>ROUND(H488*I488*J488, 2)</f>
        <v/>
      </c>
      <c r="L488" s="23">
        <f>ROUND(K488/1000, 3)</f>
        <v/>
      </c>
      <c r="M488" s="8">
        <f>IF(AO488="","",IF(INDEX(Theo_Doi_Tan_Suat_Be_Tong!$C:$C,AO488)="","",INDEX(Theo_Doi_Tan_Suat_Be_Tong!$C:$C,AO488)-VLOOKUP(AN488,$AQ$2:$AR$7,2,FALSE)))</f>
        <v/>
      </c>
      <c r="N488" s="6" t="n"/>
      <c r="O488" s="24">
        <f>IF(ROUNDUP(U488/20,0)&gt;ROUNDUP(U487/20,0),"TN Ø20 (Lần " &amp; ROUNDUP(U488/20,0) &amp; ")","")</f>
        <v/>
      </c>
      <c r="P488" s="20">
        <f>ROUND(P487+IF(AND(E488&lt;=10,F488&lt;&gt;"ASTM A416"),L488,0),3)</f>
        <v/>
      </c>
      <c r="Q488" s="20">
        <f>ROUND(Q487+IF(AND(E488=12,F488&lt;&gt;"ASTM A416"),L488,0),3)</f>
        <v/>
      </c>
      <c r="R488" s="20">
        <f>ROUND(R487+IF(AND(E488=14,F488&lt;&gt;"ASTM A416"),L488,0),3)</f>
        <v/>
      </c>
      <c r="S488" s="20">
        <f>ROUND(S487+IF(AND(E488=16,F488&lt;&gt;"ASTM A416"),L488,0),3)</f>
        <v/>
      </c>
      <c r="T488" s="20">
        <f>ROUND(T487+IF(AND(E488=18,F488&lt;&gt;"ASTM A416"),L488,0),3)</f>
        <v/>
      </c>
      <c r="U488" s="20">
        <f>ROUND(U487+IF(AND(E488=20,F488&lt;&gt;"ASTM A416"),L488,0),3)</f>
        <v/>
      </c>
      <c r="V488" s="20">
        <f>ROUND(V487+IF(AND(E488=22,F488&lt;&gt;"ASTM A416"),L488,0),3)</f>
        <v/>
      </c>
      <c r="W488" s="20">
        <f>ROUND(W487+IF(AND(E488=25,F488&lt;&gt;"ASTM A416"),L488,0),3)</f>
        <v/>
      </c>
      <c r="X488" s="20">
        <f>ROUND(X487+IF(AND(E488=28,F488&lt;&gt;"ASTM A416"),L488,0),3)</f>
        <v/>
      </c>
      <c r="Y488" s="20">
        <f>ROUND(Y487+IF(AND(E488=32,F488&lt;&gt;"ASTM A416"),L488,0),3)</f>
        <v/>
      </c>
      <c r="Z488" s="20">
        <f>ROUND(Z487+IF(F488="ASTM A416",L488,0),3)</f>
        <v/>
      </c>
      <c r="AA488" s="11">
        <f>IF(ROUNDUP(P488/20,0)&gt;ROUNDUP(P487/20,0),"Lần " &amp; ROUNDUP(P488/20,0),"")</f>
        <v/>
      </c>
      <c r="AB488" s="11">
        <f>IF(ROUNDUP(Q488/20,0)&gt;ROUNDUP(Q487/20,0),"Lần " &amp; ROUNDUP(Q488/20,0),"")</f>
        <v/>
      </c>
      <c r="AC488" s="11">
        <f>IF(ROUNDUP(R488/20,0)&gt;ROUNDUP(R487/20,0),"Lần " &amp; ROUNDUP(R488/20,0),"")</f>
        <v/>
      </c>
      <c r="AD488" s="11">
        <f>IF(ROUNDUP(S488/20,0)&gt;ROUNDUP(S487/20,0),"Lần " &amp; ROUNDUP(S488/20,0),"")</f>
        <v/>
      </c>
      <c r="AE488" s="11">
        <f>IF(ROUNDUP(T488/20,0)&gt;ROUNDUP(T487/20,0),"Lần " &amp; ROUNDUP(T488/20,0),"")</f>
        <v/>
      </c>
      <c r="AF488" s="11">
        <f>IF(ROUNDUP(U488/20,0)&gt;ROUNDUP(U487/20,0),"Lần " &amp; ROUNDUP(U488/20,0),"")</f>
        <v/>
      </c>
      <c r="AG488" s="11">
        <f>IF(ROUNDUP(V488/20,0)&gt;ROUNDUP(V487/20,0),"Lần " &amp; ROUNDUP(V488/20,0),"")</f>
        <v/>
      </c>
      <c r="AH488" s="11">
        <f>IF(ROUNDUP(W488/20,0)&gt;ROUNDUP(W487/20,0),"Lần " &amp; ROUNDUP(W488/20,0),"")</f>
        <v/>
      </c>
      <c r="AI488" s="11">
        <f>IF(ROUNDUP(X488/20,0)&gt;ROUNDUP(X487/20,0),"Lần " &amp; ROUNDUP(X488/20,0),"")</f>
        <v/>
      </c>
      <c r="AJ488" s="11">
        <f>IF(ROUNDUP(Y488/20,0)&gt;ROUNDUP(Y487/20,0),"Lần " &amp; ROUNDUP(Y488/20,0),"")</f>
        <v/>
      </c>
      <c r="AK488" s="11">
        <f>IF(ROUNDUP(Z488/20,0)&gt;ROUNDUP(Z487/20,0),"Lần " &amp; ROUNDUP(Z488/20,0),"")</f>
        <v/>
      </c>
      <c r="AL488" s="6" t="n"/>
      <c r="AN488" t="inlineStr">
        <is>
          <t>Coc</t>
        </is>
      </c>
      <c r="AO488" t="n">
        <v>9</v>
      </c>
    </row>
    <row r="489" ht="19" customHeight="1">
      <c r="A489" s="6" t="n">
        <v>467</v>
      </c>
      <c r="B489" s="7" t="inlineStr">
        <is>
          <t>Cọc khoan nhồi C3 Trụ T1 (D1.2m, L=40.0m)</t>
        </is>
      </c>
      <c r="C489" s="7" t="inlineStr">
        <is>
          <t>Cọc trụ T1 L=40m (tr.68)</t>
        </is>
      </c>
      <c r="D489" s="18" t="inlineStr">
        <is>
          <t>P11</t>
        </is>
      </c>
      <c r="E489" s="19" t="n">
        <v>16</v>
      </c>
      <c r="F489" s="6" t="inlineStr">
        <is>
          <t>CB400-V</t>
        </is>
      </c>
      <c r="G489" s="7" t="inlineStr"/>
      <c r="H489" s="20" t="n">
        <v>2.604</v>
      </c>
      <c r="I489" s="21" t="n">
        <v>4</v>
      </c>
      <c r="J489" s="22" t="n">
        <v>1.578</v>
      </c>
      <c r="K489" s="9">
        <f>ROUND(H489*I489*J489, 2)</f>
        <v/>
      </c>
      <c r="L489" s="23">
        <f>ROUND(K489/1000, 3)</f>
        <v/>
      </c>
      <c r="M489" s="8">
        <f>IF(AO489="","",IF(INDEX(Theo_Doi_Tan_Suat_Be_Tong!$C:$C,AO489)="","",INDEX(Theo_Doi_Tan_Suat_Be_Tong!$C:$C,AO489)-VLOOKUP(AN489,$AQ$2:$AR$7,2,FALSE)))</f>
        <v/>
      </c>
      <c r="N489" s="6" t="n"/>
      <c r="O489" s="24">
        <f>IF(ROUNDUP(S489/20,0)&gt;ROUNDUP(S488/20,0),"TN Ø16 (Lần " &amp; ROUNDUP(S489/20,0) &amp; ")","")</f>
        <v/>
      </c>
      <c r="P489" s="20">
        <f>ROUND(P488+IF(AND(E489&lt;=10,F489&lt;&gt;"ASTM A416"),L489,0),3)</f>
        <v/>
      </c>
      <c r="Q489" s="20">
        <f>ROUND(Q488+IF(AND(E489=12,F489&lt;&gt;"ASTM A416"),L489,0),3)</f>
        <v/>
      </c>
      <c r="R489" s="20">
        <f>ROUND(R488+IF(AND(E489=14,F489&lt;&gt;"ASTM A416"),L489,0),3)</f>
        <v/>
      </c>
      <c r="S489" s="20">
        <f>ROUND(S488+IF(AND(E489=16,F489&lt;&gt;"ASTM A416"),L489,0),3)</f>
        <v/>
      </c>
      <c r="T489" s="20">
        <f>ROUND(T488+IF(AND(E489=18,F489&lt;&gt;"ASTM A416"),L489,0),3)</f>
        <v/>
      </c>
      <c r="U489" s="20">
        <f>ROUND(U488+IF(AND(E489=20,F489&lt;&gt;"ASTM A416"),L489,0),3)</f>
        <v/>
      </c>
      <c r="V489" s="20">
        <f>ROUND(V488+IF(AND(E489=22,F489&lt;&gt;"ASTM A416"),L489,0),3)</f>
        <v/>
      </c>
      <c r="W489" s="20">
        <f>ROUND(W488+IF(AND(E489=25,F489&lt;&gt;"ASTM A416"),L489,0),3)</f>
        <v/>
      </c>
      <c r="X489" s="20">
        <f>ROUND(X488+IF(AND(E489=28,F489&lt;&gt;"ASTM A416"),L489,0),3)</f>
        <v/>
      </c>
      <c r="Y489" s="20">
        <f>ROUND(Y488+IF(AND(E489=32,F489&lt;&gt;"ASTM A416"),L489,0),3)</f>
        <v/>
      </c>
      <c r="Z489" s="20">
        <f>ROUND(Z488+IF(F489="ASTM A416",L489,0),3)</f>
        <v/>
      </c>
      <c r="AA489" s="11">
        <f>IF(ROUNDUP(P489/20,0)&gt;ROUNDUP(P488/20,0),"Lần " &amp; ROUNDUP(P489/20,0),"")</f>
        <v/>
      </c>
      <c r="AB489" s="11">
        <f>IF(ROUNDUP(Q489/20,0)&gt;ROUNDUP(Q488/20,0),"Lần " &amp; ROUNDUP(Q489/20,0),"")</f>
        <v/>
      </c>
      <c r="AC489" s="11">
        <f>IF(ROUNDUP(R489/20,0)&gt;ROUNDUP(R488/20,0),"Lần " &amp; ROUNDUP(R489/20,0),"")</f>
        <v/>
      </c>
      <c r="AD489" s="11">
        <f>IF(ROUNDUP(S489/20,0)&gt;ROUNDUP(S488/20,0),"Lần " &amp; ROUNDUP(S489/20,0),"")</f>
        <v/>
      </c>
      <c r="AE489" s="11">
        <f>IF(ROUNDUP(T489/20,0)&gt;ROUNDUP(T488/20,0),"Lần " &amp; ROUNDUP(T489/20,0),"")</f>
        <v/>
      </c>
      <c r="AF489" s="11">
        <f>IF(ROUNDUP(U489/20,0)&gt;ROUNDUP(U488/20,0),"Lần " &amp; ROUNDUP(U489/20,0),"")</f>
        <v/>
      </c>
      <c r="AG489" s="11">
        <f>IF(ROUNDUP(V489/20,0)&gt;ROUNDUP(V488/20,0),"Lần " &amp; ROUNDUP(V489/20,0),"")</f>
        <v/>
      </c>
      <c r="AH489" s="11">
        <f>IF(ROUNDUP(W489/20,0)&gt;ROUNDUP(W488/20,0),"Lần " &amp; ROUNDUP(W489/20,0),"")</f>
        <v/>
      </c>
      <c r="AI489" s="11">
        <f>IF(ROUNDUP(X489/20,0)&gt;ROUNDUP(X488/20,0),"Lần " &amp; ROUNDUP(X489/20,0),"")</f>
        <v/>
      </c>
      <c r="AJ489" s="11">
        <f>IF(ROUNDUP(Y489/20,0)&gt;ROUNDUP(Y488/20,0),"Lần " &amp; ROUNDUP(Y489/20,0),"")</f>
        <v/>
      </c>
      <c r="AK489" s="11">
        <f>IF(ROUNDUP(Z489/20,0)&gt;ROUNDUP(Z488/20,0),"Lần " &amp; ROUNDUP(Z489/20,0),"")</f>
        <v/>
      </c>
      <c r="AL489" s="6" t="n"/>
      <c r="AN489" t="inlineStr">
        <is>
          <t>Coc</t>
        </is>
      </c>
      <c r="AO489" t="n">
        <v>9</v>
      </c>
    </row>
    <row r="490" ht="19" customHeight="1">
      <c r="A490" s="17" t="inlineStr">
        <is>
          <t>--- CỌC KHOAN NHỒI C4 TRỤ T1 (D1.2M, L=40.0M) ---</t>
        </is>
      </c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  <c r="AG490" s="35" t="n"/>
      <c r="AH490" s="35" t="n"/>
      <c r="AI490" s="35" t="n"/>
      <c r="AJ490" s="35" t="n"/>
      <c r="AK490" s="35" t="n"/>
      <c r="AL490" s="34" t="n"/>
    </row>
    <row r="491" ht="19" customHeight="1">
      <c r="A491" s="6" t="n">
        <v>468</v>
      </c>
      <c r="B491" s="7" t="inlineStr">
        <is>
          <t>Cọc khoan nhồi C4 Trụ T1 (D1.2m, L=40.0m)</t>
        </is>
      </c>
      <c r="C491" s="7" t="inlineStr">
        <is>
          <t>Cọc trụ T1 L=40m (tr.68)</t>
        </is>
      </c>
      <c r="D491" s="18" t="inlineStr">
        <is>
          <t>P1</t>
        </is>
      </c>
      <c r="E491" s="19" t="n">
        <v>10</v>
      </c>
      <c r="F491" s="6" t="inlineStr">
        <is>
          <t>CB240-T</t>
        </is>
      </c>
      <c r="G491" s="7" t="inlineStr"/>
      <c r="H491" s="20" t="n">
        <v>96.604</v>
      </c>
      <c r="I491" s="21" t="n">
        <v>1</v>
      </c>
      <c r="J491" s="22" t="n">
        <v>0.617</v>
      </c>
      <c r="K491" s="9">
        <f>ROUND(H491*I491*J491, 2)</f>
        <v/>
      </c>
      <c r="L491" s="23">
        <f>ROUND(K491/1000, 3)</f>
        <v/>
      </c>
      <c r="M491" s="8">
        <f>IF(AO491="","",IF(INDEX(Theo_Doi_Tan_Suat_Be_Tong!$C:$C,AO491)="","",INDEX(Theo_Doi_Tan_Suat_Be_Tong!$C:$C,AO491)-VLOOKUP(AN491,$AQ$2:$AR$7,2,FALSE)))</f>
        <v/>
      </c>
      <c r="N491" s="6" t="n"/>
      <c r="O491" s="24">
        <f>IF(ROUNDUP(P491/20,0)&gt;ROUNDUP(P489/20,0),"TN Ø10 (Lần " &amp; ROUNDUP(P491/20,0) &amp; ")","")</f>
        <v/>
      </c>
      <c r="P491" s="20">
        <f>ROUND(P489+IF(AND(E491&lt;=10,F491&lt;&gt;"ASTM A416"),L491,0),3)</f>
        <v/>
      </c>
      <c r="Q491" s="20">
        <f>ROUND(Q489+IF(AND(E491=12,F491&lt;&gt;"ASTM A416"),L491,0),3)</f>
        <v/>
      </c>
      <c r="R491" s="20">
        <f>ROUND(R489+IF(AND(E491=14,F491&lt;&gt;"ASTM A416"),L491,0),3)</f>
        <v/>
      </c>
      <c r="S491" s="20">
        <f>ROUND(S489+IF(AND(E491=16,F491&lt;&gt;"ASTM A416"),L491,0),3)</f>
        <v/>
      </c>
      <c r="T491" s="20">
        <f>ROUND(T489+IF(AND(E491=18,F491&lt;&gt;"ASTM A416"),L491,0),3)</f>
        <v/>
      </c>
      <c r="U491" s="20">
        <f>ROUND(U489+IF(AND(E491=20,F491&lt;&gt;"ASTM A416"),L491,0),3)</f>
        <v/>
      </c>
      <c r="V491" s="20">
        <f>ROUND(V489+IF(AND(E491=22,F491&lt;&gt;"ASTM A416"),L491,0),3)</f>
        <v/>
      </c>
      <c r="W491" s="20">
        <f>ROUND(W489+IF(AND(E491=25,F491&lt;&gt;"ASTM A416"),L491,0),3)</f>
        <v/>
      </c>
      <c r="X491" s="20">
        <f>ROUND(X489+IF(AND(E491=28,F491&lt;&gt;"ASTM A416"),L491,0),3)</f>
        <v/>
      </c>
      <c r="Y491" s="20">
        <f>ROUND(Y489+IF(AND(E491=32,F491&lt;&gt;"ASTM A416"),L491,0),3)</f>
        <v/>
      </c>
      <c r="Z491" s="20">
        <f>ROUND(Z489+IF(F491="ASTM A416",L491,0),3)</f>
        <v/>
      </c>
      <c r="AA491" s="11">
        <f>IF(ROUNDUP(P491/20,0)&gt;ROUNDUP(P489/20,0),"Lần " &amp; ROUNDUP(P491/20,0),"")</f>
        <v/>
      </c>
      <c r="AB491" s="11">
        <f>IF(ROUNDUP(Q491/20,0)&gt;ROUNDUP(Q489/20,0),"Lần " &amp; ROUNDUP(Q491/20,0),"")</f>
        <v/>
      </c>
      <c r="AC491" s="11">
        <f>IF(ROUNDUP(R491/20,0)&gt;ROUNDUP(R489/20,0),"Lần " &amp; ROUNDUP(R491/20,0),"")</f>
        <v/>
      </c>
      <c r="AD491" s="11">
        <f>IF(ROUNDUP(S491/20,0)&gt;ROUNDUP(S489/20,0),"Lần " &amp; ROUNDUP(S491/20,0),"")</f>
        <v/>
      </c>
      <c r="AE491" s="11">
        <f>IF(ROUNDUP(T491/20,0)&gt;ROUNDUP(T489/20,0),"Lần " &amp; ROUNDUP(T491/20,0),"")</f>
        <v/>
      </c>
      <c r="AF491" s="11">
        <f>IF(ROUNDUP(U491/20,0)&gt;ROUNDUP(U489/20,0),"Lần " &amp; ROUNDUP(U491/20,0),"")</f>
        <v/>
      </c>
      <c r="AG491" s="11">
        <f>IF(ROUNDUP(V491/20,0)&gt;ROUNDUP(V489/20,0),"Lần " &amp; ROUNDUP(V491/20,0),"")</f>
        <v/>
      </c>
      <c r="AH491" s="11">
        <f>IF(ROUNDUP(W491/20,0)&gt;ROUNDUP(W489/20,0),"Lần " &amp; ROUNDUP(W491/20,0),"")</f>
        <v/>
      </c>
      <c r="AI491" s="11">
        <f>IF(ROUNDUP(X491/20,0)&gt;ROUNDUP(X489/20,0),"Lần " &amp; ROUNDUP(X491/20,0),"")</f>
        <v/>
      </c>
      <c r="AJ491" s="11">
        <f>IF(ROUNDUP(Y491/20,0)&gt;ROUNDUP(Y489/20,0),"Lần " &amp; ROUNDUP(Y491/20,0),"")</f>
        <v/>
      </c>
      <c r="AK491" s="11">
        <f>IF(ROUNDUP(Z491/20,0)&gt;ROUNDUP(Z489/20,0),"Lần " &amp; ROUNDUP(Z491/20,0),"")</f>
        <v/>
      </c>
      <c r="AL491" s="6" t="n"/>
      <c r="AN491" t="inlineStr">
        <is>
          <t>Coc</t>
        </is>
      </c>
      <c r="AO491" t="n">
        <v>10</v>
      </c>
    </row>
    <row r="492" ht="19" customHeight="1">
      <c r="A492" s="6" t="n">
        <v>469</v>
      </c>
      <c r="B492" s="7" t="inlineStr">
        <is>
          <t>Cọc khoan nhồi C4 Trụ T1 (D1.2m, L=40.0m)</t>
        </is>
      </c>
      <c r="C492" s="7" t="inlineStr">
        <is>
          <t>Cọc trụ T1 L=40m (tr.68)</t>
        </is>
      </c>
      <c r="D492" s="18" t="inlineStr">
        <is>
          <t>P1A</t>
        </is>
      </c>
      <c r="E492" s="19" t="n">
        <v>10</v>
      </c>
      <c r="F492" s="6" t="inlineStr">
        <is>
          <t>CB240-T</t>
        </is>
      </c>
      <c r="G492" s="7" t="inlineStr"/>
      <c r="H492" s="20" t="n">
        <v>389.636</v>
      </c>
      <c r="I492" s="21" t="n">
        <v>1</v>
      </c>
      <c r="J492" s="22" t="n">
        <v>0.617</v>
      </c>
      <c r="K492" s="9">
        <f>ROUND(H492*I492*J492, 2)</f>
        <v/>
      </c>
      <c r="L492" s="23">
        <f>ROUND(K492/1000, 3)</f>
        <v/>
      </c>
      <c r="M492" s="8">
        <f>IF(AO492="","",IF(INDEX(Theo_Doi_Tan_Suat_Be_Tong!$C:$C,AO492)="","",INDEX(Theo_Doi_Tan_Suat_Be_Tong!$C:$C,AO492)-VLOOKUP(AN492,$AQ$2:$AR$7,2,FALSE)))</f>
        <v/>
      </c>
      <c r="N492" s="6" t="n"/>
      <c r="O492" s="24">
        <f>IF(ROUNDUP(P492/20,0)&gt;ROUNDUP(P491/20,0),"TN Ø10 (Lần " &amp; ROUNDUP(P492/20,0) &amp; ")","")</f>
        <v/>
      </c>
      <c r="P492" s="20">
        <f>ROUND(P491+IF(AND(E492&lt;=10,F492&lt;&gt;"ASTM A416"),L492,0),3)</f>
        <v/>
      </c>
      <c r="Q492" s="20">
        <f>ROUND(Q491+IF(AND(E492=12,F492&lt;&gt;"ASTM A416"),L492,0),3)</f>
        <v/>
      </c>
      <c r="R492" s="20">
        <f>ROUND(R491+IF(AND(E492=14,F492&lt;&gt;"ASTM A416"),L492,0),3)</f>
        <v/>
      </c>
      <c r="S492" s="20">
        <f>ROUND(S491+IF(AND(E492=16,F492&lt;&gt;"ASTM A416"),L492,0),3)</f>
        <v/>
      </c>
      <c r="T492" s="20">
        <f>ROUND(T491+IF(AND(E492=18,F492&lt;&gt;"ASTM A416"),L492,0),3)</f>
        <v/>
      </c>
      <c r="U492" s="20">
        <f>ROUND(U491+IF(AND(E492=20,F492&lt;&gt;"ASTM A416"),L492,0),3)</f>
        <v/>
      </c>
      <c r="V492" s="20">
        <f>ROUND(V491+IF(AND(E492=22,F492&lt;&gt;"ASTM A416"),L492,0),3)</f>
        <v/>
      </c>
      <c r="W492" s="20">
        <f>ROUND(W491+IF(AND(E492=25,F492&lt;&gt;"ASTM A416"),L492,0),3)</f>
        <v/>
      </c>
      <c r="X492" s="20">
        <f>ROUND(X491+IF(AND(E492=28,F492&lt;&gt;"ASTM A416"),L492,0),3)</f>
        <v/>
      </c>
      <c r="Y492" s="20">
        <f>ROUND(Y491+IF(AND(E492=32,F492&lt;&gt;"ASTM A416"),L492,0),3)</f>
        <v/>
      </c>
      <c r="Z492" s="20">
        <f>ROUND(Z491+IF(F492="ASTM A416",L492,0),3)</f>
        <v/>
      </c>
      <c r="AA492" s="11">
        <f>IF(ROUNDUP(P492/20,0)&gt;ROUNDUP(P491/20,0),"Lần " &amp; ROUNDUP(P492/20,0),"")</f>
        <v/>
      </c>
      <c r="AB492" s="11">
        <f>IF(ROUNDUP(Q492/20,0)&gt;ROUNDUP(Q491/20,0),"Lần " &amp; ROUNDUP(Q492/20,0),"")</f>
        <v/>
      </c>
      <c r="AC492" s="11">
        <f>IF(ROUNDUP(R492/20,0)&gt;ROUNDUP(R491/20,0),"Lần " &amp; ROUNDUP(R492/20,0),"")</f>
        <v/>
      </c>
      <c r="AD492" s="11">
        <f>IF(ROUNDUP(S492/20,0)&gt;ROUNDUP(S491/20,0),"Lần " &amp; ROUNDUP(S492/20,0),"")</f>
        <v/>
      </c>
      <c r="AE492" s="11">
        <f>IF(ROUNDUP(T492/20,0)&gt;ROUNDUP(T491/20,0),"Lần " &amp; ROUNDUP(T492/20,0),"")</f>
        <v/>
      </c>
      <c r="AF492" s="11">
        <f>IF(ROUNDUP(U492/20,0)&gt;ROUNDUP(U491/20,0),"Lần " &amp; ROUNDUP(U492/20,0),"")</f>
        <v/>
      </c>
      <c r="AG492" s="11">
        <f>IF(ROUNDUP(V492/20,0)&gt;ROUNDUP(V491/20,0),"Lần " &amp; ROUNDUP(V492/20,0),"")</f>
        <v/>
      </c>
      <c r="AH492" s="11">
        <f>IF(ROUNDUP(W492/20,0)&gt;ROUNDUP(W491/20,0),"Lần " &amp; ROUNDUP(W492/20,0),"")</f>
        <v/>
      </c>
      <c r="AI492" s="11">
        <f>IF(ROUNDUP(X492/20,0)&gt;ROUNDUP(X491/20,0),"Lần " &amp; ROUNDUP(X492/20,0),"")</f>
        <v/>
      </c>
      <c r="AJ492" s="11">
        <f>IF(ROUNDUP(Y492/20,0)&gt;ROUNDUP(Y491/20,0),"Lần " &amp; ROUNDUP(Y492/20,0),"")</f>
        <v/>
      </c>
      <c r="AK492" s="11">
        <f>IF(ROUNDUP(Z492/20,0)&gt;ROUNDUP(Z491/20,0),"Lần " &amp; ROUNDUP(Z492/20,0),"")</f>
        <v/>
      </c>
      <c r="AL492" s="6" t="n"/>
      <c r="AN492" t="inlineStr">
        <is>
          <t>Coc</t>
        </is>
      </c>
      <c r="AO492" t="n">
        <v>10</v>
      </c>
    </row>
    <row r="493" ht="19" customHeight="1">
      <c r="A493" s="6" t="n">
        <v>470</v>
      </c>
      <c r="B493" s="7" t="inlineStr">
        <is>
          <t>Cọc khoan nhồi C4 Trụ T1 (D1.2m, L=40.0m)</t>
        </is>
      </c>
      <c r="C493" s="7" t="inlineStr">
        <is>
          <t>Cọc trụ T1 L=40m (tr.68)</t>
        </is>
      </c>
      <c r="D493" s="18" t="inlineStr">
        <is>
          <t>P1B</t>
        </is>
      </c>
      <c r="E493" s="19" t="n">
        <v>10</v>
      </c>
      <c r="F493" s="6" t="inlineStr">
        <is>
          <t>CB240-T</t>
        </is>
      </c>
      <c r="G493" s="7" t="inlineStr"/>
      <c r="H493" s="20" t="n">
        <v>206.981</v>
      </c>
      <c r="I493" s="21" t="n">
        <v>1</v>
      </c>
      <c r="J493" s="22" t="n">
        <v>0.617</v>
      </c>
      <c r="K493" s="9">
        <f>ROUND(H493*I493*J493, 2)</f>
        <v/>
      </c>
      <c r="L493" s="23">
        <f>ROUND(K493/1000, 3)</f>
        <v/>
      </c>
      <c r="M493" s="8">
        <f>IF(AO493="","",IF(INDEX(Theo_Doi_Tan_Suat_Be_Tong!$C:$C,AO493)="","",INDEX(Theo_Doi_Tan_Suat_Be_Tong!$C:$C,AO493)-VLOOKUP(AN493,$AQ$2:$AR$7,2,FALSE)))</f>
        <v/>
      </c>
      <c r="N493" s="6" t="n"/>
      <c r="O493" s="24">
        <f>IF(ROUNDUP(P493/20,0)&gt;ROUNDUP(P492/20,0),"TN Ø10 (Lần " &amp; ROUNDUP(P493/20,0) &amp; ")","")</f>
        <v/>
      </c>
      <c r="P493" s="20">
        <f>ROUND(P492+IF(AND(E493&lt;=10,F493&lt;&gt;"ASTM A416"),L493,0),3)</f>
        <v/>
      </c>
      <c r="Q493" s="20">
        <f>ROUND(Q492+IF(AND(E493=12,F493&lt;&gt;"ASTM A416"),L493,0),3)</f>
        <v/>
      </c>
      <c r="R493" s="20">
        <f>ROUND(R492+IF(AND(E493=14,F493&lt;&gt;"ASTM A416"),L493,0),3)</f>
        <v/>
      </c>
      <c r="S493" s="20">
        <f>ROUND(S492+IF(AND(E493=16,F493&lt;&gt;"ASTM A416"),L493,0),3)</f>
        <v/>
      </c>
      <c r="T493" s="20">
        <f>ROUND(T492+IF(AND(E493=18,F493&lt;&gt;"ASTM A416"),L493,0),3)</f>
        <v/>
      </c>
      <c r="U493" s="20">
        <f>ROUND(U492+IF(AND(E493=20,F493&lt;&gt;"ASTM A416"),L493,0),3)</f>
        <v/>
      </c>
      <c r="V493" s="20">
        <f>ROUND(V492+IF(AND(E493=22,F493&lt;&gt;"ASTM A416"),L493,0),3)</f>
        <v/>
      </c>
      <c r="W493" s="20">
        <f>ROUND(W492+IF(AND(E493=25,F493&lt;&gt;"ASTM A416"),L493,0),3)</f>
        <v/>
      </c>
      <c r="X493" s="20">
        <f>ROUND(X492+IF(AND(E493=28,F493&lt;&gt;"ASTM A416"),L493,0),3)</f>
        <v/>
      </c>
      <c r="Y493" s="20">
        <f>ROUND(Y492+IF(AND(E493=32,F493&lt;&gt;"ASTM A416"),L493,0),3)</f>
        <v/>
      </c>
      <c r="Z493" s="20">
        <f>ROUND(Z492+IF(F493="ASTM A416",L493,0),3)</f>
        <v/>
      </c>
      <c r="AA493" s="11">
        <f>IF(ROUNDUP(P493/20,0)&gt;ROUNDUP(P492/20,0),"Lần " &amp; ROUNDUP(P493/20,0),"")</f>
        <v/>
      </c>
      <c r="AB493" s="11">
        <f>IF(ROUNDUP(Q493/20,0)&gt;ROUNDUP(Q492/20,0),"Lần " &amp; ROUNDUP(Q493/20,0),"")</f>
        <v/>
      </c>
      <c r="AC493" s="11">
        <f>IF(ROUNDUP(R493/20,0)&gt;ROUNDUP(R492/20,0),"Lần " &amp; ROUNDUP(R493/20,0),"")</f>
        <v/>
      </c>
      <c r="AD493" s="11">
        <f>IF(ROUNDUP(S493/20,0)&gt;ROUNDUP(S492/20,0),"Lần " &amp; ROUNDUP(S493/20,0),"")</f>
        <v/>
      </c>
      <c r="AE493" s="11">
        <f>IF(ROUNDUP(T493/20,0)&gt;ROUNDUP(T492/20,0),"Lần " &amp; ROUNDUP(T493/20,0),"")</f>
        <v/>
      </c>
      <c r="AF493" s="11">
        <f>IF(ROUNDUP(U493/20,0)&gt;ROUNDUP(U492/20,0),"Lần " &amp; ROUNDUP(U493/20,0),"")</f>
        <v/>
      </c>
      <c r="AG493" s="11">
        <f>IF(ROUNDUP(V493/20,0)&gt;ROUNDUP(V492/20,0),"Lần " &amp; ROUNDUP(V493/20,0),"")</f>
        <v/>
      </c>
      <c r="AH493" s="11">
        <f>IF(ROUNDUP(W493/20,0)&gt;ROUNDUP(W492/20,0),"Lần " &amp; ROUNDUP(W493/20,0),"")</f>
        <v/>
      </c>
      <c r="AI493" s="11">
        <f>IF(ROUNDUP(X493/20,0)&gt;ROUNDUP(X492/20,0),"Lần " &amp; ROUNDUP(X493/20,0),"")</f>
        <v/>
      </c>
      <c r="AJ493" s="11">
        <f>IF(ROUNDUP(Y493/20,0)&gt;ROUNDUP(Y492/20,0),"Lần " &amp; ROUNDUP(Y493/20,0),"")</f>
        <v/>
      </c>
      <c r="AK493" s="11">
        <f>IF(ROUNDUP(Z493/20,0)&gt;ROUNDUP(Z492/20,0),"Lần " &amp; ROUNDUP(Z493/20,0),"")</f>
        <v/>
      </c>
      <c r="AL493" s="6" t="n"/>
      <c r="AN493" t="inlineStr">
        <is>
          <t>Coc</t>
        </is>
      </c>
      <c r="AO493" t="n">
        <v>10</v>
      </c>
    </row>
    <row r="494" ht="19" customHeight="1">
      <c r="A494" s="6" t="n">
        <v>471</v>
      </c>
      <c r="B494" s="7" t="inlineStr">
        <is>
          <t>Cọc khoan nhồi C4 Trụ T1 (D1.2m, L=40.0m)</t>
        </is>
      </c>
      <c r="C494" s="7" t="inlineStr">
        <is>
          <t>Cọc trụ T1 L=40m (tr.68)</t>
        </is>
      </c>
      <c r="D494" s="18" t="inlineStr">
        <is>
          <t>P1C</t>
        </is>
      </c>
      <c r="E494" s="19" t="n">
        <v>10</v>
      </c>
      <c r="F494" s="6" t="inlineStr">
        <is>
          <t>CB240-T</t>
        </is>
      </c>
      <c r="G494" s="7" t="inlineStr"/>
      <c r="H494" s="20" t="n">
        <v>3.592</v>
      </c>
      <c r="I494" s="21" t="n">
        <v>2</v>
      </c>
      <c r="J494" s="22" t="n">
        <v>0.617</v>
      </c>
      <c r="K494" s="9">
        <f>ROUND(H494*I494*J494, 2)</f>
        <v/>
      </c>
      <c r="L494" s="23">
        <f>ROUND(K494/1000, 3)</f>
        <v/>
      </c>
      <c r="M494" s="8">
        <f>IF(AO494="","",IF(INDEX(Theo_Doi_Tan_Suat_Be_Tong!$C:$C,AO494)="","",INDEX(Theo_Doi_Tan_Suat_Be_Tong!$C:$C,AO494)-VLOOKUP(AN494,$AQ$2:$AR$7,2,FALSE)))</f>
        <v/>
      </c>
      <c r="N494" s="6" t="n"/>
      <c r="O494" s="24">
        <f>IF(ROUNDUP(P494/20,0)&gt;ROUNDUP(P493/20,0),"TN Ø10 (Lần " &amp; ROUNDUP(P494/20,0) &amp; ")","")</f>
        <v/>
      </c>
      <c r="P494" s="20">
        <f>ROUND(P493+IF(AND(E494&lt;=10,F494&lt;&gt;"ASTM A416"),L494,0),3)</f>
        <v/>
      </c>
      <c r="Q494" s="20">
        <f>ROUND(Q493+IF(AND(E494=12,F494&lt;&gt;"ASTM A416"),L494,0),3)</f>
        <v/>
      </c>
      <c r="R494" s="20">
        <f>ROUND(R493+IF(AND(E494=14,F494&lt;&gt;"ASTM A416"),L494,0),3)</f>
        <v/>
      </c>
      <c r="S494" s="20">
        <f>ROUND(S493+IF(AND(E494=16,F494&lt;&gt;"ASTM A416"),L494,0),3)</f>
        <v/>
      </c>
      <c r="T494" s="20">
        <f>ROUND(T493+IF(AND(E494=18,F494&lt;&gt;"ASTM A416"),L494,0),3)</f>
        <v/>
      </c>
      <c r="U494" s="20">
        <f>ROUND(U493+IF(AND(E494=20,F494&lt;&gt;"ASTM A416"),L494,0),3)</f>
        <v/>
      </c>
      <c r="V494" s="20">
        <f>ROUND(V493+IF(AND(E494=22,F494&lt;&gt;"ASTM A416"),L494,0),3)</f>
        <v/>
      </c>
      <c r="W494" s="20">
        <f>ROUND(W493+IF(AND(E494=25,F494&lt;&gt;"ASTM A416"),L494,0),3)</f>
        <v/>
      </c>
      <c r="X494" s="20">
        <f>ROUND(X493+IF(AND(E494=28,F494&lt;&gt;"ASTM A416"),L494,0),3)</f>
        <v/>
      </c>
      <c r="Y494" s="20">
        <f>ROUND(Y493+IF(AND(E494=32,F494&lt;&gt;"ASTM A416"),L494,0),3)</f>
        <v/>
      </c>
      <c r="Z494" s="20">
        <f>ROUND(Z493+IF(F494="ASTM A416",L494,0),3)</f>
        <v/>
      </c>
      <c r="AA494" s="11">
        <f>IF(ROUNDUP(P494/20,0)&gt;ROUNDUP(P493/20,0),"Lần " &amp; ROUNDUP(P494/20,0),"")</f>
        <v/>
      </c>
      <c r="AB494" s="11">
        <f>IF(ROUNDUP(Q494/20,0)&gt;ROUNDUP(Q493/20,0),"Lần " &amp; ROUNDUP(Q494/20,0),"")</f>
        <v/>
      </c>
      <c r="AC494" s="11">
        <f>IF(ROUNDUP(R494/20,0)&gt;ROUNDUP(R493/20,0),"Lần " &amp; ROUNDUP(R494/20,0),"")</f>
        <v/>
      </c>
      <c r="AD494" s="11">
        <f>IF(ROUNDUP(S494/20,0)&gt;ROUNDUP(S493/20,0),"Lần " &amp; ROUNDUP(S494/20,0),"")</f>
        <v/>
      </c>
      <c r="AE494" s="11">
        <f>IF(ROUNDUP(T494/20,0)&gt;ROUNDUP(T493/20,0),"Lần " &amp; ROUNDUP(T494/20,0),"")</f>
        <v/>
      </c>
      <c r="AF494" s="11">
        <f>IF(ROUNDUP(U494/20,0)&gt;ROUNDUP(U493/20,0),"Lần " &amp; ROUNDUP(U494/20,0),"")</f>
        <v/>
      </c>
      <c r="AG494" s="11">
        <f>IF(ROUNDUP(V494/20,0)&gt;ROUNDUP(V493/20,0),"Lần " &amp; ROUNDUP(V494/20,0),"")</f>
        <v/>
      </c>
      <c r="AH494" s="11">
        <f>IF(ROUNDUP(W494/20,0)&gt;ROUNDUP(W493/20,0),"Lần " &amp; ROUNDUP(W494/20,0),"")</f>
        <v/>
      </c>
      <c r="AI494" s="11">
        <f>IF(ROUNDUP(X494/20,0)&gt;ROUNDUP(X493/20,0),"Lần " &amp; ROUNDUP(X494/20,0),"")</f>
        <v/>
      </c>
      <c r="AJ494" s="11">
        <f>IF(ROUNDUP(Y494/20,0)&gt;ROUNDUP(Y493/20,0),"Lần " &amp; ROUNDUP(Y494/20,0),"")</f>
        <v/>
      </c>
      <c r="AK494" s="11">
        <f>IF(ROUNDUP(Z494/20,0)&gt;ROUNDUP(Z493/20,0),"Lần " &amp; ROUNDUP(Z494/20,0),"")</f>
        <v/>
      </c>
      <c r="AL494" s="6" t="n"/>
      <c r="AN494" t="inlineStr">
        <is>
          <t>Coc</t>
        </is>
      </c>
      <c r="AO494" t="n">
        <v>10</v>
      </c>
    </row>
    <row r="495" ht="19" customHeight="1">
      <c r="A495" s="6" t="n">
        <v>472</v>
      </c>
      <c r="B495" s="7" t="inlineStr">
        <is>
          <t>Cọc khoan nhồi C4 Trụ T1 (D1.2m, L=40.0m)</t>
        </is>
      </c>
      <c r="C495" s="7" t="inlineStr">
        <is>
          <t>Cọc trụ T1 L=40m (tr.68)</t>
        </is>
      </c>
      <c r="D495" s="18" t="inlineStr">
        <is>
          <t>P1D</t>
        </is>
      </c>
      <c r="E495" s="19" t="n">
        <v>10</v>
      </c>
      <c r="F495" s="6" t="inlineStr">
        <is>
          <t>CB240-T</t>
        </is>
      </c>
      <c r="G495" s="7" t="inlineStr"/>
      <c r="H495" s="20" t="n">
        <v>19.721</v>
      </c>
      <c r="I495" s="21" t="n">
        <v>1</v>
      </c>
      <c r="J495" s="22" t="n">
        <v>0.617</v>
      </c>
      <c r="K495" s="9">
        <f>ROUND(H495*I495*J495, 2)</f>
        <v/>
      </c>
      <c r="L495" s="23">
        <f>ROUND(K495/1000, 3)</f>
        <v/>
      </c>
      <c r="M495" s="8">
        <f>IF(AO495="","",IF(INDEX(Theo_Doi_Tan_Suat_Be_Tong!$C:$C,AO495)="","",INDEX(Theo_Doi_Tan_Suat_Be_Tong!$C:$C,AO495)-VLOOKUP(AN495,$AQ$2:$AR$7,2,FALSE)))</f>
        <v/>
      </c>
      <c r="N495" s="6" t="n"/>
      <c r="O495" s="24">
        <f>IF(ROUNDUP(P495/20,0)&gt;ROUNDUP(P494/20,0),"TN Ø10 (Lần " &amp; ROUNDUP(P495/20,0) &amp; ")","")</f>
        <v/>
      </c>
      <c r="P495" s="20">
        <f>ROUND(P494+IF(AND(E495&lt;=10,F495&lt;&gt;"ASTM A416"),L495,0),3)</f>
        <v/>
      </c>
      <c r="Q495" s="20">
        <f>ROUND(Q494+IF(AND(E495=12,F495&lt;&gt;"ASTM A416"),L495,0),3)</f>
        <v/>
      </c>
      <c r="R495" s="20">
        <f>ROUND(R494+IF(AND(E495=14,F495&lt;&gt;"ASTM A416"),L495,0),3)</f>
        <v/>
      </c>
      <c r="S495" s="20">
        <f>ROUND(S494+IF(AND(E495=16,F495&lt;&gt;"ASTM A416"),L495,0),3)</f>
        <v/>
      </c>
      <c r="T495" s="20">
        <f>ROUND(T494+IF(AND(E495=18,F495&lt;&gt;"ASTM A416"),L495,0),3)</f>
        <v/>
      </c>
      <c r="U495" s="20">
        <f>ROUND(U494+IF(AND(E495=20,F495&lt;&gt;"ASTM A416"),L495,0),3)</f>
        <v/>
      </c>
      <c r="V495" s="20">
        <f>ROUND(V494+IF(AND(E495=22,F495&lt;&gt;"ASTM A416"),L495,0),3)</f>
        <v/>
      </c>
      <c r="W495" s="20">
        <f>ROUND(W494+IF(AND(E495=25,F495&lt;&gt;"ASTM A416"),L495,0),3)</f>
        <v/>
      </c>
      <c r="X495" s="20">
        <f>ROUND(X494+IF(AND(E495=28,F495&lt;&gt;"ASTM A416"),L495,0),3)</f>
        <v/>
      </c>
      <c r="Y495" s="20">
        <f>ROUND(Y494+IF(AND(E495=32,F495&lt;&gt;"ASTM A416"),L495,0),3)</f>
        <v/>
      </c>
      <c r="Z495" s="20">
        <f>ROUND(Z494+IF(F495="ASTM A416",L495,0),3)</f>
        <v/>
      </c>
      <c r="AA495" s="11">
        <f>IF(ROUNDUP(P495/20,0)&gt;ROUNDUP(P494/20,0),"Lần " &amp; ROUNDUP(P495/20,0),"")</f>
        <v/>
      </c>
      <c r="AB495" s="11">
        <f>IF(ROUNDUP(Q495/20,0)&gt;ROUNDUP(Q494/20,0),"Lần " &amp; ROUNDUP(Q495/20,0),"")</f>
        <v/>
      </c>
      <c r="AC495" s="11">
        <f>IF(ROUNDUP(R495/20,0)&gt;ROUNDUP(R494/20,0),"Lần " &amp; ROUNDUP(R495/20,0),"")</f>
        <v/>
      </c>
      <c r="AD495" s="11">
        <f>IF(ROUNDUP(S495/20,0)&gt;ROUNDUP(S494/20,0),"Lần " &amp; ROUNDUP(S495/20,0),"")</f>
        <v/>
      </c>
      <c r="AE495" s="11">
        <f>IF(ROUNDUP(T495/20,0)&gt;ROUNDUP(T494/20,0),"Lần " &amp; ROUNDUP(T495/20,0),"")</f>
        <v/>
      </c>
      <c r="AF495" s="11">
        <f>IF(ROUNDUP(U495/20,0)&gt;ROUNDUP(U494/20,0),"Lần " &amp; ROUNDUP(U495/20,0),"")</f>
        <v/>
      </c>
      <c r="AG495" s="11">
        <f>IF(ROUNDUP(V495/20,0)&gt;ROUNDUP(V494/20,0),"Lần " &amp; ROUNDUP(V495/20,0),"")</f>
        <v/>
      </c>
      <c r="AH495" s="11">
        <f>IF(ROUNDUP(W495/20,0)&gt;ROUNDUP(W494/20,0),"Lần " &amp; ROUNDUP(W495/20,0),"")</f>
        <v/>
      </c>
      <c r="AI495" s="11">
        <f>IF(ROUNDUP(X495/20,0)&gt;ROUNDUP(X494/20,0),"Lần " &amp; ROUNDUP(X495/20,0),"")</f>
        <v/>
      </c>
      <c r="AJ495" s="11">
        <f>IF(ROUNDUP(Y495/20,0)&gt;ROUNDUP(Y494/20,0),"Lần " &amp; ROUNDUP(Y495/20,0),"")</f>
        <v/>
      </c>
      <c r="AK495" s="11">
        <f>IF(ROUNDUP(Z495/20,0)&gt;ROUNDUP(Z494/20,0),"Lần " &amp; ROUNDUP(Z495/20,0),"")</f>
        <v/>
      </c>
      <c r="AL495" s="6" t="n"/>
      <c r="AN495" t="inlineStr">
        <is>
          <t>Coc</t>
        </is>
      </c>
      <c r="AO495" t="n">
        <v>10</v>
      </c>
    </row>
    <row r="496" ht="19" customHeight="1">
      <c r="A496" s="6" t="n">
        <v>473</v>
      </c>
      <c r="B496" s="7" t="inlineStr">
        <is>
          <t>Cọc khoan nhồi C4 Trụ T1 (D1.2m, L=40.0m)</t>
        </is>
      </c>
      <c r="C496" s="7" t="inlineStr">
        <is>
          <t>Cọc trụ T1 L=40m (tr.68)</t>
        </is>
      </c>
      <c r="D496" s="18" t="inlineStr">
        <is>
          <t>P2B</t>
        </is>
      </c>
      <c r="E496" s="19" t="n">
        <v>25</v>
      </c>
      <c r="F496" s="6" t="inlineStr">
        <is>
          <t>CB400-V</t>
        </is>
      </c>
      <c r="G496" s="7" t="inlineStr"/>
      <c r="H496" s="20" t="n">
        <v>2.985</v>
      </c>
      <c r="I496" s="21" t="n">
        <v>16</v>
      </c>
      <c r="J496" s="22" t="n">
        <v>3.853</v>
      </c>
      <c r="K496" s="9">
        <f>ROUND(H496*I496*J496, 2)</f>
        <v/>
      </c>
      <c r="L496" s="23">
        <f>ROUND(K496/1000, 3)</f>
        <v/>
      </c>
      <c r="M496" s="8">
        <f>IF(AO496="","",IF(INDEX(Theo_Doi_Tan_Suat_Be_Tong!$C:$C,AO496)="","",INDEX(Theo_Doi_Tan_Suat_Be_Tong!$C:$C,AO496)-VLOOKUP(AN496,$AQ$2:$AR$7,2,FALSE)))</f>
        <v/>
      </c>
      <c r="N496" s="6" t="n"/>
      <c r="O496" s="24">
        <f>IF(ROUNDUP(W496/20,0)&gt;ROUNDUP(W495/20,0),"TN Ø25 (Lần " &amp; ROUNDUP(W496/20,0) &amp; ")","")</f>
        <v/>
      </c>
      <c r="P496" s="20">
        <f>ROUND(P495+IF(AND(E496&lt;=10,F496&lt;&gt;"ASTM A416"),L496,0),3)</f>
        <v/>
      </c>
      <c r="Q496" s="20">
        <f>ROUND(Q495+IF(AND(E496=12,F496&lt;&gt;"ASTM A416"),L496,0),3)</f>
        <v/>
      </c>
      <c r="R496" s="20">
        <f>ROUND(R495+IF(AND(E496=14,F496&lt;&gt;"ASTM A416"),L496,0),3)</f>
        <v/>
      </c>
      <c r="S496" s="20">
        <f>ROUND(S495+IF(AND(E496=16,F496&lt;&gt;"ASTM A416"),L496,0),3)</f>
        <v/>
      </c>
      <c r="T496" s="20">
        <f>ROUND(T495+IF(AND(E496=18,F496&lt;&gt;"ASTM A416"),L496,0),3)</f>
        <v/>
      </c>
      <c r="U496" s="20">
        <f>ROUND(U495+IF(AND(E496=20,F496&lt;&gt;"ASTM A416"),L496,0),3)</f>
        <v/>
      </c>
      <c r="V496" s="20">
        <f>ROUND(V495+IF(AND(E496=22,F496&lt;&gt;"ASTM A416"),L496,0),3)</f>
        <v/>
      </c>
      <c r="W496" s="20">
        <f>ROUND(W495+IF(AND(E496=25,F496&lt;&gt;"ASTM A416"),L496,0),3)</f>
        <v/>
      </c>
      <c r="X496" s="20">
        <f>ROUND(X495+IF(AND(E496=28,F496&lt;&gt;"ASTM A416"),L496,0),3)</f>
        <v/>
      </c>
      <c r="Y496" s="20">
        <f>ROUND(Y495+IF(AND(E496=32,F496&lt;&gt;"ASTM A416"),L496,0),3)</f>
        <v/>
      </c>
      <c r="Z496" s="20">
        <f>ROUND(Z495+IF(F496="ASTM A416",L496,0),3)</f>
        <v/>
      </c>
      <c r="AA496" s="11">
        <f>IF(ROUNDUP(P496/20,0)&gt;ROUNDUP(P495/20,0),"Lần " &amp; ROUNDUP(P496/20,0),"")</f>
        <v/>
      </c>
      <c r="AB496" s="11">
        <f>IF(ROUNDUP(Q496/20,0)&gt;ROUNDUP(Q495/20,0),"Lần " &amp; ROUNDUP(Q496/20,0),"")</f>
        <v/>
      </c>
      <c r="AC496" s="11">
        <f>IF(ROUNDUP(R496/20,0)&gt;ROUNDUP(R495/20,0),"Lần " &amp; ROUNDUP(R496/20,0),"")</f>
        <v/>
      </c>
      <c r="AD496" s="11">
        <f>IF(ROUNDUP(S496/20,0)&gt;ROUNDUP(S495/20,0),"Lần " &amp; ROUNDUP(S496/20,0),"")</f>
        <v/>
      </c>
      <c r="AE496" s="11">
        <f>IF(ROUNDUP(T496/20,0)&gt;ROUNDUP(T495/20,0),"Lần " &amp; ROUNDUP(T496/20,0),"")</f>
        <v/>
      </c>
      <c r="AF496" s="11">
        <f>IF(ROUNDUP(U496/20,0)&gt;ROUNDUP(U495/20,0),"Lần " &amp; ROUNDUP(U496/20,0),"")</f>
        <v/>
      </c>
      <c r="AG496" s="11">
        <f>IF(ROUNDUP(V496/20,0)&gt;ROUNDUP(V495/20,0),"Lần " &amp; ROUNDUP(V496/20,0),"")</f>
        <v/>
      </c>
      <c r="AH496" s="11">
        <f>IF(ROUNDUP(W496/20,0)&gt;ROUNDUP(W495/20,0),"Lần " &amp; ROUNDUP(W496/20,0),"")</f>
        <v/>
      </c>
      <c r="AI496" s="11">
        <f>IF(ROUNDUP(X496/20,0)&gt;ROUNDUP(X495/20,0),"Lần " &amp; ROUNDUP(X496/20,0),"")</f>
        <v/>
      </c>
      <c r="AJ496" s="11">
        <f>IF(ROUNDUP(Y496/20,0)&gt;ROUNDUP(Y495/20,0),"Lần " &amp; ROUNDUP(Y496/20,0),"")</f>
        <v/>
      </c>
      <c r="AK496" s="11">
        <f>IF(ROUNDUP(Z496/20,0)&gt;ROUNDUP(Z495/20,0),"Lần " &amp; ROUNDUP(Z496/20,0),"")</f>
        <v/>
      </c>
      <c r="AL496" s="6" t="n"/>
      <c r="AN496" t="inlineStr">
        <is>
          <t>Coc</t>
        </is>
      </c>
      <c r="AO496" t="n">
        <v>10</v>
      </c>
    </row>
    <row r="497" ht="19" customHeight="1">
      <c r="A497" s="6" t="n">
        <v>474</v>
      </c>
      <c r="B497" s="7" t="inlineStr">
        <is>
          <t>Cọc khoan nhồi C4 Trụ T1 (D1.2m, L=40.0m)</t>
        </is>
      </c>
      <c r="C497" s="7" t="inlineStr">
        <is>
          <t>Cọc trụ T1 L=40m (tr.68)</t>
        </is>
      </c>
      <c r="D497" s="18" t="inlineStr">
        <is>
          <t>P3</t>
        </is>
      </c>
      <c r="E497" s="19" t="n">
        <v>25</v>
      </c>
      <c r="F497" s="6" t="inlineStr">
        <is>
          <t>CB400-V</t>
        </is>
      </c>
      <c r="G497" s="7" t="inlineStr"/>
      <c r="H497" s="20" t="n">
        <v>10.7</v>
      </c>
      <c r="I497" s="21" t="n">
        <v>12</v>
      </c>
      <c r="J497" s="22" t="n">
        <v>3.853</v>
      </c>
      <c r="K497" s="9">
        <f>ROUND(H497*I497*J497, 2)</f>
        <v/>
      </c>
      <c r="L497" s="23">
        <f>ROUND(K497/1000, 3)</f>
        <v/>
      </c>
      <c r="M497" s="8">
        <f>IF(AO497="","",IF(INDEX(Theo_Doi_Tan_Suat_Be_Tong!$C:$C,AO497)="","",INDEX(Theo_Doi_Tan_Suat_Be_Tong!$C:$C,AO497)-VLOOKUP(AN497,$AQ$2:$AR$7,2,FALSE)))</f>
        <v/>
      </c>
      <c r="N497" s="6" t="n"/>
      <c r="O497" s="24">
        <f>IF(ROUNDUP(W497/20,0)&gt;ROUNDUP(W496/20,0),"TN Ø25 (Lần " &amp; ROUNDUP(W497/20,0) &amp; ")","")</f>
        <v/>
      </c>
      <c r="P497" s="20">
        <f>ROUND(P496+IF(AND(E497&lt;=10,F497&lt;&gt;"ASTM A416"),L497,0),3)</f>
        <v/>
      </c>
      <c r="Q497" s="20">
        <f>ROUND(Q496+IF(AND(E497=12,F497&lt;&gt;"ASTM A416"),L497,0),3)</f>
        <v/>
      </c>
      <c r="R497" s="20">
        <f>ROUND(R496+IF(AND(E497=14,F497&lt;&gt;"ASTM A416"),L497,0),3)</f>
        <v/>
      </c>
      <c r="S497" s="20">
        <f>ROUND(S496+IF(AND(E497=16,F497&lt;&gt;"ASTM A416"),L497,0),3)</f>
        <v/>
      </c>
      <c r="T497" s="20">
        <f>ROUND(T496+IF(AND(E497=18,F497&lt;&gt;"ASTM A416"),L497,0),3)</f>
        <v/>
      </c>
      <c r="U497" s="20">
        <f>ROUND(U496+IF(AND(E497=20,F497&lt;&gt;"ASTM A416"),L497,0),3)</f>
        <v/>
      </c>
      <c r="V497" s="20">
        <f>ROUND(V496+IF(AND(E497=22,F497&lt;&gt;"ASTM A416"),L497,0),3)</f>
        <v/>
      </c>
      <c r="W497" s="20">
        <f>ROUND(W496+IF(AND(E497=25,F497&lt;&gt;"ASTM A416"),L497,0),3)</f>
        <v/>
      </c>
      <c r="X497" s="20">
        <f>ROUND(X496+IF(AND(E497=28,F497&lt;&gt;"ASTM A416"),L497,0),3)</f>
        <v/>
      </c>
      <c r="Y497" s="20">
        <f>ROUND(Y496+IF(AND(E497=32,F497&lt;&gt;"ASTM A416"),L497,0),3)</f>
        <v/>
      </c>
      <c r="Z497" s="20">
        <f>ROUND(Z496+IF(F497="ASTM A416",L497,0),3)</f>
        <v/>
      </c>
      <c r="AA497" s="11">
        <f>IF(ROUNDUP(P497/20,0)&gt;ROUNDUP(P496/20,0),"Lần " &amp; ROUNDUP(P497/20,0),"")</f>
        <v/>
      </c>
      <c r="AB497" s="11">
        <f>IF(ROUNDUP(Q497/20,0)&gt;ROUNDUP(Q496/20,0),"Lần " &amp; ROUNDUP(Q497/20,0),"")</f>
        <v/>
      </c>
      <c r="AC497" s="11">
        <f>IF(ROUNDUP(R497/20,0)&gt;ROUNDUP(R496/20,0),"Lần " &amp; ROUNDUP(R497/20,0),"")</f>
        <v/>
      </c>
      <c r="AD497" s="11">
        <f>IF(ROUNDUP(S497/20,0)&gt;ROUNDUP(S496/20,0),"Lần " &amp; ROUNDUP(S497/20,0),"")</f>
        <v/>
      </c>
      <c r="AE497" s="11">
        <f>IF(ROUNDUP(T497/20,0)&gt;ROUNDUP(T496/20,0),"Lần " &amp; ROUNDUP(T497/20,0),"")</f>
        <v/>
      </c>
      <c r="AF497" s="11">
        <f>IF(ROUNDUP(U497/20,0)&gt;ROUNDUP(U496/20,0),"Lần " &amp; ROUNDUP(U497/20,0),"")</f>
        <v/>
      </c>
      <c r="AG497" s="11">
        <f>IF(ROUNDUP(V497/20,0)&gt;ROUNDUP(V496/20,0),"Lần " &amp; ROUNDUP(V497/20,0),"")</f>
        <v/>
      </c>
      <c r="AH497" s="11">
        <f>IF(ROUNDUP(W497/20,0)&gt;ROUNDUP(W496/20,0),"Lần " &amp; ROUNDUP(W497/20,0),"")</f>
        <v/>
      </c>
      <c r="AI497" s="11">
        <f>IF(ROUNDUP(X497/20,0)&gt;ROUNDUP(X496/20,0),"Lần " &amp; ROUNDUP(X497/20,0),"")</f>
        <v/>
      </c>
      <c r="AJ497" s="11">
        <f>IF(ROUNDUP(Y497/20,0)&gt;ROUNDUP(Y496/20,0),"Lần " &amp; ROUNDUP(Y497/20,0),"")</f>
        <v/>
      </c>
      <c r="AK497" s="11">
        <f>IF(ROUNDUP(Z497/20,0)&gt;ROUNDUP(Z496/20,0),"Lần " &amp; ROUNDUP(Z497/20,0),"")</f>
        <v/>
      </c>
      <c r="AL497" s="6" t="n"/>
      <c r="AN497" t="inlineStr">
        <is>
          <t>Coc</t>
        </is>
      </c>
      <c r="AO497" t="n">
        <v>10</v>
      </c>
    </row>
    <row r="498" ht="19" customHeight="1">
      <c r="A498" s="6" t="n">
        <v>475</v>
      </c>
      <c r="B498" s="7" t="inlineStr">
        <is>
          <t>Cọc khoan nhồi C4 Trụ T1 (D1.2m, L=40.0m)</t>
        </is>
      </c>
      <c r="C498" s="7" t="inlineStr">
        <is>
          <t>Cọc trụ T1 L=40m (tr.68)</t>
        </is>
      </c>
      <c r="D498" s="18" t="inlineStr">
        <is>
          <t>P4</t>
        </is>
      </c>
      <c r="E498" s="19" t="n">
        <v>25</v>
      </c>
      <c r="F498" s="6" t="inlineStr">
        <is>
          <t>CB400-V</t>
        </is>
      </c>
      <c r="G498" s="7" t="inlineStr"/>
      <c r="H498" s="20" t="n">
        <v>11.7</v>
      </c>
      <c r="I498" s="21" t="n">
        <v>60</v>
      </c>
      <c r="J498" s="22" t="n">
        <v>3.853</v>
      </c>
      <c r="K498" s="9">
        <f>ROUND(H498*I498*J498, 2)</f>
        <v/>
      </c>
      <c r="L498" s="23">
        <f>ROUND(K498/1000, 3)</f>
        <v/>
      </c>
      <c r="M498" s="8">
        <f>IF(AO498="","",IF(INDEX(Theo_Doi_Tan_Suat_Be_Tong!$C:$C,AO498)="","",INDEX(Theo_Doi_Tan_Suat_Be_Tong!$C:$C,AO498)-VLOOKUP(AN498,$AQ$2:$AR$7,2,FALSE)))</f>
        <v/>
      </c>
      <c r="N498" s="6" t="n"/>
      <c r="O498" s="24">
        <f>IF(ROUNDUP(W498/20,0)&gt;ROUNDUP(W497/20,0),"TN Ø25 (Lần " &amp; ROUNDUP(W498/20,0) &amp; ")","")</f>
        <v/>
      </c>
      <c r="P498" s="20">
        <f>ROUND(P497+IF(AND(E498&lt;=10,F498&lt;&gt;"ASTM A416"),L498,0),3)</f>
        <v/>
      </c>
      <c r="Q498" s="20">
        <f>ROUND(Q497+IF(AND(E498=12,F498&lt;&gt;"ASTM A416"),L498,0),3)</f>
        <v/>
      </c>
      <c r="R498" s="20">
        <f>ROUND(R497+IF(AND(E498=14,F498&lt;&gt;"ASTM A416"),L498,0),3)</f>
        <v/>
      </c>
      <c r="S498" s="20">
        <f>ROUND(S497+IF(AND(E498=16,F498&lt;&gt;"ASTM A416"),L498,0),3)</f>
        <v/>
      </c>
      <c r="T498" s="20">
        <f>ROUND(T497+IF(AND(E498=18,F498&lt;&gt;"ASTM A416"),L498,0),3)</f>
        <v/>
      </c>
      <c r="U498" s="20">
        <f>ROUND(U497+IF(AND(E498=20,F498&lt;&gt;"ASTM A416"),L498,0),3)</f>
        <v/>
      </c>
      <c r="V498" s="20">
        <f>ROUND(V497+IF(AND(E498=22,F498&lt;&gt;"ASTM A416"),L498,0),3)</f>
        <v/>
      </c>
      <c r="W498" s="20">
        <f>ROUND(W497+IF(AND(E498=25,F498&lt;&gt;"ASTM A416"),L498,0),3)</f>
        <v/>
      </c>
      <c r="X498" s="20">
        <f>ROUND(X497+IF(AND(E498=28,F498&lt;&gt;"ASTM A416"),L498,0),3)</f>
        <v/>
      </c>
      <c r="Y498" s="20">
        <f>ROUND(Y497+IF(AND(E498=32,F498&lt;&gt;"ASTM A416"),L498,0),3)</f>
        <v/>
      </c>
      <c r="Z498" s="20">
        <f>ROUND(Z497+IF(F498="ASTM A416",L498,0),3)</f>
        <v/>
      </c>
      <c r="AA498" s="11">
        <f>IF(ROUNDUP(P498/20,0)&gt;ROUNDUP(P497/20,0),"Lần " &amp; ROUNDUP(P498/20,0),"")</f>
        <v/>
      </c>
      <c r="AB498" s="11">
        <f>IF(ROUNDUP(Q498/20,0)&gt;ROUNDUP(Q497/20,0),"Lần " &amp; ROUNDUP(Q498/20,0),"")</f>
        <v/>
      </c>
      <c r="AC498" s="11">
        <f>IF(ROUNDUP(R498/20,0)&gt;ROUNDUP(R497/20,0),"Lần " &amp; ROUNDUP(R498/20,0),"")</f>
        <v/>
      </c>
      <c r="AD498" s="11">
        <f>IF(ROUNDUP(S498/20,0)&gt;ROUNDUP(S497/20,0),"Lần " &amp; ROUNDUP(S498/20,0),"")</f>
        <v/>
      </c>
      <c r="AE498" s="11">
        <f>IF(ROUNDUP(T498/20,0)&gt;ROUNDUP(T497/20,0),"Lần " &amp; ROUNDUP(T498/20,0),"")</f>
        <v/>
      </c>
      <c r="AF498" s="11">
        <f>IF(ROUNDUP(U498/20,0)&gt;ROUNDUP(U497/20,0),"Lần " &amp; ROUNDUP(U498/20,0),"")</f>
        <v/>
      </c>
      <c r="AG498" s="11">
        <f>IF(ROUNDUP(V498/20,0)&gt;ROUNDUP(V497/20,0),"Lần " &amp; ROUNDUP(V498/20,0),"")</f>
        <v/>
      </c>
      <c r="AH498" s="11">
        <f>IF(ROUNDUP(W498/20,0)&gt;ROUNDUP(W497/20,0),"Lần " &amp; ROUNDUP(W498/20,0),"")</f>
        <v/>
      </c>
      <c r="AI498" s="11">
        <f>IF(ROUNDUP(X498/20,0)&gt;ROUNDUP(X497/20,0),"Lần " &amp; ROUNDUP(X498/20,0),"")</f>
        <v/>
      </c>
      <c r="AJ498" s="11">
        <f>IF(ROUNDUP(Y498/20,0)&gt;ROUNDUP(Y497/20,0),"Lần " &amp; ROUNDUP(Y498/20,0),"")</f>
        <v/>
      </c>
      <c r="AK498" s="11">
        <f>IF(ROUNDUP(Z498/20,0)&gt;ROUNDUP(Z497/20,0),"Lần " &amp; ROUNDUP(Z498/20,0),"")</f>
        <v/>
      </c>
      <c r="AL498" s="6" t="n"/>
      <c r="AN498" t="inlineStr">
        <is>
          <t>Coc</t>
        </is>
      </c>
      <c r="AO498" t="n">
        <v>10</v>
      </c>
    </row>
    <row r="499" ht="19" customHeight="1">
      <c r="A499" s="6" t="n">
        <v>476</v>
      </c>
      <c r="B499" s="7" t="inlineStr">
        <is>
          <t>Cọc khoan nhồi C4 Trụ T1 (D1.2m, L=40.0m)</t>
        </is>
      </c>
      <c r="C499" s="7" t="inlineStr">
        <is>
          <t>Cọc trụ T1 L=40m (tr.68)</t>
        </is>
      </c>
      <c r="D499" s="18" t="inlineStr">
        <is>
          <t>P6</t>
        </is>
      </c>
      <c r="E499" s="19" t="n">
        <v>25</v>
      </c>
      <c r="F499" s="6" t="inlineStr">
        <is>
          <t>CB400-V</t>
        </is>
      </c>
      <c r="G499" s="7" t="inlineStr"/>
      <c r="H499" s="20" t="n">
        <v>9.032999999999999</v>
      </c>
      <c r="I499" s="21" t="n">
        <v>12</v>
      </c>
      <c r="J499" s="22" t="n">
        <v>3.853</v>
      </c>
      <c r="K499" s="9">
        <f>ROUND(H499*I499*J499, 2)</f>
        <v/>
      </c>
      <c r="L499" s="23">
        <f>ROUND(K499/1000, 3)</f>
        <v/>
      </c>
      <c r="M499" s="8">
        <f>IF(AO499="","",IF(INDEX(Theo_Doi_Tan_Suat_Be_Tong!$C:$C,AO499)="","",INDEX(Theo_Doi_Tan_Suat_Be_Tong!$C:$C,AO499)-VLOOKUP(AN499,$AQ$2:$AR$7,2,FALSE)))</f>
        <v/>
      </c>
      <c r="N499" s="6" t="n"/>
      <c r="O499" s="24">
        <f>IF(ROUNDUP(W499/20,0)&gt;ROUNDUP(W498/20,0),"TN Ø25 (Lần " &amp; ROUNDUP(W499/20,0) &amp; ")","")</f>
        <v/>
      </c>
      <c r="P499" s="20">
        <f>ROUND(P498+IF(AND(E499&lt;=10,F499&lt;&gt;"ASTM A416"),L499,0),3)</f>
        <v/>
      </c>
      <c r="Q499" s="20">
        <f>ROUND(Q498+IF(AND(E499=12,F499&lt;&gt;"ASTM A416"),L499,0),3)</f>
        <v/>
      </c>
      <c r="R499" s="20">
        <f>ROUND(R498+IF(AND(E499=14,F499&lt;&gt;"ASTM A416"),L499,0),3)</f>
        <v/>
      </c>
      <c r="S499" s="20">
        <f>ROUND(S498+IF(AND(E499=16,F499&lt;&gt;"ASTM A416"),L499,0),3)</f>
        <v/>
      </c>
      <c r="T499" s="20">
        <f>ROUND(T498+IF(AND(E499=18,F499&lt;&gt;"ASTM A416"),L499,0),3)</f>
        <v/>
      </c>
      <c r="U499" s="20">
        <f>ROUND(U498+IF(AND(E499=20,F499&lt;&gt;"ASTM A416"),L499,0),3)</f>
        <v/>
      </c>
      <c r="V499" s="20">
        <f>ROUND(V498+IF(AND(E499=22,F499&lt;&gt;"ASTM A416"),L499,0),3)</f>
        <v/>
      </c>
      <c r="W499" s="20">
        <f>ROUND(W498+IF(AND(E499=25,F499&lt;&gt;"ASTM A416"),L499,0),3)</f>
        <v/>
      </c>
      <c r="X499" s="20">
        <f>ROUND(X498+IF(AND(E499=28,F499&lt;&gt;"ASTM A416"),L499,0),3)</f>
        <v/>
      </c>
      <c r="Y499" s="20">
        <f>ROUND(Y498+IF(AND(E499=32,F499&lt;&gt;"ASTM A416"),L499,0),3)</f>
        <v/>
      </c>
      <c r="Z499" s="20">
        <f>ROUND(Z498+IF(F499="ASTM A416",L499,0),3)</f>
        <v/>
      </c>
      <c r="AA499" s="11">
        <f>IF(ROUNDUP(P499/20,0)&gt;ROUNDUP(P498/20,0),"Lần " &amp; ROUNDUP(P499/20,0),"")</f>
        <v/>
      </c>
      <c r="AB499" s="11">
        <f>IF(ROUNDUP(Q499/20,0)&gt;ROUNDUP(Q498/20,0),"Lần " &amp; ROUNDUP(Q499/20,0),"")</f>
        <v/>
      </c>
      <c r="AC499" s="11">
        <f>IF(ROUNDUP(R499/20,0)&gt;ROUNDUP(R498/20,0),"Lần " &amp; ROUNDUP(R499/20,0),"")</f>
        <v/>
      </c>
      <c r="AD499" s="11">
        <f>IF(ROUNDUP(S499/20,0)&gt;ROUNDUP(S498/20,0),"Lần " &amp; ROUNDUP(S499/20,0),"")</f>
        <v/>
      </c>
      <c r="AE499" s="11">
        <f>IF(ROUNDUP(T499/20,0)&gt;ROUNDUP(T498/20,0),"Lần " &amp; ROUNDUP(T499/20,0),"")</f>
        <v/>
      </c>
      <c r="AF499" s="11">
        <f>IF(ROUNDUP(U499/20,0)&gt;ROUNDUP(U498/20,0),"Lần " &amp; ROUNDUP(U499/20,0),"")</f>
        <v/>
      </c>
      <c r="AG499" s="11">
        <f>IF(ROUNDUP(V499/20,0)&gt;ROUNDUP(V498/20,0),"Lần " &amp; ROUNDUP(V499/20,0),"")</f>
        <v/>
      </c>
      <c r="AH499" s="11">
        <f>IF(ROUNDUP(W499/20,0)&gt;ROUNDUP(W498/20,0),"Lần " &amp; ROUNDUP(W499/20,0),"")</f>
        <v/>
      </c>
      <c r="AI499" s="11">
        <f>IF(ROUNDUP(X499/20,0)&gt;ROUNDUP(X498/20,0),"Lần " &amp; ROUNDUP(X499/20,0),"")</f>
        <v/>
      </c>
      <c r="AJ499" s="11">
        <f>IF(ROUNDUP(Y499/20,0)&gt;ROUNDUP(Y498/20,0),"Lần " &amp; ROUNDUP(Y499/20,0),"")</f>
        <v/>
      </c>
      <c r="AK499" s="11">
        <f>IF(ROUNDUP(Z499/20,0)&gt;ROUNDUP(Z498/20,0),"Lần " &amp; ROUNDUP(Z499/20,0),"")</f>
        <v/>
      </c>
      <c r="AL499" s="6" t="n"/>
      <c r="AN499" t="inlineStr">
        <is>
          <t>Coc</t>
        </is>
      </c>
      <c r="AO499" t="n">
        <v>10</v>
      </c>
    </row>
    <row r="500" ht="19" customHeight="1">
      <c r="A500" s="6" t="n">
        <v>477</v>
      </c>
      <c r="B500" s="7" t="inlineStr">
        <is>
          <t>Cọc khoan nhồi C4 Trụ T1 (D1.2m, L=40.0m)</t>
        </is>
      </c>
      <c r="C500" s="7" t="inlineStr">
        <is>
          <t>Cọc trụ T1 L=40m (tr.68)</t>
        </is>
      </c>
      <c r="D500" s="18" t="inlineStr">
        <is>
          <t>P7</t>
        </is>
      </c>
      <c r="E500" s="19" t="n">
        <v>25</v>
      </c>
      <c r="F500" s="6" t="inlineStr">
        <is>
          <t>CB400-V</t>
        </is>
      </c>
      <c r="G500" s="7" t="inlineStr"/>
      <c r="H500" s="20" t="n">
        <v>10.033</v>
      </c>
      <c r="I500" s="21" t="n">
        <v>12</v>
      </c>
      <c r="J500" s="22" t="n">
        <v>3.853</v>
      </c>
      <c r="K500" s="9">
        <f>ROUND(H500*I500*J500, 2)</f>
        <v/>
      </c>
      <c r="L500" s="23">
        <f>ROUND(K500/1000, 3)</f>
        <v/>
      </c>
      <c r="M500" s="8">
        <f>IF(AO500="","",IF(INDEX(Theo_Doi_Tan_Suat_Be_Tong!$C:$C,AO500)="","",INDEX(Theo_Doi_Tan_Suat_Be_Tong!$C:$C,AO500)-VLOOKUP(AN500,$AQ$2:$AR$7,2,FALSE)))</f>
        <v/>
      </c>
      <c r="N500" s="6" t="n"/>
      <c r="O500" s="24">
        <f>IF(ROUNDUP(W500/20,0)&gt;ROUNDUP(W499/20,0),"TN Ø25 (Lần " &amp; ROUNDUP(W500/20,0) &amp; ")","")</f>
        <v/>
      </c>
      <c r="P500" s="20">
        <f>ROUND(P499+IF(AND(E500&lt;=10,F500&lt;&gt;"ASTM A416"),L500,0),3)</f>
        <v/>
      </c>
      <c r="Q500" s="20">
        <f>ROUND(Q499+IF(AND(E500=12,F500&lt;&gt;"ASTM A416"),L500,0),3)</f>
        <v/>
      </c>
      <c r="R500" s="20">
        <f>ROUND(R499+IF(AND(E500=14,F500&lt;&gt;"ASTM A416"),L500,0),3)</f>
        <v/>
      </c>
      <c r="S500" s="20">
        <f>ROUND(S499+IF(AND(E500=16,F500&lt;&gt;"ASTM A416"),L500,0),3)</f>
        <v/>
      </c>
      <c r="T500" s="20">
        <f>ROUND(T499+IF(AND(E500=18,F500&lt;&gt;"ASTM A416"),L500,0),3)</f>
        <v/>
      </c>
      <c r="U500" s="20">
        <f>ROUND(U499+IF(AND(E500=20,F500&lt;&gt;"ASTM A416"),L500,0),3)</f>
        <v/>
      </c>
      <c r="V500" s="20">
        <f>ROUND(V499+IF(AND(E500=22,F500&lt;&gt;"ASTM A416"),L500,0),3)</f>
        <v/>
      </c>
      <c r="W500" s="20">
        <f>ROUND(W499+IF(AND(E500=25,F500&lt;&gt;"ASTM A416"),L500,0),3)</f>
        <v/>
      </c>
      <c r="X500" s="20">
        <f>ROUND(X499+IF(AND(E500=28,F500&lt;&gt;"ASTM A416"),L500,0),3)</f>
        <v/>
      </c>
      <c r="Y500" s="20">
        <f>ROUND(Y499+IF(AND(E500=32,F500&lt;&gt;"ASTM A416"),L500,0),3)</f>
        <v/>
      </c>
      <c r="Z500" s="20">
        <f>ROUND(Z499+IF(F500="ASTM A416",L500,0),3)</f>
        <v/>
      </c>
      <c r="AA500" s="11">
        <f>IF(ROUNDUP(P500/20,0)&gt;ROUNDUP(P499/20,0),"Lần " &amp; ROUNDUP(P500/20,0),"")</f>
        <v/>
      </c>
      <c r="AB500" s="11">
        <f>IF(ROUNDUP(Q500/20,0)&gt;ROUNDUP(Q499/20,0),"Lần " &amp; ROUNDUP(Q500/20,0),"")</f>
        <v/>
      </c>
      <c r="AC500" s="11">
        <f>IF(ROUNDUP(R500/20,0)&gt;ROUNDUP(R499/20,0),"Lần " &amp; ROUNDUP(R500/20,0),"")</f>
        <v/>
      </c>
      <c r="AD500" s="11">
        <f>IF(ROUNDUP(S500/20,0)&gt;ROUNDUP(S499/20,0),"Lần " &amp; ROUNDUP(S500/20,0),"")</f>
        <v/>
      </c>
      <c r="AE500" s="11">
        <f>IF(ROUNDUP(T500/20,0)&gt;ROUNDUP(T499/20,0),"Lần " &amp; ROUNDUP(T500/20,0),"")</f>
        <v/>
      </c>
      <c r="AF500" s="11">
        <f>IF(ROUNDUP(U500/20,0)&gt;ROUNDUP(U499/20,0),"Lần " &amp; ROUNDUP(U500/20,0),"")</f>
        <v/>
      </c>
      <c r="AG500" s="11">
        <f>IF(ROUNDUP(V500/20,0)&gt;ROUNDUP(V499/20,0),"Lần " &amp; ROUNDUP(V500/20,0),"")</f>
        <v/>
      </c>
      <c r="AH500" s="11">
        <f>IF(ROUNDUP(W500/20,0)&gt;ROUNDUP(W499/20,0),"Lần " &amp; ROUNDUP(W500/20,0),"")</f>
        <v/>
      </c>
      <c r="AI500" s="11">
        <f>IF(ROUNDUP(X500/20,0)&gt;ROUNDUP(X499/20,0),"Lần " &amp; ROUNDUP(X500/20,0),"")</f>
        <v/>
      </c>
      <c r="AJ500" s="11">
        <f>IF(ROUNDUP(Y500/20,0)&gt;ROUNDUP(Y499/20,0),"Lần " &amp; ROUNDUP(Y500/20,0),"")</f>
        <v/>
      </c>
      <c r="AK500" s="11">
        <f>IF(ROUNDUP(Z500/20,0)&gt;ROUNDUP(Z499/20,0),"Lần " &amp; ROUNDUP(Z500/20,0),"")</f>
        <v/>
      </c>
      <c r="AL500" s="6" t="n"/>
      <c r="AN500" t="inlineStr">
        <is>
          <t>Coc</t>
        </is>
      </c>
      <c r="AO500" t="n">
        <v>10</v>
      </c>
    </row>
    <row r="501" ht="19" customHeight="1">
      <c r="A501" s="6" t="n">
        <v>478</v>
      </c>
      <c r="B501" s="7" t="inlineStr">
        <is>
          <t>Cọc khoan nhồi C4 Trụ T1 (D1.2m, L=40.0m)</t>
        </is>
      </c>
      <c r="C501" s="7" t="inlineStr">
        <is>
          <t>Cọc trụ T1 L=40m (tr.68)</t>
        </is>
      </c>
      <c r="D501" s="18" t="inlineStr">
        <is>
          <t>P8</t>
        </is>
      </c>
      <c r="E501" s="19" t="n">
        <v>12</v>
      </c>
      <c r="F501" s="6" t="inlineStr">
        <is>
          <t>CB400-V</t>
        </is>
      </c>
      <c r="G501" s="7" t="inlineStr"/>
      <c r="H501" s="20" t="n">
        <v>0.647</v>
      </c>
      <c r="I501" s="21" t="n">
        <v>16</v>
      </c>
      <c r="J501" s="22" t="n">
        <v>0.888</v>
      </c>
      <c r="K501" s="9">
        <f>ROUND(H501*I501*J501, 2)</f>
        <v/>
      </c>
      <c r="L501" s="23">
        <f>ROUND(K501/1000, 3)</f>
        <v/>
      </c>
      <c r="M501" s="8">
        <f>IF(AO501="","",IF(INDEX(Theo_Doi_Tan_Suat_Be_Tong!$C:$C,AO501)="","",INDEX(Theo_Doi_Tan_Suat_Be_Tong!$C:$C,AO501)-VLOOKUP(AN501,$AQ$2:$AR$7,2,FALSE)))</f>
        <v/>
      </c>
      <c r="N501" s="6" t="n"/>
      <c r="O501" s="24">
        <f>IF(ROUNDUP(Q501/20,0)&gt;ROUNDUP(Q500/20,0),"TN Ø12 (Lần " &amp; ROUNDUP(Q501/20,0) &amp; ")","")</f>
        <v/>
      </c>
      <c r="P501" s="20">
        <f>ROUND(P500+IF(AND(E501&lt;=10,F501&lt;&gt;"ASTM A416"),L501,0),3)</f>
        <v/>
      </c>
      <c r="Q501" s="20">
        <f>ROUND(Q500+IF(AND(E501=12,F501&lt;&gt;"ASTM A416"),L501,0),3)</f>
        <v/>
      </c>
      <c r="R501" s="20">
        <f>ROUND(R500+IF(AND(E501=14,F501&lt;&gt;"ASTM A416"),L501,0),3)</f>
        <v/>
      </c>
      <c r="S501" s="20">
        <f>ROUND(S500+IF(AND(E501=16,F501&lt;&gt;"ASTM A416"),L501,0),3)</f>
        <v/>
      </c>
      <c r="T501" s="20">
        <f>ROUND(T500+IF(AND(E501=18,F501&lt;&gt;"ASTM A416"),L501,0),3)</f>
        <v/>
      </c>
      <c r="U501" s="20">
        <f>ROUND(U500+IF(AND(E501=20,F501&lt;&gt;"ASTM A416"),L501,0),3)</f>
        <v/>
      </c>
      <c r="V501" s="20">
        <f>ROUND(V500+IF(AND(E501=22,F501&lt;&gt;"ASTM A416"),L501,0),3)</f>
        <v/>
      </c>
      <c r="W501" s="20">
        <f>ROUND(W500+IF(AND(E501=25,F501&lt;&gt;"ASTM A416"),L501,0),3)</f>
        <v/>
      </c>
      <c r="X501" s="20">
        <f>ROUND(X500+IF(AND(E501=28,F501&lt;&gt;"ASTM A416"),L501,0),3)</f>
        <v/>
      </c>
      <c r="Y501" s="20">
        <f>ROUND(Y500+IF(AND(E501=32,F501&lt;&gt;"ASTM A416"),L501,0),3)</f>
        <v/>
      </c>
      <c r="Z501" s="20">
        <f>ROUND(Z500+IF(F501="ASTM A416",L501,0),3)</f>
        <v/>
      </c>
      <c r="AA501" s="11">
        <f>IF(ROUNDUP(P501/20,0)&gt;ROUNDUP(P500/20,0),"Lần " &amp; ROUNDUP(P501/20,0),"")</f>
        <v/>
      </c>
      <c r="AB501" s="11">
        <f>IF(ROUNDUP(Q501/20,0)&gt;ROUNDUP(Q500/20,0),"Lần " &amp; ROUNDUP(Q501/20,0),"")</f>
        <v/>
      </c>
      <c r="AC501" s="11">
        <f>IF(ROUNDUP(R501/20,0)&gt;ROUNDUP(R500/20,0),"Lần " &amp; ROUNDUP(R501/20,0),"")</f>
        <v/>
      </c>
      <c r="AD501" s="11">
        <f>IF(ROUNDUP(S501/20,0)&gt;ROUNDUP(S500/20,0),"Lần " &amp; ROUNDUP(S501/20,0),"")</f>
        <v/>
      </c>
      <c r="AE501" s="11">
        <f>IF(ROUNDUP(T501/20,0)&gt;ROUNDUP(T500/20,0),"Lần " &amp; ROUNDUP(T501/20,0),"")</f>
        <v/>
      </c>
      <c r="AF501" s="11">
        <f>IF(ROUNDUP(U501/20,0)&gt;ROUNDUP(U500/20,0),"Lần " &amp; ROUNDUP(U501/20,0),"")</f>
        <v/>
      </c>
      <c r="AG501" s="11">
        <f>IF(ROUNDUP(V501/20,0)&gt;ROUNDUP(V500/20,0),"Lần " &amp; ROUNDUP(V501/20,0),"")</f>
        <v/>
      </c>
      <c r="AH501" s="11">
        <f>IF(ROUNDUP(W501/20,0)&gt;ROUNDUP(W500/20,0),"Lần " &amp; ROUNDUP(W501/20,0),"")</f>
        <v/>
      </c>
      <c r="AI501" s="11">
        <f>IF(ROUNDUP(X501/20,0)&gt;ROUNDUP(X500/20,0),"Lần " &amp; ROUNDUP(X501/20,0),"")</f>
        <v/>
      </c>
      <c r="AJ501" s="11">
        <f>IF(ROUNDUP(Y501/20,0)&gt;ROUNDUP(Y500/20,0),"Lần " &amp; ROUNDUP(Y501/20,0),"")</f>
        <v/>
      </c>
      <c r="AK501" s="11">
        <f>IF(ROUNDUP(Z501/20,0)&gt;ROUNDUP(Z500/20,0),"Lần " &amp; ROUNDUP(Z501/20,0),"")</f>
        <v/>
      </c>
      <c r="AL501" s="6" t="n"/>
      <c r="AN501" t="inlineStr">
        <is>
          <t>Coc</t>
        </is>
      </c>
      <c r="AO501" t="n">
        <v>10</v>
      </c>
    </row>
    <row r="502" ht="19" customHeight="1">
      <c r="A502" s="6" t="n">
        <v>479</v>
      </c>
      <c r="B502" s="7" t="inlineStr">
        <is>
          <t>Cọc khoan nhồi C4 Trụ T1 (D1.2m, L=40.0m)</t>
        </is>
      </c>
      <c r="C502" s="7" t="inlineStr">
        <is>
          <t>Cọc trụ T1 L=40m (tr.68)</t>
        </is>
      </c>
      <c r="D502" s="18" t="inlineStr">
        <is>
          <t>P9</t>
        </is>
      </c>
      <c r="E502" s="19" t="n">
        <v>12</v>
      </c>
      <c r="F502" s="6" t="inlineStr">
        <is>
          <t>CB400-V</t>
        </is>
      </c>
      <c r="G502" s="7" t="inlineStr"/>
      <c r="H502" s="20" t="n">
        <v>0.379</v>
      </c>
      <c r="I502" s="21" t="n">
        <v>48</v>
      </c>
      <c r="J502" s="22" t="n">
        <v>0.888</v>
      </c>
      <c r="K502" s="9">
        <f>ROUND(H502*I502*J502, 2)</f>
        <v/>
      </c>
      <c r="L502" s="23">
        <f>ROUND(K502/1000, 3)</f>
        <v/>
      </c>
      <c r="M502" s="8">
        <f>IF(AO502="","",IF(INDEX(Theo_Doi_Tan_Suat_Be_Tong!$C:$C,AO502)="","",INDEX(Theo_Doi_Tan_Suat_Be_Tong!$C:$C,AO502)-VLOOKUP(AN502,$AQ$2:$AR$7,2,FALSE)))</f>
        <v/>
      </c>
      <c r="N502" s="6" t="n"/>
      <c r="O502" s="24">
        <f>IF(ROUNDUP(Q502/20,0)&gt;ROUNDUP(Q501/20,0),"TN Ø12 (Lần " &amp; ROUNDUP(Q502/20,0) &amp; ")","")</f>
        <v/>
      </c>
      <c r="P502" s="20">
        <f>ROUND(P501+IF(AND(E502&lt;=10,F502&lt;&gt;"ASTM A416"),L502,0),3)</f>
        <v/>
      </c>
      <c r="Q502" s="20">
        <f>ROUND(Q501+IF(AND(E502=12,F502&lt;&gt;"ASTM A416"),L502,0),3)</f>
        <v/>
      </c>
      <c r="R502" s="20">
        <f>ROUND(R501+IF(AND(E502=14,F502&lt;&gt;"ASTM A416"),L502,0),3)</f>
        <v/>
      </c>
      <c r="S502" s="20">
        <f>ROUND(S501+IF(AND(E502=16,F502&lt;&gt;"ASTM A416"),L502,0),3)</f>
        <v/>
      </c>
      <c r="T502" s="20">
        <f>ROUND(T501+IF(AND(E502=18,F502&lt;&gt;"ASTM A416"),L502,0),3)</f>
        <v/>
      </c>
      <c r="U502" s="20">
        <f>ROUND(U501+IF(AND(E502=20,F502&lt;&gt;"ASTM A416"),L502,0),3)</f>
        <v/>
      </c>
      <c r="V502" s="20">
        <f>ROUND(V501+IF(AND(E502=22,F502&lt;&gt;"ASTM A416"),L502,0),3)</f>
        <v/>
      </c>
      <c r="W502" s="20">
        <f>ROUND(W501+IF(AND(E502=25,F502&lt;&gt;"ASTM A416"),L502,0),3)</f>
        <v/>
      </c>
      <c r="X502" s="20">
        <f>ROUND(X501+IF(AND(E502=28,F502&lt;&gt;"ASTM A416"),L502,0),3)</f>
        <v/>
      </c>
      <c r="Y502" s="20">
        <f>ROUND(Y501+IF(AND(E502=32,F502&lt;&gt;"ASTM A416"),L502,0),3)</f>
        <v/>
      </c>
      <c r="Z502" s="20">
        <f>ROUND(Z501+IF(F502="ASTM A416",L502,0),3)</f>
        <v/>
      </c>
      <c r="AA502" s="11">
        <f>IF(ROUNDUP(P502/20,0)&gt;ROUNDUP(P501/20,0),"Lần " &amp; ROUNDUP(P502/20,0),"")</f>
        <v/>
      </c>
      <c r="AB502" s="11">
        <f>IF(ROUNDUP(Q502/20,0)&gt;ROUNDUP(Q501/20,0),"Lần " &amp; ROUNDUP(Q502/20,0),"")</f>
        <v/>
      </c>
      <c r="AC502" s="11">
        <f>IF(ROUNDUP(R502/20,0)&gt;ROUNDUP(R501/20,0),"Lần " &amp; ROUNDUP(R502/20,0),"")</f>
        <v/>
      </c>
      <c r="AD502" s="11">
        <f>IF(ROUNDUP(S502/20,0)&gt;ROUNDUP(S501/20,0),"Lần " &amp; ROUNDUP(S502/20,0),"")</f>
        <v/>
      </c>
      <c r="AE502" s="11">
        <f>IF(ROUNDUP(T502/20,0)&gt;ROUNDUP(T501/20,0),"Lần " &amp; ROUNDUP(T502/20,0),"")</f>
        <v/>
      </c>
      <c r="AF502" s="11">
        <f>IF(ROUNDUP(U502/20,0)&gt;ROUNDUP(U501/20,0),"Lần " &amp; ROUNDUP(U502/20,0),"")</f>
        <v/>
      </c>
      <c r="AG502" s="11">
        <f>IF(ROUNDUP(V502/20,0)&gt;ROUNDUP(V501/20,0),"Lần " &amp; ROUNDUP(V502/20,0),"")</f>
        <v/>
      </c>
      <c r="AH502" s="11">
        <f>IF(ROUNDUP(W502/20,0)&gt;ROUNDUP(W501/20,0),"Lần " &amp; ROUNDUP(W502/20,0),"")</f>
        <v/>
      </c>
      <c r="AI502" s="11">
        <f>IF(ROUNDUP(X502/20,0)&gt;ROUNDUP(X501/20,0),"Lần " &amp; ROUNDUP(X502/20,0),"")</f>
        <v/>
      </c>
      <c r="AJ502" s="11">
        <f>IF(ROUNDUP(Y502/20,0)&gt;ROUNDUP(Y501/20,0),"Lần " &amp; ROUNDUP(Y502/20,0),"")</f>
        <v/>
      </c>
      <c r="AK502" s="11">
        <f>IF(ROUNDUP(Z502/20,0)&gt;ROUNDUP(Z501/20,0),"Lần " &amp; ROUNDUP(Z502/20,0),"")</f>
        <v/>
      </c>
      <c r="AL502" s="6" t="n"/>
      <c r="AN502" t="inlineStr">
        <is>
          <t>Coc</t>
        </is>
      </c>
      <c r="AO502" t="n">
        <v>10</v>
      </c>
    </row>
    <row r="503" ht="19" customHeight="1">
      <c r="A503" s="6" t="n">
        <v>480</v>
      </c>
      <c r="B503" s="7" t="inlineStr">
        <is>
          <t>Cọc khoan nhồi C4 Trụ T1 (D1.2m, L=40.0m)</t>
        </is>
      </c>
      <c r="C503" s="7" t="inlineStr">
        <is>
          <t>Cọc trụ T1 L=40m (tr.68)</t>
        </is>
      </c>
      <c r="D503" s="18" t="inlineStr">
        <is>
          <t>P10</t>
        </is>
      </c>
      <c r="E503" s="19" t="n">
        <v>20</v>
      </c>
      <c r="F503" s="6" t="inlineStr">
        <is>
          <t>CB400-V</t>
        </is>
      </c>
      <c r="G503" s="7" t="inlineStr"/>
      <c r="H503" s="20" t="n">
        <v>2.057</v>
      </c>
      <c r="I503" s="21" t="n">
        <v>1</v>
      </c>
      <c r="J503" s="22" t="n">
        <v>2.466</v>
      </c>
      <c r="K503" s="9">
        <f>ROUND(H503*I503*J503, 2)</f>
        <v/>
      </c>
      <c r="L503" s="23">
        <f>ROUND(K503/1000, 3)</f>
        <v/>
      </c>
      <c r="M503" s="8">
        <f>IF(AO503="","",IF(INDEX(Theo_Doi_Tan_Suat_Be_Tong!$C:$C,AO503)="","",INDEX(Theo_Doi_Tan_Suat_Be_Tong!$C:$C,AO503)-VLOOKUP(AN503,$AQ$2:$AR$7,2,FALSE)))</f>
        <v/>
      </c>
      <c r="N503" s="6" t="n"/>
      <c r="O503" s="24">
        <f>IF(ROUNDUP(U503/20,0)&gt;ROUNDUP(U502/20,0),"TN Ø20 (Lần " &amp; ROUNDUP(U503/20,0) &amp; ")","")</f>
        <v/>
      </c>
      <c r="P503" s="20">
        <f>ROUND(P502+IF(AND(E503&lt;=10,F503&lt;&gt;"ASTM A416"),L503,0),3)</f>
        <v/>
      </c>
      <c r="Q503" s="20">
        <f>ROUND(Q502+IF(AND(E503=12,F503&lt;&gt;"ASTM A416"),L503,0),3)</f>
        <v/>
      </c>
      <c r="R503" s="20">
        <f>ROUND(R502+IF(AND(E503=14,F503&lt;&gt;"ASTM A416"),L503,0),3)</f>
        <v/>
      </c>
      <c r="S503" s="20">
        <f>ROUND(S502+IF(AND(E503=16,F503&lt;&gt;"ASTM A416"),L503,0),3)</f>
        <v/>
      </c>
      <c r="T503" s="20">
        <f>ROUND(T502+IF(AND(E503=18,F503&lt;&gt;"ASTM A416"),L503,0),3)</f>
        <v/>
      </c>
      <c r="U503" s="20">
        <f>ROUND(U502+IF(AND(E503=20,F503&lt;&gt;"ASTM A416"),L503,0),3)</f>
        <v/>
      </c>
      <c r="V503" s="20">
        <f>ROUND(V502+IF(AND(E503=22,F503&lt;&gt;"ASTM A416"),L503,0),3)</f>
        <v/>
      </c>
      <c r="W503" s="20">
        <f>ROUND(W502+IF(AND(E503=25,F503&lt;&gt;"ASTM A416"),L503,0),3)</f>
        <v/>
      </c>
      <c r="X503" s="20">
        <f>ROUND(X502+IF(AND(E503=28,F503&lt;&gt;"ASTM A416"),L503,0),3)</f>
        <v/>
      </c>
      <c r="Y503" s="20">
        <f>ROUND(Y502+IF(AND(E503=32,F503&lt;&gt;"ASTM A416"),L503,0),3)</f>
        <v/>
      </c>
      <c r="Z503" s="20">
        <f>ROUND(Z502+IF(F503="ASTM A416",L503,0),3)</f>
        <v/>
      </c>
      <c r="AA503" s="11">
        <f>IF(ROUNDUP(P503/20,0)&gt;ROUNDUP(P502/20,0),"Lần " &amp; ROUNDUP(P503/20,0),"")</f>
        <v/>
      </c>
      <c r="AB503" s="11">
        <f>IF(ROUNDUP(Q503/20,0)&gt;ROUNDUP(Q502/20,0),"Lần " &amp; ROUNDUP(Q503/20,0),"")</f>
        <v/>
      </c>
      <c r="AC503" s="11">
        <f>IF(ROUNDUP(R503/20,0)&gt;ROUNDUP(R502/20,0),"Lần " &amp; ROUNDUP(R503/20,0),"")</f>
        <v/>
      </c>
      <c r="AD503" s="11">
        <f>IF(ROUNDUP(S503/20,0)&gt;ROUNDUP(S502/20,0),"Lần " &amp; ROUNDUP(S503/20,0),"")</f>
        <v/>
      </c>
      <c r="AE503" s="11">
        <f>IF(ROUNDUP(T503/20,0)&gt;ROUNDUP(T502/20,0),"Lần " &amp; ROUNDUP(T503/20,0),"")</f>
        <v/>
      </c>
      <c r="AF503" s="11">
        <f>IF(ROUNDUP(U503/20,0)&gt;ROUNDUP(U502/20,0),"Lần " &amp; ROUNDUP(U503/20,0),"")</f>
        <v/>
      </c>
      <c r="AG503" s="11">
        <f>IF(ROUNDUP(V503/20,0)&gt;ROUNDUP(V502/20,0),"Lần " &amp; ROUNDUP(V503/20,0),"")</f>
        <v/>
      </c>
      <c r="AH503" s="11">
        <f>IF(ROUNDUP(W503/20,0)&gt;ROUNDUP(W502/20,0),"Lần " &amp; ROUNDUP(W503/20,0),"")</f>
        <v/>
      </c>
      <c r="AI503" s="11">
        <f>IF(ROUNDUP(X503/20,0)&gt;ROUNDUP(X502/20,0),"Lần " &amp; ROUNDUP(X503/20,0),"")</f>
        <v/>
      </c>
      <c r="AJ503" s="11">
        <f>IF(ROUNDUP(Y503/20,0)&gt;ROUNDUP(Y502/20,0),"Lần " &amp; ROUNDUP(Y503/20,0),"")</f>
        <v/>
      </c>
      <c r="AK503" s="11">
        <f>IF(ROUNDUP(Z503/20,0)&gt;ROUNDUP(Z502/20,0),"Lần " &amp; ROUNDUP(Z503/20,0),"")</f>
        <v/>
      </c>
      <c r="AL503" s="6" t="n"/>
      <c r="AN503" t="inlineStr">
        <is>
          <t>Coc</t>
        </is>
      </c>
      <c r="AO503" t="n">
        <v>10</v>
      </c>
    </row>
    <row r="504" ht="19" customHeight="1">
      <c r="A504" s="6" t="n">
        <v>481</v>
      </c>
      <c r="B504" s="7" t="inlineStr">
        <is>
          <t>Cọc khoan nhồi C4 Trụ T1 (D1.2m, L=40.0m)</t>
        </is>
      </c>
      <c r="C504" s="7" t="inlineStr">
        <is>
          <t>Cọc trụ T1 L=40m (tr.68)</t>
        </is>
      </c>
      <c r="D504" s="18" t="inlineStr">
        <is>
          <t>P12</t>
        </is>
      </c>
      <c r="E504" s="19" t="n">
        <v>20</v>
      </c>
      <c r="F504" s="6" t="inlineStr">
        <is>
          <t>CB400-V</t>
        </is>
      </c>
      <c r="G504" s="7" t="inlineStr"/>
      <c r="H504" s="20" t="n">
        <v>0.583</v>
      </c>
      <c r="I504" s="21" t="n">
        <v>64</v>
      </c>
      <c r="J504" s="22" t="n">
        <v>2.466</v>
      </c>
      <c r="K504" s="9">
        <f>ROUND(H504*I504*J504, 2)</f>
        <v/>
      </c>
      <c r="L504" s="23">
        <f>ROUND(K504/1000, 3)</f>
        <v/>
      </c>
      <c r="M504" s="8">
        <f>IF(AO504="","",IF(INDEX(Theo_Doi_Tan_Suat_Be_Tong!$C:$C,AO504)="","",INDEX(Theo_Doi_Tan_Suat_Be_Tong!$C:$C,AO504)-VLOOKUP(AN504,$AQ$2:$AR$7,2,FALSE)))</f>
        <v/>
      </c>
      <c r="N504" s="6" t="n"/>
      <c r="O504" s="24">
        <f>IF(ROUNDUP(U504/20,0)&gt;ROUNDUP(U503/20,0),"TN Ø20 (Lần " &amp; ROUNDUP(U504/20,0) &amp; ")","")</f>
        <v/>
      </c>
      <c r="P504" s="20">
        <f>ROUND(P503+IF(AND(E504&lt;=10,F504&lt;&gt;"ASTM A416"),L504,0),3)</f>
        <v/>
      </c>
      <c r="Q504" s="20">
        <f>ROUND(Q503+IF(AND(E504=12,F504&lt;&gt;"ASTM A416"),L504,0),3)</f>
        <v/>
      </c>
      <c r="R504" s="20">
        <f>ROUND(R503+IF(AND(E504=14,F504&lt;&gt;"ASTM A416"),L504,0),3)</f>
        <v/>
      </c>
      <c r="S504" s="20">
        <f>ROUND(S503+IF(AND(E504=16,F504&lt;&gt;"ASTM A416"),L504,0),3)</f>
        <v/>
      </c>
      <c r="T504" s="20">
        <f>ROUND(T503+IF(AND(E504=18,F504&lt;&gt;"ASTM A416"),L504,0),3)</f>
        <v/>
      </c>
      <c r="U504" s="20">
        <f>ROUND(U503+IF(AND(E504=20,F504&lt;&gt;"ASTM A416"),L504,0),3)</f>
        <v/>
      </c>
      <c r="V504" s="20">
        <f>ROUND(V503+IF(AND(E504=22,F504&lt;&gt;"ASTM A416"),L504,0),3)</f>
        <v/>
      </c>
      <c r="W504" s="20">
        <f>ROUND(W503+IF(AND(E504=25,F504&lt;&gt;"ASTM A416"),L504,0),3)</f>
        <v/>
      </c>
      <c r="X504" s="20">
        <f>ROUND(X503+IF(AND(E504=28,F504&lt;&gt;"ASTM A416"),L504,0),3)</f>
        <v/>
      </c>
      <c r="Y504" s="20">
        <f>ROUND(Y503+IF(AND(E504=32,F504&lt;&gt;"ASTM A416"),L504,0),3)</f>
        <v/>
      </c>
      <c r="Z504" s="20">
        <f>ROUND(Z503+IF(F504="ASTM A416",L504,0),3)</f>
        <v/>
      </c>
      <c r="AA504" s="11">
        <f>IF(ROUNDUP(P504/20,0)&gt;ROUNDUP(P503/20,0),"Lần " &amp; ROUNDUP(P504/20,0),"")</f>
        <v/>
      </c>
      <c r="AB504" s="11">
        <f>IF(ROUNDUP(Q504/20,0)&gt;ROUNDUP(Q503/20,0),"Lần " &amp; ROUNDUP(Q504/20,0),"")</f>
        <v/>
      </c>
      <c r="AC504" s="11">
        <f>IF(ROUNDUP(R504/20,0)&gt;ROUNDUP(R503/20,0),"Lần " &amp; ROUNDUP(R504/20,0),"")</f>
        <v/>
      </c>
      <c r="AD504" s="11">
        <f>IF(ROUNDUP(S504/20,0)&gt;ROUNDUP(S503/20,0),"Lần " &amp; ROUNDUP(S504/20,0),"")</f>
        <v/>
      </c>
      <c r="AE504" s="11">
        <f>IF(ROUNDUP(T504/20,0)&gt;ROUNDUP(T503/20,0),"Lần " &amp; ROUNDUP(T504/20,0),"")</f>
        <v/>
      </c>
      <c r="AF504" s="11">
        <f>IF(ROUNDUP(U504/20,0)&gt;ROUNDUP(U503/20,0),"Lần " &amp; ROUNDUP(U504/20,0),"")</f>
        <v/>
      </c>
      <c r="AG504" s="11">
        <f>IF(ROUNDUP(V504/20,0)&gt;ROUNDUP(V503/20,0),"Lần " &amp; ROUNDUP(V504/20,0),"")</f>
        <v/>
      </c>
      <c r="AH504" s="11">
        <f>IF(ROUNDUP(W504/20,0)&gt;ROUNDUP(W503/20,0),"Lần " &amp; ROUNDUP(W504/20,0),"")</f>
        <v/>
      </c>
      <c r="AI504" s="11">
        <f>IF(ROUNDUP(X504/20,0)&gt;ROUNDUP(X503/20,0),"Lần " &amp; ROUNDUP(X504/20,0),"")</f>
        <v/>
      </c>
      <c r="AJ504" s="11">
        <f>IF(ROUNDUP(Y504/20,0)&gt;ROUNDUP(Y503/20,0),"Lần " &amp; ROUNDUP(Y504/20,0),"")</f>
        <v/>
      </c>
      <c r="AK504" s="11">
        <f>IF(ROUNDUP(Z504/20,0)&gt;ROUNDUP(Z503/20,0),"Lần " &amp; ROUNDUP(Z504/20,0),"")</f>
        <v/>
      </c>
      <c r="AL504" s="6" t="n"/>
      <c r="AN504" t="inlineStr">
        <is>
          <t>Coc</t>
        </is>
      </c>
      <c r="AO504" t="n">
        <v>10</v>
      </c>
    </row>
    <row r="505" ht="19" customHeight="1">
      <c r="A505" s="6" t="n">
        <v>482</v>
      </c>
      <c r="B505" s="7" t="inlineStr">
        <is>
          <t>Cọc khoan nhồi C4 Trụ T1 (D1.2m, L=40.0m)</t>
        </is>
      </c>
      <c r="C505" s="7" t="inlineStr">
        <is>
          <t>Cọc trụ T1 L=40m (tr.68)</t>
        </is>
      </c>
      <c r="D505" s="18" t="inlineStr">
        <is>
          <t>P11</t>
        </is>
      </c>
      <c r="E505" s="19" t="n">
        <v>16</v>
      </c>
      <c r="F505" s="6" t="inlineStr">
        <is>
          <t>CB400-V</t>
        </is>
      </c>
      <c r="G505" s="7" t="inlineStr"/>
      <c r="H505" s="20" t="n">
        <v>2.604</v>
      </c>
      <c r="I505" s="21" t="n">
        <v>4</v>
      </c>
      <c r="J505" s="22" t="n">
        <v>1.578</v>
      </c>
      <c r="K505" s="9">
        <f>ROUND(H505*I505*J505, 2)</f>
        <v/>
      </c>
      <c r="L505" s="23">
        <f>ROUND(K505/1000, 3)</f>
        <v/>
      </c>
      <c r="M505" s="8">
        <f>IF(AO505="","",IF(INDEX(Theo_Doi_Tan_Suat_Be_Tong!$C:$C,AO505)="","",INDEX(Theo_Doi_Tan_Suat_Be_Tong!$C:$C,AO505)-VLOOKUP(AN505,$AQ$2:$AR$7,2,FALSE)))</f>
        <v/>
      </c>
      <c r="N505" s="6" t="n"/>
      <c r="O505" s="24">
        <f>IF(ROUNDUP(S505/20,0)&gt;ROUNDUP(S504/20,0),"TN Ø16 (Lần " &amp; ROUNDUP(S505/20,0) &amp; ")","")</f>
        <v/>
      </c>
      <c r="P505" s="20">
        <f>ROUND(P504+IF(AND(E505&lt;=10,F505&lt;&gt;"ASTM A416"),L505,0),3)</f>
        <v/>
      </c>
      <c r="Q505" s="20">
        <f>ROUND(Q504+IF(AND(E505=12,F505&lt;&gt;"ASTM A416"),L505,0),3)</f>
        <v/>
      </c>
      <c r="R505" s="20">
        <f>ROUND(R504+IF(AND(E505=14,F505&lt;&gt;"ASTM A416"),L505,0),3)</f>
        <v/>
      </c>
      <c r="S505" s="20">
        <f>ROUND(S504+IF(AND(E505=16,F505&lt;&gt;"ASTM A416"),L505,0),3)</f>
        <v/>
      </c>
      <c r="T505" s="20">
        <f>ROUND(T504+IF(AND(E505=18,F505&lt;&gt;"ASTM A416"),L505,0),3)</f>
        <v/>
      </c>
      <c r="U505" s="20">
        <f>ROUND(U504+IF(AND(E505=20,F505&lt;&gt;"ASTM A416"),L505,0),3)</f>
        <v/>
      </c>
      <c r="V505" s="20">
        <f>ROUND(V504+IF(AND(E505=22,F505&lt;&gt;"ASTM A416"),L505,0),3)</f>
        <v/>
      </c>
      <c r="W505" s="20">
        <f>ROUND(W504+IF(AND(E505=25,F505&lt;&gt;"ASTM A416"),L505,0),3)</f>
        <v/>
      </c>
      <c r="X505" s="20">
        <f>ROUND(X504+IF(AND(E505=28,F505&lt;&gt;"ASTM A416"),L505,0),3)</f>
        <v/>
      </c>
      <c r="Y505" s="20">
        <f>ROUND(Y504+IF(AND(E505=32,F505&lt;&gt;"ASTM A416"),L505,0),3)</f>
        <v/>
      </c>
      <c r="Z505" s="20">
        <f>ROUND(Z504+IF(F505="ASTM A416",L505,0),3)</f>
        <v/>
      </c>
      <c r="AA505" s="11">
        <f>IF(ROUNDUP(P505/20,0)&gt;ROUNDUP(P504/20,0),"Lần " &amp; ROUNDUP(P505/20,0),"")</f>
        <v/>
      </c>
      <c r="AB505" s="11">
        <f>IF(ROUNDUP(Q505/20,0)&gt;ROUNDUP(Q504/20,0),"Lần " &amp; ROUNDUP(Q505/20,0),"")</f>
        <v/>
      </c>
      <c r="AC505" s="11">
        <f>IF(ROUNDUP(R505/20,0)&gt;ROUNDUP(R504/20,0),"Lần " &amp; ROUNDUP(R505/20,0),"")</f>
        <v/>
      </c>
      <c r="AD505" s="11">
        <f>IF(ROUNDUP(S505/20,0)&gt;ROUNDUP(S504/20,0),"Lần " &amp; ROUNDUP(S505/20,0),"")</f>
        <v/>
      </c>
      <c r="AE505" s="11">
        <f>IF(ROUNDUP(T505/20,0)&gt;ROUNDUP(T504/20,0),"Lần " &amp; ROUNDUP(T505/20,0),"")</f>
        <v/>
      </c>
      <c r="AF505" s="11">
        <f>IF(ROUNDUP(U505/20,0)&gt;ROUNDUP(U504/20,0),"Lần " &amp; ROUNDUP(U505/20,0),"")</f>
        <v/>
      </c>
      <c r="AG505" s="11">
        <f>IF(ROUNDUP(V505/20,0)&gt;ROUNDUP(V504/20,0),"Lần " &amp; ROUNDUP(V505/20,0),"")</f>
        <v/>
      </c>
      <c r="AH505" s="11">
        <f>IF(ROUNDUP(W505/20,0)&gt;ROUNDUP(W504/20,0),"Lần " &amp; ROUNDUP(W505/20,0),"")</f>
        <v/>
      </c>
      <c r="AI505" s="11">
        <f>IF(ROUNDUP(X505/20,0)&gt;ROUNDUP(X504/20,0),"Lần " &amp; ROUNDUP(X505/20,0),"")</f>
        <v/>
      </c>
      <c r="AJ505" s="11">
        <f>IF(ROUNDUP(Y505/20,0)&gt;ROUNDUP(Y504/20,0),"Lần " &amp; ROUNDUP(Y505/20,0),"")</f>
        <v/>
      </c>
      <c r="AK505" s="11">
        <f>IF(ROUNDUP(Z505/20,0)&gt;ROUNDUP(Z504/20,0),"Lần " &amp; ROUNDUP(Z505/20,0),"")</f>
        <v/>
      </c>
      <c r="AL505" s="6" t="n"/>
      <c r="AN505" t="inlineStr">
        <is>
          <t>Coc</t>
        </is>
      </c>
      <c r="AO505" t="n">
        <v>10</v>
      </c>
    </row>
    <row r="506" ht="19" customHeight="1">
      <c r="A506" s="17" t="inlineStr">
        <is>
          <t>--- CỌC KHOAN NHỒI C5 TRỤ T1 (D1.2M, L=40.0M) ---</t>
        </is>
      </c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35" t="n"/>
      <c r="AI506" s="35" t="n"/>
      <c r="AJ506" s="35" t="n"/>
      <c r="AK506" s="35" t="n"/>
      <c r="AL506" s="34" t="n"/>
    </row>
    <row r="507" ht="19" customHeight="1">
      <c r="A507" s="6" t="n">
        <v>483</v>
      </c>
      <c r="B507" s="7" t="inlineStr">
        <is>
          <t>Cọc khoan nhồi C5 Trụ T1 (D1.2m, L=40.0m)</t>
        </is>
      </c>
      <c r="C507" s="7" t="inlineStr">
        <is>
          <t>Cọc trụ T1 L=40m (tr.68)</t>
        </is>
      </c>
      <c r="D507" s="18" t="inlineStr">
        <is>
          <t>P1</t>
        </is>
      </c>
      <c r="E507" s="19" t="n">
        <v>10</v>
      </c>
      <c r="F507" s="6" t="inlineStr">
        <is>
          <t>CB240-T</t>
        </is>
      </c>
      <c r="G507" s="7" t="inlineStr"/>
      <c r="H507" s="20" t="n">
        <v>96.604</v>
      </c>
      <c r="I507" s="21" t="n">
        <v>1</v>
      </c>
      <c r="J507" s="22" t="n">
        <v>0.617</v>
      </c>
      <c r="K507" s="9">
        <f>ROUND(H507*I507*J507, 2)</f>
        <v/>
      </c>
      <c r="L507" s="23">
        <f>ROUND(K507/1000, 3)</f>
        <v/>
      </c>
      <c r="M507" s="8">
        <f>IF(AO507="","",IF(INDEX(Theo_Doi_Tan_Suat_Be_Tong!$C:$C,AO507)="","",INDEX(Theo_Doi_Tan_Suat_Be_Tong!$C:$C,AO507)-VLOOKUP(AN507,$AQ$2:$AR$7,2,FALSE)))</f>
        <v/>
      </c>
      <c r="N507" s="6" t="n"/>
      <c r="O507" s="24">
        <f>IF(ROUNDUP(P507/20,0)&gt;ROUNDUP(P505/20,0),"TN Ø10 (Lần " &amp; ROUNDUP(P507/20,0) &amp; ")","")</f>
        <v/>
      </c>
      <c r="P507" s="20">
        <f>ROUND(P505+IF(AND(E507&lt;=10,F507&lt;&gt;"ASTM A416"),L507,0),3)</f>
        <v/>
      </c>
      <c r="Q507" s="20">
        <f>ROUND(Q505+IF(AND(E507=12,F507&lt;&gt;"ASTM A416"),L507,0),3)</f>
        <v/>
      </c>
      <c r="R507" s="20">
        <f>ROUND(R505+IF(AND(E507=14,F507&lt;&gt;"ASTM A416"),L507,0),3)</f>
        <v/>
      </c>
      <c r="S507" s="20">
        <f>ROUND(S505+IF(AND(E507=16,F507&lt;&gt;"ASTM A416"),L507,0),3)</f>
        <v/>
      </c>
      <c r="T507" s="20">
        <f>ROUND(T505+IF(AND(E507=18,F507&lt;&gt;"ASTM A416"),L507,0),3)</f>
        <v/>
      </c>
      <c r="U507" s="20">
        <f>ROUND(U505+IF(AND(E507=20,F507&lt;&gt;"ASTM A416"),L507,0),3)</f>
        <v/>
      </c>
      <c r="V507" s="20">
        <f>ROUND(V505+IF(AND(E507=22,F507&lt;&gt;"ASTM A416"),L507,0),3)</f>
        <v/>
      </c>
      <c r="W507" s="20">
        <f>ROUND(W505+IF(AND(E507=25,F507&lt;&gt;"ASTM A416"),L507,0),3)</f>
        <v/>
      </c>
      <c r="X507" s="20">
        <f>ROUND(X505+IF(AND(E507=28,F507&lt;&gt;"ASTM A416"),L507,0),3)</f>
        <v/>
      </c>
      <c r="Y507" s="20">
        <f>ROUND(Y505+IF(AND(E507=32,F507&lt;&gt;"ASTM A416"),L507,0),3)</f>
        <v/>
      </c>
      <c r="Z507" s="20">
        <f>ROUND(Z505+IF(F507="ASTM A416",L507,0),3)</f>
        <v/>
      </c>
      <c r="AA507" s="11">
        <f>IF(ROUNDUP(P507/20,0)&gt;ROUNDUP(P505/20,0),"Lần " &amp; ROUNDUP(P507/20,0),"")</f>
        <v/>
      </c>
      <c r="AB507" s="11">
        <f>IF(ROUNDUP(Q507/20,0)&gt;ROUNDUP(Q505/20,0),"Lần " &amp; ROUNDUP(Q507/20,0),"")</f>
        <v/>
      </c>
      <c r="AC507" s="11">
        <f>IF(ROUNDUP(R507/20,0)&gt;ROUNDUP(R505/20,0),"Lần " &amp; ROUNDUP(R507/20,0),"")</f>
        <v/>
      </c>
      <c r="AD507" s="11">
        <f>IF(ROUNDUP(S507/20,0)&gt;ROUNDUP(S505/20,0),"Lần " &amp; ROUNDUP(S507/20,0),"")</f>
        <v/>
      </c>
      <c r="AE507" s="11">
        <f>IF(ROUNDUP(T507/20,0)&gt;ROUNDUP(T505/20,0),"Lần " &amp; ROUNDUP(T507/20,0),"")</f>
        <v/>
      </c>
      <c r="AF507" s="11">
        <f>IF(ROUNDUP(U507/20,0)&gt;ROUNDUP(U505/20,0),"Lần " &amp; ROUNDUP(U507/20,0),"")</f>
        <v/>
      </c>
      <c r="AG507" s="11">
        <f>IF(ROUNDUP(V507/20,0)&gt;ROUNDUP(V505/20,0),"Lần " &amp; ROUNDUP(V507/20,0),"")</f>
        <v/>
      </c>
      <c r="AH507" s="11">
        <f>IF(ROUNDUP(W507/20,0)&gt;ROUNDUP(W505/20,0),"Lần " &amp; ROUNDUP(W507/20,0),"")</f>
        <v/>
      </c>
      <c r="AI507" s="11">
        <f>IF(ROUNDUP(X507/20,0)&gt;ROUNDUP(X505/20,0),"Lần " &amp; ROUNDUP(X507/20,0),"")</f>
        <v/>
      </c>
      <c r="AJ507" s="11">
        <f>IF(ROUNDUP(Y507/20,0)&gt;ROUNDUP(Y505/20,0),"Lần " &amp; ROUNDUP(Y507/20,0),"")</f>
        <v/>
      </c>
      <c r="AK507" s="11">
        <f>IF(ROUNDUP(Z507/20,0)&gt;ROUNDUP(Z505/20,0),"Lần " &amp; ROUNDUP(Z507/20,0),"")</f>
        <v/>
      </c>
      <c r="AL507" s="6" t="n"/>
      <c r="AN507" t="inlineStr">
        <is>
          <t>Coc</t>
        </is>
      </c>
      <c r="AO507" t="n">
        <v>11</v>
      </c>
    </row>
    <row r="508" ht="19" customHeight="1">
      <c r="A508" s="6" t="n">
        <v>484</v>
      </c>
      <c r="B508" s="7" t="inlineStr">
        <is>
          <t>Cọc khoan nhồi C5 Trụ T1 (D1.2m, L=40.0m)</t>
        </is>
      </c>
      <c r="C508" s="7" t="inlineStr">
        <is>
          <t>Cọc trụ T1 L=40m (tr.68)</t>
        </is>
      </c>
      <c r="D508" s="18" t="inlineStr">
        <is>
          <t>P1A</t>
        </is>
      </c>
      <c r="E508" s="19" t="n">
        <v>10</v>
      </c>
      <c r="F508" s="6" t="inlineStr">
        <is>
          <t>CB240-T</t>
        </is>
      </c>
      <c r="G508" s="7" t="inlineStr"/>
      <c r="H508" s="20" t="n">
        <v>389.636</v>
      </c>
      <c r="I508" s="21" t="n">
        <v>1</v>
      </c>
      <c r="J508" s="22" t="n">
        <v>0.617</v>
      </c>
      <c r="K508" s="9">
        <f>ROUND(H508*I508*J508, 2)</f>
        <v/>
      </c>
      <c r="L508" s="23">
        <f>ROUND(K508/1000, 3)</f>
        <v/>
      </c>
      <c r="M508" s="8">
        <f>IF(AO508="","",IF(INDEX(Theo_Doi_Tan_Suat_Be_Tong!$C:$C,AO508)="","",INDEX(Theo_Doi_Tan_Suat_Be_Tong!$C:$C,AO508)-VLOOKUP(AN508,$AQ$2:$AR$7,2,FALSE)))</f>
        <v/>
      </c>
      <c r="N508" s="6" t="n"/>
      <c r="O508" s="24">
        <f>IF(ROUNDUP(P508/20,0)&gt;ROUNDUP(P507/20,0),"TN Ø10 (Lần " &amp; ROUNDUP(P508/20,0) &amp; ")","")</f>
        <v/>
      </c>
      <c r="P508" s="20">
        <f>ROUND(P507+IF(AND(E508&lt;=10,F508&lt;&gt;"ASTM A416"),L508,0),3)</f>
        <v/>
      </c>
      <c r="Q508" s="20">
        <f>ROUND(Q507+IF(AND(E508=12,F508&lt;&gt;"ASTM A416"),L508,0),3)</f>
        <v/>
      </c>
      <c r="R508" s="20">
        <f>ROUND(R507+IF(AND(E508=14,F508&lt;&gt;"ASTM A416"),L508,0),3)</f>
        <v/>
      </c>
      <c r="S508" s="20">
        <f>ROUND(S507+IF(AND(E508=16,F508&lt;&gt;"ASTM A416"),L508,0),3)</f>
        <v/>
      </c>
      <c r="T508" s="20">
        <f>ROUND(T507+IF(AND(E508=18,F508&lt;&gt;"ASTM A416"),L508,0),3)</f>
        <v/>
      </c>
      <c r="U508" s="20">
        <f>ROUND(U507+IF(AND(E508=20,F508&lt;&gt;"ASTM A416"),L508,0),3)</f>
        <v/>
      </c>
      <c r="V508" s="20">
        <f>ROUND(V507+IF(AND(E508=22,F508&lt;&gt;"ASTM A416"),L508,0),3)</f>
        <v/>
      </c>
      <c r="W508" s="20">
        <f>ROUND(W507+IF(AND(E508=25,F508&lt;&gt;"ASTM A416"),L508,0),3)</f>
        <v/>
      </c>
      <c r="X508" s="20">
        <f>ROUND(X507+IF(AND(E508=28,F508&lt;&gt;"ASTM A416"),L508,0),3)</f>
        <v/>
      </c>
      <c r="Y508" s="20">
        <f>ROUND(Y507+IF(AND(E508=32,F508&lt;&gt;"ASTM A416"),L508,0),3)</f>
        <v/>
      </c>
      <c r="Z508" s="20">
        <f>ROUND(Z507+IF(F508="ASTM A416",L508,0),3)</f>
        <v/>
      </c>
      <c r="AA508" s="11">
        <f>IF(ROUNDUP(P508/20,0)&gt;ROUNDUP(P507/20,0),"Lần " &amp; ROUNDUP(P508/20,0),"")</f>
        <v/>
      </c>
      <c r="AB508" s="11">
        <f>IF(ROUNDUP(Q508/20,0)&gt;ROUNDUP(Q507/20,0),"Lần " &amp; ROUNDUP(Q508/20,0),"")</f>
        <v/>
      </c>
      <c r="AC508" s="11">
        <f>IF(ROUNDUP(R508/20,0)&gt;ROUNDUP(R507/20,0),"Lần " &amp; ROUNDUP(R508/20,0),"")</f>
        <v/>
      </c>
      <c r="AD508" s="11">
        <f>IF(ROUNDUP(S508/20,0)&gt;ROUNDUP(S507/20,0),"Lần " &amp; ROUNDUP(S508/20,0),"")</f>
        <v/>
      </c>
      <c r="AE508" s="11">
        <f>IF(ROUNDUP(T508/20,0)&gt;ROUNDUP(T507/20,0),"Lần " &amp; ROUNDUP(T508/20,0),"")</f>
        <v/>
      </c>
      <c r="AF508" s="11">
        <f>IF(ROUNDUP(U508/20,0)&gt;ROUNDUP(U507/20,0),"Lần " &amp; ROUNDUP(U508/20,0),"")</f>
        <v/>
      </c>
      <c r="AG508" s="11">
        <f>IF(ROUNDUP(V508/20,0)&gt;ROUNDUP(V507/20,0),"Lần " &amp; ROUNDUP(V508/20,0),"")</f>
        <v/>
      </c>
      <c r="AH508" s="11">
        <f>IF(ROUNDUP(W508/20,0)&gt;ROUNDUP(W507/20,0),"Lần " &amp; ROUNDUP(W508/20,0),"")</f>
        <v/>
      </c>
      <c r="AI508" s="11">
        <f>IF(ROUNDUP(X508/20,0)&gt;ROUNDUP(X507/20,0),"Lần " &amp; ROUNDUP(X508/20,0),"")</f>
        <v/>
      </c>
      <c r="AJ508" s="11">
        <f>IF(ROUNDUP(Y508/20,0)&gt;ROUNDUP(Y507/20,0),"Lần " &amp; ROUNDUP(Y508/20,0),"")</f>
        <v/>
      </c>
      <c r="AK508" s="11">
        <f>IF(ROUNDUP(Z508/20,0)&gt;ROUNDUP(Z507/20,0),"Lần " &amp; ROUNDUP(Z508/20,0),"")</f>
        <v/>
      </c>
      <c r="AL508" s="6" t="n"/>
      <c r="AN508" t="inlineStr">
        <is>
          <t>Coc</t>
        </is>
      </c>
      <c r="AO508" t="n">
        <v>11</v>
      </c>
    </row>
    <row r="509" ht="19" customHeight="1">
      <c r="A509" s="6" t="n">
        <v>485</v>
      </c>
      <c r="B509" s="7" t="inlineStr">
        <is>
          <t>Cọc khoan nhồi C5 Trụ T1 (D1.2m, L=40.0m)</t>
        </is>
      </c>
      <c r="C509" s="7" t="inlineStr">
        <is>
          <t>Cọc trụ T1 L=40m (tr.68)</t>
        </is>
      </c>
      <c r="D509" s="18" t="inlineStr">
        <is>
          <t>P1B</t>
        </is>
      </c>
      <c r="E509" s="19" t="n">
        <v>10</v>
      </c>
      <c r="F509" s="6" t="inlineStr">
        <is>
          <t>CB240-T</t>
        </is>
      </c>
      <c r="G509" s="7" t="inlineStr"/>
      <c r="H509" s="20" t="n">
        <v>206.981</v>
      </c>
      <c r="I509" s="21" t="n">
        <v>1</v>
      </c>
      <c r="J509" s="22" t="n">
        <v>0.617</v>
      </c>
      <c r="K509" s="9">
        <f>ROUND(H509*I509*J509, 2)</f>
        <v/>
      </c>
      <c r="L509" s="23">
        <f>ROUND(K509/1000, 3)</f>
        <v/>
      </c>
      <c r="M509" s="8">
        <f>IF(AO509="","",IF(INDEX(Theo_Doi_Tan_Suat_Be_Tong!$C:$C,AO509)="","",INDEX(Theo_Doi_Tan_Suat_Be_Tong!$C:$C,AO509)-VLOOKUP(AN509,$AQ$2:$AR$7,2,FALSE)))</f>
        <v/>
      </c>
      <c r="N509" s="6" t="n"/>
      <c r="O509" s="24">
        <f>IF(ROUNDUP(P509/20,0)&gt;ROUNDUP(P508/20,0),"TN Ø10 (Lần " &amp; ROUNDUP(P509/20,0) &amp; ")","")</f>
        <v/>
      </c>
      <c r="P509" s="20">
        <f>ROUND(P508+IF(AND(E509&lt;=10,F509&lt;&gt;"ASTM A416"),L509,0),3)</f>
        <v/>
      </c>
      <c r="Q509" s="20">
        <f>ROUND(Q508+IF(AND(E509=12,F509&lt;&gt;"ASTM A416"),L509,0),3)</f>
        <v/>
      </c>
      <c r="R509" s="20">
        <f>ROUND(R508+IF(AND(E509=14,F509&lt;&gt;"ASTM A416"),L509,0),3)</f>
        <v/>
      </c>
      <c r="S509" s="20">
        <f>ROUND(S508+IF(AND(E509=16,F509&lt;&gt;"ASTM A416"),L509,0),3)</f>
        <v/>
      </c>
      <c r="T509" s="20">
        <f>ROUND(T508+IF(AND(E509=18,F509&lt;&gt;"ASTM A416"),L509,0),3)</f>
        <v/>
      </c>
      <c r="U509" s="20">
        <f>ROUND(U508+IF(AND(E509=20,F509&lt;&gt;"ASTM A416"),L509,0),3)</f>
        <v/>
      </c>
      <c r="V509" s="20">
        <f>ROUND(V508+IF(AND(E509=22,F509&lt;&gt;"ASTM A416"),L509,0),3)</f>
        <v/>
      </c>
      <c r="W509" s="20">
        <f>ROUND(W508+IF(AND(E509=25,F509&lt;&gt;"ASTM A416"),L509,0),3)</f>
        <v/>
      </c>
      <c r="X509" s="20">
        <f>ROUND(X508+IF(AND(E509=28,F509&lt;&gt;"ASTM A416"),L509,0),3)</f>
        <v/>
      </c>
      <c r="Y509" s="20">
        <f>ROUND(Y508+IF(AND(E509=32,F509&lt;&gt;"ASTM A416"),L509,0),3)</f>
        <v/>
      </c>
      <c r="Z509" s="20">
        <f>ROUND(Z508+IF(F509="ASTM A416",L509,0),3)</f>
        <v/>
      </c>
      <c r="AA509" s="11">
        <f>IF(ROUNDUP(P509/20,0)&gt;ROUNDUP(P508/20,0),"Lần " &amp; ROUNDUP(P509/20,0),"")</f>
        <v/>
      </c>
      <c r="AB509" s="11">
        <f>IF(ROUNDUP(Q509/20,0)&gt;ROUNDUP(Q508/20,0),"Lần " &amp; ROUNDUP(Q509/20,0),"")</f>
        <v/>
      </c>
      <c r="AC509" s="11">
        <f>IF(ROUNDUP(R509/20,0)&gt;ROUNDUP(R508/20,0),"Lần " &amp; ROUNDUP(R509/20,0),"")</f>
        <v/>
      </c>
      <c r="AD509" s="11">
        <f>IF(ROUNDUP(S509/20,0)&gt;ROUNDUP(S508/20,0),"Lần " &amp; ROUNDUP(S509/20,0),"")</f>
        <v/>
      </c>
      <c r="AE509" s="11">
        <f>IF(ROUNDUP(T509/20,0)&gt;ROUNDUP(T508/20,0),"Lần " &amp; ROUNDUP(T509/20,0),"")</f>
        <v/>
      </c>
      <c r="AF509" s="11">
        <f>IF(ROUNDUP(U509/20,0)&gt;ROUNDUP(U508/20,0),"Lần " &amp; ROUNDUP(U509/20,0),"")</f>
        <v/>
      </c>
      <c r="AG509" s="11">
        <f>IF(ROUNDUP(V509/20,0)&gt;ROUNDUP(V508/20,0),"Lần " &amp; ROUNDUP(V509/20,0),"")</f>
        <v/>
      </c>
      <c r="AH509" s="11">
        <f>IF(ROUNDUP(W509/20,0)&gt;ROUNDUP(W508/20,0),"Lần " &amp; ROUNDUP(W509/20,0),"")</f>
        <v/>
      </c>
      <c r="AI509" s="11">
        <f>IF(ROUNDUP(X509/20,0)&gt;ROUNDUP(X508/20,0),"Lần " &amp; ROUNDUP(X509/20,0),"")</f>
        <v/>
      </c>
      <c r="AJ509" s="11">
        <f>IF(ROUNDUP(Y509/20,0)&gt;ROUNDUP(Y508/20,0),"Lần " &amp; ROUNDUP(Y509/20,0),"")</f>
        <v/>
      </c>
      <c r="AK509" s="11">
        <f>IF(ROUNDUP(Z509/20,0)&gt;ROUNDUP(Z508/20,0),"Lần " &amp; ROUNDUP(Z509/20,0),"")</f>
        <v/>
      </c>
      <c r="AL509" s="6" t="n"/>
      <c r="AN509" t="inlineStr">
        <is>
          <t>Coc</t>
        </is>
      </c>
      <c r="AO509" t="n">
        <v>11</v>
      </c>
    </row>
    <row r="510" ht="19" customHeight="1">
      <c r="A510" s="6" t="n">
        <v>486</v>
      </c>
      <c r="B510" s="7" t="inlineStr">
        <is>
          <t>Cọc khoan nhồi C5 Trụ T1 (D1.2m, L=40.0m)</t>
        </is>
      </c>
      <c r="C510" s="7" t="inlineStr">
        <is>
          <t>Cọc trụ T1 L=40m (tr.68)</t>
        </is>
      </c>
      <c r="D510" s="18" t="inlineStr">
        <is>
          <t>P1C</t>
        </is>
      </c>
      <c r="E510" s="19" t="n">
        <v>10</v>
      </c>
      <c r="F510" s="6" t="inlineStr">
        <is>
          <t>CB240-T</t>
        </is>
      </c>
      <c r="G510" s="7" t="inlineStr"/>
      <c r="H510" s="20" t="n">
        <v>3.592</v>
      </c>
      <c r="I510" s="21" t="n">
        <v>2</v>
      </c>
      <c r="J510" s="22" t="n">
        <v>0.617</v>
      </c>
      <c r="K510" s="9">
        <f>ROUND(H510*I510*J510, 2)</f>
        <v/>
      </c>
      <c r="L510" s="23">
        <f>ROUND(K510/1000, 3)</f>
        <v/>
      </c>
      <c r="M510" s="8">
        <f>IF(AO510="","",IF(INDEX(Theo_Doi_Tan_Suat_Be_Tong!$C:$C,AO510)="","",INDEX(Theo_Doi_Tan_Suat_Be_Tong!$C:$C,AO510)-VLOOKUP(AN510,$AQ$2:$AR$7,2,FALSE)))</f>
        <v/>
      </c>
      <c r="N510" s="6" t="n"/>
      <c r="O510" s="24">
        <f>IF(ROUNDUP(P510/20,0)&gt;ROUNDUP(P509/20,0),"TN Ø10 (Lần " &amp; ROUNDUP(P510/20,0) &amp; ")","")</f>
        <v/>
      </c>
      <c r="P510" s="20">
        <f>ROUND(P509+IF(AND(E510&lt;=10,F510&lt;&gt;"ASTM A416"),L510,0),3)</f>
        <v/>
      </c>
      <c r="Q510" s="20">
        <f>ROUND(Q509+IF(AND(E510=12,F510&lt;&gt;"ASTM A416"),L510,0),3)</f>
        <v/>
      </c>
      <c r="R510" s="20">
        <f>ROUND(R509+IF(AND(E510=14,F510&lt;&gt;"ASTM A416"),L510,0),3)</f>
        <v/>
      </c>
      <c r="S510" s="20">
        <f>ROUND(S509+IF(AND(E510=16,F510&lt;&gt;"ASTM A416"),L510,0),3)</f>
        <v/>
      </c>
      <c r="T510" s="20">
        <f>ROUND(T509+IF(AND(E510=18,F510&lt;&gt;"ASTM A416"),L510,0),3)</f>
        <v/>
      </c>
      <c r="U510" s="20">
        <f>ROUND(U509+IF(AND(E510=20,F510&lt;&gt;"ASTM A416"),L510,0),3)</f>
        <v/>
      </c>
      <c r="V510" s="20">
        <f>ROUND(V509+IF(AND(E510=22,F510&lt;&gt;"ASTM A416"),L510,0),3)</f>
        <v/>
      </c>
      <c r="W510" s="20">
        <f>ROUND(W509+IF(AND(E510=25,F510&lt;&gt;"ASTM A416"),L510,0),3)</f>
        <v/>
      </c>
      <c r="X510" s="20">
        <f>ROUND(X509+IF(AND(E510=28,F510&lt;&gt;"ASTM A416"),L510,0),3)</f>
        <v/>
      </c>
      <c r="Y510" s="20">
        <f>ROUND(Y509+IF(AND(E510=32,F510&lt;&gt;"ASTM A416"),L510,0),3)</f>
        <v/>
      </c>
      <c r="Z510" s="20">
        <f>ROUND(Z509+IF(F510="ASTM A416",L510,0),3)</f>
        <v/>
      </c>
      <c r="AA510" s="11">
        <f>IF(ROUNDUP(P510/20,0)&gt;ROUNDUP(P509/20,0),"Lần " &amp; ROUNDUP(P510/20,0),"")</f>
        <v/>
      </c>
      <c r="AB510" s="11">
        <f>IF(ROUNDUP(Q510/20,0)&gt;ROUNDUP(Q509/20,0),"Lần " &amp; ROUNDUP(Q510/20,0),"")</f>
        <v/>
      </c>
      <c r="AC510" s="11">
        <f>IF(ROUNDUP(R510/20,0)&gt;ROUNDUP(R509/20,0),"Lần " &amp; ROUNDUP(R510/20,0),"")</f>
        <v/>
      </c>
      <c r="AD510" s="11">
        <f>IF(ROUNDUP(S510/20,0)&gt;ROUNDUP(S509/20,0),"Lần " &amp; ROUNDUP(S510/20,0),"")</f>
        <v/>
      </c>
      <c r="AE510" s="11">
        <f>IF(ROUNDUP(T510/20,0)&gt;ROUNDUP(T509/20,0),"Lần " &amp; ROUNDUP(T510/20,0),"")</f>
        <v/>
      </c>
      <c r="AF510" s="11">
        <f>IF(ROUNDUP(U510/20,0)&gt;ROUNDUP(U509/20,0),"Lần " &amp; ROUNDUP(U510/20,0),"")</f>
        <v/>
      </c>
      <c r="AG510" s="11">
        <f>IF(ROUNDUP(V510/20,0)&gt;ROUNDUP(V509/20,0),"Lần " &amp; ROUNDUP(V510/20,0),"")</f>
        <v/>
      </c>
      <c r="AH510" s="11">
        <f>IF(ROUNDUP(W510/20,0)&gt;ROUNDUP(W509/20,0),"Lần " &amp; ROUNDUP(W510/20,0),"")</f>
        <v/>
      </c>
      <c r="AI510" s="11">
        <f>IF(ROUNDUP(X510/20,0)&gt;ROUNDUP(X509/20,0),"Lần " &amp; ROUNDUP(X510/20,0),"")</f>
        <v/>
      </c>
      <c r="AJ510" s="11">
        <f>IF(ROUNDUP(Y510/20,0)&gt;ROUNDUP(Y509/20,0),"Lần " &amp; ROUNDUP(Y510/20,0),"")</f>
        <v/>
      </c>
      <c r="AK510" s="11">
        <f>IF(ROUNDUP(Z510/20,0)&gt;ROUNDUP(Z509/20,0),"Lần " &amp; ROUNDUP(Z510/20,0),"")</f>
        <v/>
      </c>
      <c r="AL510" s="6" t="n"/>
      <c r="AN510" t="inlineStr">
        <is>
          <t>Coc</t>
        </is>
      </c>
      <c r="AO510" t="n">
        <v>11</v>
      </c>
    </row>
    <row r="511" ht="19" customHeight="1">
      <c r="A511" s="6" t="n">
        <v>487</v>
      </c>
      <c r="B511" s="7" t="inlineStr">
        <is>
          <t>Cọc khoan nhồi C5 Trụ T1 (D1.2m, L=40.0m)</t>
        </is>
      </c>
      <c r="C511" s="7" t="inlineStr">
        <is>
          <t>Cọc trụ T1 L=40m (tr.68)</t>
        </is>
      </c>
      <c r="D511" s="18" t="inlineStr">
        <is>
          <t>P1D</t>
        </is>
      </c>
      <c r="E511" s="19" t="n">
        <v>10</v>
      </c>
      <c r="F511" s="6" t="inlineStr">
        <is>
          <t>CB240-T</t>
        </is>
      </c>
      <c r="G511" s="7" t="inlineStr"/>
      <c r="H511" s="20" t="n">
        <v>19.721</v>
      </c>
      <c r="I511" s="21" t="n">
        <v>1</v>
      </c>
      <c r="J511" s="22" t="n">
        <v>0.617</v>
      </c>
      <c r="K511" s="9">
        <f>ROUND(H511*I511*J511, 2)</f>
        <v/>
      </c>
      <c r="L511" s="23">
        <f>ROUND(K511/1000, 3)</f>
        <v/>
      </c>
      <c r="M511" s="8">
        <f>IF(AO511="","",IF(INDEX(Theo_Doi_Tan_Suat_Be_Tong!$C:$C,AO511)="","",INDEX(Theo_Doi_Tan_Suat_Be_Tong!$C:$C,AO511)-VLOOKUP(AN511,$AQ$2:$AR$7,2,FALSE)))</f>
        <v/>
      </c>
      <c r="N511" s="6" t="n"/>
      <c r="O511" s="24">
        <f>IF(ROUNDUP(P511/20,0)&gt;ROUNDUP(P510/20,0),"TN Ø10 (Lần " &amp; ROUNDUP(P511/20,0) &amp; ")","")</f>
        <v/>
      </c>
      <c r="P511" s="20">
        <f>ROUND(P510+IF(AND(E511&lt;=10,F511&lt;&gt;"ASTM A416"),L511,0),3)</f>
        <v/>
      </c>
      <c r="Q511" s="20">
        <f>ROUND(Q510+IF(AND(E511=12,F511&lt;&gt;"ASTM A416"),L511,0),3)</f>
        <v/>
      </c>
      <c r="R511" s="20">
        <f>ROUND(R510+IF(AND(E511=14,F511&lt;&gt;"ASTM A416"),L511,0),3)</f>
        <v/>
      </c>
      <c r="S511" s="20">
        <f>ROUND(S510+IF(AND(E511=16,F511&lt;&gt;"ASTM A416"),L511,0),3)</f>
        <v/>
      </c>
      <c r="T511" s="20">
        <f>ROUND(T510+IF(AND(E511=18,F511&lt;&gt;"ASTM A416"),L511,0),3)</f>
        <v/>
      </c>
      <c r="U511" s="20">
        <f>ROUND(U510+IF(AND(E511=20,F511&lt;&gt;"ASTM A416"),L511,0),3)</f>
        <v/>
      </c>
      <c r="V511" s="20">
        <f>ROUND(V510+IF(AND(E511=22,F511&lt;&gt;"ASTM A416"),L511,0),3)</f>
        <v/>
      </c>
      <c r="W511" s="20">
        <f>ROUND(W510+IF(AND(E511=25,F511&lt;&gt;"ASTM A416"),L511,0),3)</f>
        <v/>
      </c>
      <c r="X511" s="20">
        <f>ROUND(X510+IF(AND(E511=28,F511&lt;&gt;"ASTM A416"),L511,0),3)</f>
        <v/>
      </c>
      <c r="Y511" s="20">
        <f>ROUND(Y510+IF(AND(E511=32,F511&lt;&gt;"ASTM A416"),L511,0),3)</f>
        <v/>
      </c>
      <c r="Z511" s="20">
        <f>ROUND(Z510+IF(F511="ASTM A416",L511,0),3)</f>
        <v/>
      </c>
      <c r="AA511" s="11">
        <f>IF(ROUNDUP(P511/20,0)&gt;ROUNDUP(P510/20,0),"Lần " &amp; ROUNDUP(P511/20,0),"")</f>
        <v/>
      </c>
      <c r="AB511" s="11">
        <f>IF(ROUNDUP(Q511/20,0)&gt;ROUNDUP(Q510/20,0),"Lần " &amp; ROUNDUP(Q511/20,0),"")</f>
        <v/>
      </c>
      <c r="AC511" s="11">
        <f>IF(ROUNDUP(R511/20,0)&gt;ROUNDUP(R510/20,0),"Lần " &amp; ROUNDUP(R511/20,0),"")</f>
        <v/>
      </c>
      <c r="AD511" s="11">
        <f>IF(ROUNDUP(S511/20,0)&gt;ROUNDUP(S510/20,0),"Lần " &amp; ROUNDUP(S511/20,0),"")</f>
        <v/>
      </c>
      <c r="AE511" s="11">
        <f>IF(ROUNDUP(T511/20,0)&gt;ROUNDUP(T510/20,0),"Lần " &amp; ROUNDUP(T511/20,0),"")</f>
        <v/>
      </c>
      <c r="AF511" s="11">
        <f>IF(ROUNDUP(U511/20,0)&gt;ROUNDUP(U510/20,0),"Lần " &amp; ROUNDUP(U511/20,0),"")</f>
        <v/>
      </c>
      <c r="AG511" s="11">
        <f>IF(ROUNDUP(V511/20,0)&gt;ROUNDUP(V510/20,0),"Lần " &amp; ROUNDUP(V511/20,0),"")</f>
        <v/>
      </c>
      <c r="AH511" s="11">
        <f>IF(ROUNDUP(W511/20,0)&gt;ROUNDUP(W510/20,0),"Lần " &amp; ROUNDUP(W511/20,0),"")</f>
        <v/>
      </c>
      <c r="AI511" s="11">
        <f>IF(ROUNDUP(X511/20,0)&gt;ROUNDUP(X510/20,0),"Lần " &amp; ROUNDUP(X511/20,0),"")</f>
        <v/>
      </c>
      <c r="AJ511" s="11">
        <f>IF(ROUNDUP(Y511/20,0)&gt;ROUNDUP(Y510/20,0),"Lần " &amp; ROUNDUP(Y511/20,0),"")</f>
        <v/>
      </c>
      <c r="AK511" s="11">
        <f>IF(ROUNDUP(Z511/20,0)&gt;ROUNDUP(Z510/20,0),"Lần " &amp; ROUNDUP(Z511/20,0),"")</f>
        <v/>
      </c>
      <c r="AL511" s="6" t="n"/>
      <c r="AN511" t="inlineStr">
        <is>
          <t>Coc</t>
        </is>
      </c>
      <c r="AO511" t="n">
        <v>11</v>
      </c>
    </row>
    <row r="512" ht="19" customHeight="1">
      <c r="A512" s="6" t="n">
        <v>488</v>
      </c>
      <c r="B512" s="7" t="inlineStr">
        <is>
          <t>Cọc khoan nhồi C5 Trụ T1 (D1.2m, L=40.0m)</t>
        </is>
      </c>
      <c r="C512" s="7" t="inlineStr">
        <is>
          <t>Cọc trụ T1 L=40m (tr.68)</t>
        </is>
      </c>
      <c r="D512" s="18" t="inlineStr">
        <is>
          <t>P2B</t>
        </is>
      </c>
      <c r="E512" s="19" t="n">
        <v>25</v>
      </c>
      <c r="F512" s="6" t="inlineStr">
        <is>
          <t>CB400-V</t>
        </is>
      </c>
      <c r="G512" s="7" t="inlineStr"/>
      <c r="H512" s="20" t="n">
        <v>2.985</v>
      </c>
      <c r="I512" s="21" t="n">
        <v>16</v>
      </c>
      <c r="J512" s="22" t="n">
        <v>3.853</v>
      </c>
      <c r="K512" s="9">
        <f>ROUND(H512*I512*J512, 2)</f>
        <v/>
      </c>
      <c r="L512" s="23">
        <f>ROUND(K512/1000, 3)</f>
        <v/>
      </c>
      <c r="M512" s="8">
        <f>IF(AO512="","",IF(INDEX(Theo_Doi_Tan_Suat_Be_Tong!$C:$C,AO512)="","",INDEX(Theo_Doi_Tan_Suat_Be_Tong!$C:$C,AO512)-VLOOKUP(AN512,$AQ$2:$AR$7,2,FALSE)))</f>
        <v/>
      </c>
      <c r="N512" s="6" t="n"/>
      <c r="O512" s="24">
        <f>IF(ROUNDUP(W512/20,0)&gt;ROUNDUP(W511/20,0),"TN Ø25 (Lần " &amp; ROUNDUP(W512/20,0) &amp; ")","")</f>
        <v/>
      </c>
      <c r="P512" s="20">
        <f>ROUND(P511+IF(AND(E512&lt;=10,F512&lt;&gt;"ASTM A416"),L512,0),3)</f>
        <v/>
      </c>
      <c r="Q512" s="20">
        <f>ROUND(Q511+IF(AND(E512=12,F512&lt;&gt;"ASTM A416"),L512,0),3)</f>
        <v/>
      </c>
      <c r="R512" s="20">
        <f>ROUND(R511+IF(AND(E512=14,F512&lt;&gt;"ASTM A416"),L512,0),3)</f>
        <v/>
      </c>
      <c r="S512" s="20">
        <f>ROUND(S511+IF(AND(E512=16,F512&lt;&gt;"ASTM A416"),L512,0),3)</f>
        <v/>
      </c>
      <c r="T512" s="20">
        <f>ROUND(T511+IF(AND(E512=18,F512&lt;&gt;"ASTM A416"),L512,0),3)</f>
        <v/>
      </c>
      <c r="U512" s="20">
        <f>ROUND(U511+IF(AND(E512=20,F512&lt;&gt;"ASTM A416"),L512,0),3)</f>
        <v/>
      </c>
      <c r="V512" s="20">
        <f>ROUND(V511+IF(AND(E512=22,F512&lt;&gt;"ASTM A416"),L512,0),3)</f>
        <v/>
      </c>
      <c r="W512" s="20">
        <f>ROUND(W511+IF(AND(E512=25,F512&lt;&gt;"ASTM A416"),L512,0),3)</f>
        <v/>
      </c>
      <c r="X512" s="20">
        <f>ROUND(X511+IF(AND(E512=28,F512&lt;&gt;"ASTM A416"),L512,0),3)</f>
        <v/>
      </c>
      <c r="Y512" s="20">
        <f>ROUND(Y511+IF(AND(E512=32,F512&lt;&gt;"ASTM A416"),L512,0),3)</f>
        <v/>
      </c>
      <c r="Z512" s="20">
        <f>ROUND(Z511+IF(F512="ASTM A416",L512,0),3)</f>
        <v/>
      </c>
      <c r="AA512" s="11">
        <f>IF(ROUNDUP(P512/20,0)&gt;ROUNDUP(P511/20,0),"Lần " &amp; ROUNDUP(P512/20,0),"")</f>
        <v/>
      </c>
      <c r="AB512" s="11">
        <f>IF(ROUNDUP(Q512/20,0)&gt;ROUNDUP(Q511/20,0),"Lần " &amp; ROUNDUP(Q512/20,0),"")</f>
        <v/>
      </c>
      <c r="AC512" s="11">
        <f>IF(ROUNDUP(R512/20,0)&gt;ROUNDUP(R511/20,0),"Lần " &amp; ROUNDUP(R512/20,0),"")</f>
        <v/>
      </c>
      <c r="AD512" s="11">
        <f>IF(ROUNDUP(S512/20,0)&gt;ROUNDUP(S511/20,0),"Lần " &amp; ROUNDUP(S512/20,0),"")</f>
        <v/>
      </c>
      <c r="AE512" s="11">
        <f>IF(ROUNDUP(T512/20,0)&gt;ROUNDUP(T511/20,0),"Lần " &amp; ROUNDUP(T512/20,0),"")</f>
        <v/>
      </c>
      <c r="AF512" s="11">
        <f>IF(ROUNDUP(U512/20,0)&gt;ROUNDUP(U511/20,0),"Lần " &amp; ROUNDUP(U512/20,0),"")</f>
        <v/>
      </c>
      <c r="AG512" s="11">
        <f>IF(ROUNDUP(V512/20,0)&gt;ROUNDUP(V511/20,0),"Lần " &amp; ROUNDUP(V512/20,0),"")</f>
        <v/>
      </c>
      <c r="AH512" s="11">
        <f>IF(ROUNDUP(W512/20,0)&gt;ROUNDUP(W511/20,0),"Lần " &amp; ROUNDUP(W512/20,0),"")</f>
        <v/>
      </c>
      <c r="AI512" s="11">
        <f>IF(ROUNDUP(X512/20,0)&gt;ROUNDUP(X511/20,0),"Lần " &amp; ROUNDUP(X512/20,0),"")</f>
        <v/>
      </c>
      <c r="AJ512" s="11">
        <f>IF(ROUNDUP(Y512/20,0)&gt;ROUNDUP(Y511/20,0),"Lần " &amp; ROUNDUP(Y512/20,0),"")</f>
        <v/>
      </c>
      <c r="AK512" s="11">
        <f>IF(ROUNDUP(Z512/20,0)&gt;ROUNDUP(Z511/20,0),"Lần " &amp; ROUNDUP(Z512/20,0),"")</f>
        <v/>
      </c>
      <c r="AL512" s="6" t="n"/>
      <c r="AN512" t="inlineStr">
        <is>
          <t>Coc</t>
        </is>
      </c>
      <c r="AO512" t="n">
        <v>11</v>
      </c>
    </row>
    <row r="513" ht="19" customHeight="1">
      <c r="A513" s="6" t="n">
        <v>489</v>
      </c>
      <c r="B513" s="7" t="inlineStr">
        <is>
          <t>Cọc khoan nhồi C5 Trụ T1 (D1.2m, L=40.0m)</t>
        </is>
      </c>
      <c r="C513" s="7" t="inlineStr">
        <is>
          <t>Cọc trụ T1 L=40m (tr.68)</t>
        </is>
      </c>
      <c r="D513" s="18" t="inlineStr">
        <is>
          <t>P3</t>
        </is>
      </c>
      <c r="E513" s="19" t="n">
        <v>25</v>
      </c>
      <c r="F513" s="6" t="inlineStr">
        <is>
          <t>CB400-V</t>
        </is>
      </c>
      <c r="G513" s="7" t="inlineStr"/>
      <c r="H513" s="20" t="n">
        <v>10.7</v>
      </c>
      <c r="I513" s="21" t="n">
        <v>12</v>
      </c>
      <c r="J513" s="22" t="n">
        <v>3.853</v>
      </c>
      <c r="K513" s="9">
        <f>ROUND(H513*I513*J513, 2)</f>
        <v/>
      </c>
      <c r="L513" s="23">
        <f>ROUND(K513/1000, 3)</f>
        <v/>
      </c>
      <c r="M513" s="8">
        <f>IF(AO513="","",IF(INDEX(Theo_Doi_Tan_Suat_Be_Tong!$C:$C,AO513)="","",INDEX(Theo_Doi_Tan_Suat_Be_Tong!$C:$C,AO513)-VLOOKUP(AN513,$AQ$2:$AR$7,2,FALSE)))</f>
        <v/>
      </c>
      <c r="N513" s="6" t="n"/>
      <c r="O513" s="24">
        <f>IF(ROUNDUP(W513/20,0)&gt;ROUNDUP(W512/20,0),"TN Ø25 (Lần " &amp; ROUNDUP(W513/20,0) &amp; ")","")</f>
        <v/>
      </c>
      <c r="P513" s="20">
        <f>ROUND(P512+IF(AND(E513&lt;=10,F513&lt;&gt;"ASTM A416"),L513,0),3)</f>
        <v/>
      </c>
      <c r="Q513" s="20">
        <f>ROUND(Q512+IF(AND(E513=12,F513&lt;&gt;"ASTM A416"),L513,0),3)</f>
        <v/>
      </c>
      <c r="R513" s="20">
        <f>ROUND(R512+IF(AND(E513=14,F513&lt;&gt;"ASTM A416"),L513,0),3)</f>
        <v/>
      </c>
      <c r="S513" s="20">
        <f>ROUND(S512+IF(AND(E513=16,F513&lt;&gt;"ASTM A416"),L513,0),3)</f>
        <v/>
      </c>
      <c r="T513" s="20">
        <f>ROUND(T512+IF(AND(E513=18,F513&lt;&gt;"ASTM A416"),L513,0),3)</f>
        <v/>
      </c>
      <c r="U513" s="20">
        <f>ROUND(U512+IF(AND(E513=20,F513&lt;&gt;"ASTM A416"),L513,0),3)</f>
        <v/>
      </c>
      <c r="V513" s="20">
        <f>ROUND(V512+IF(AND(E513=22,F513&lt;&gt;"ASTM A416"),L513,0),3)</f>
        <v/>
      </c>
      <c r="W513" s="20">
        <f>ROUND(W512+IF(AND(E513=25,F513&lt;&gt;"ASTM A416"),L513,0),3)</f>
        <v/>
      </c>
      <c r="X513" s="20">
        <f>ROUND(X512+IF(AND(E513=28,F513&lt;&gt;"ASTM A416"),L513,0),3)</f>
        <v/>
      </c>
      <c r="Y513" s="20">
        <f>ROUND(Y512+IF(AND(E513=32,F513&lt;&gt;"ASTM A416"),L513,0),3)</f>
        <v/>
      </c>
      <c r="Z513" s="20">
        <f>ROUND(Z512+IF(F513="ASTM A416",L513,0),3)</f>
        <v/>
      </c>
      <c r="AA513" s="11">
        <f>IF(ROUNDUP(P513/20,0)&gt;ROUNDUP(P512/20,0),"Lần " &amp; ROUNDUP(P513/20,0),"")</f>
        <v/>
      </c>
      <c r="AB513" s="11">
        <f>IF(ROUNDUP(Q513/20,0)&gt;ROUNDUP(Q512/20,0),"Lần " &amp; ROUNDUP(Q513/20,0),"")</f>
        <v/>
      </c>
      <c r="AC513" s="11">
        <f>IF(ROUNDUP(R513/20,0)&gt;ROUNDUP(R512/20,0),"Lần " &amp; ROUNDUP(R513/20,0),"")</f>
        <v/>
      </c>
      <c r="AD513" s="11">
        <f>IF(ROUNDUP(S513/20,0)&gt;ROUNDUP(S512/20,0),"Lần " &amp; ROUNDUP(S513/20,0),"")</f>
        <v/>
      </c>
      <c r="AE513" s="11">
        <f>IF(ROUNDUP(T513/20,0)&gt;ROUNDUP(T512/20,0),"Lần " &amp; ROUNDUP(T513/20,0),"")</f>
        <v/>
      </c>
      <c r="AF513" s="11">
        <f>IF(ROUNDUP(U513/20,0)&gt;ROUNDUP(U512/20,0),"Lần " &amp; ROUNDUP(U513/20,0),"")</f>
        <v/>
      </c>
      <c r="AG513" s="11">
        <f>IF(ROUNDUP(V513/20,0)&gt;ROUNDUP(V512/20,0),"Lần " &amp; ROUNDUP(V513/20,0),"")</f>
        <v/>
      </c>
      <c r="AH513" s="11">
        <f>IF(ROUNDUP(W513/20,0)&gt;ROUNDUP(W512/20,0),"Lần " &amp; ROUNDUP(W513/20,0),"")</f>
        <v/>
      </c>
      <c r="AI513" s="11">
        <f>IF(ROUNDUP(X513/20,0)&gt;ROUNDUP(X512/20,0),"Lần " &amp; ROUNDUP(X513/20,0),"")</f>
        <v/>
      </c>
      <c r="AJ513" s="11">
        <f>IF(ROUNDUP(Y513/20,0)&gt;ROUNDUP(Y512/20,0),"Lần " &amp; ROUNDUP(Y513/20,0),"")</f>
        <v/>
      </c>
      <c r="AK513" s="11">
        <f>IF(ROUNDUP(Z513/20,0)&gt;ROUNDUP(Z512/20,0),"Lần " &amp; ROUNDUP(Z513/20,0),"")</f>
        <v/>
      </c>
      <c r="AL513" s="6" t="n"/>
      <c r="AN513" t="inlineStr">
        <is>
          <t>Coc</t>
        </is>
      </c>
      <c r="AO513" t="n">
        <v>11</v>
      </c>
    </row>
    <row r="514" ht="19" customHeight="1">
      <c r="A514" s="6" t="n">
        <v>490</v>
      </c>
      <c r="B514" s="7" t="inlineStr">
        <is>
          <t>Cọc khoan nhồi C5 Trụ T1 (D1.2m, L=40.0m)</t>
        </is>
      </c>
      <c r="C514" s="7" t="inlineStr">
        <is>
          <t>Cọc trụ T1 L=40m (tr.68)</t>
        </is>
      </c>
      <c r="D514" s="18" t="inlineStr">
        <is>
          <t>P4</t>
        </is>
      </c>
      <c r="E514" s="19" t="n">
        <v>25</v>
      </c>
      <c r="F514" s="6" t="inlineStr">
        <is>
          <t>CB400-V</t>
        </is>
      </c>
      <c r="G514" s="7" t="inlineStr"/>
      <c r="H514" s="20" t="n">
        <v>11.7</v>
      </c>
      <c r="I514" s="21" t="n">
        <v>60</v>
      </c>
      <c r="J514" s="22" t="n">
        <v>3.853</v>
      </c>
      <c r="K514" s="9">
        <f>ROUND(H514*I514*J514, 2)</f>
        <v/>
      </c>
      <c r="L514" s="23">
        <f>ROUND(K514/1000, 3)</f>
        <v/>
      </c>
      <c r="M514" s="8">
        <f>IF(AO514="","",IF(INDEX(Theo_Doi_Tan_Suat_Be_Tong!$C:$C,AO514)="","",INDEX(Theo_Doi_Tan_Suat_Be_Tong!$C:$C,AO514)-VLOOKUP(AN514,$AQ$2:$AR$7,2,FALSE)))</f>
        <v/>
      </c>
      <c r="N514" s="6" t="n"/>
      <c r="O514" s="24">
        <f>IF(ROUNDUP(W514/20,0)&gt;ROUNDUP(W513/20,0),"TN Ø25 (Lần " &amp; ROUNDUP(W514/20,0) &amp; ")","")</f>
        <v/>
      </c>
      <c r="P514" s="20">
        <f>ROUND(P513+IF(AND(E514&lt;=10,F514&lt;&gt;"ASTM A416"),L514,0),3)</f>
        <v/>
      </c>
      <c r="Q514" s="20">
        <f>ROUND(Q513+IF(AND(E514=12,F514&lt;&gt;"ASTM A416"),L514,0),3)</f>
        <v/>
      </c>
      <c r="R514" s="20">
        <f>ROUND(R513+IF(AND(E514=14,F514&lt;&gt;"ASTM A416"),L514,0),3)</f>
        <v/>
      </c>
      <c r="S514" s="20">
        <f>ROUND(S513+IF(AND(E514=16,F514&lt;&gt;"ASTM A416"),L514,0),3)</f>
        <v/>
      </c>
      <c r="T514" s="20">
        <f>ROUND(T513+IF(AND(E514=18,F514&lt;&gt;"ASTM A416"),L514,0),3)</f>
        <v/>
      </c>
      <c r="U514" s="20">
        <f>ROUND(U513+IF(AND(E514=20,F514&lt;&gt;"ASTM A416"),L514,0),3)</f>
        <v/>
      </c>
      <c r="V514" s="20">
        <f>ROUND(V513+IF(AND(E514=22,F514&lt;&gt;"ASTM A416"),L514,0),3)</f>
        <v/>
      </c>
      <c r="W514" s="20">
        <f>ROUND(W513+IF(AND(E514=25,F514&lt;&gt;"ASTM A416"),L514,0),3)</f>
        <v/>
      </c>
      <c r="X514" s="20">
        <f>ROUND(X513+IF(AND(E514=28,F514&lt;&gt;"ASTM A416"),L514,0),3)</f>
        <v/>
      </c>
      <c r="Y514" s="20">
        <f>ROUND(Y513+IF(AND(E514=32,F514&lt;&gt;"ASTM A416"),L514,0),3)</f>
        <v/>
      </c>
      <c r="Z514" s="20">
        <f>ROUND(Z513+IF(F514="ASTM A416",L514,0),3)</f>
        <v/>
      </c>
      <c r="AA514" s="11">
        <f>IF(ROUNDUP(P514/20,0)&gt;ROUNDUP(P513/20,0),"Lần " &amp; ROUNDUP(P514/20,0),"")</f>
        <v/>
      </c>
      <c r="AB514" s="11">
        <f>IF(ROUNDUP(Q514/20,0)&gt;ROUNDUP(Q513/20,0),"Lần " &amp; ROUNDUP(Q514/20,0),"")</f>
        <v/>
      </c>
      <c r="AC514" s="11">
        <f>IF(ROUNDUP(R514/20,0)&gt;ROUNDUP(R513/20,0),"Lần " &amp; ROUNDUP(R514/20,0),"")</f>
        <v/>
      </c>
      <c r="AD514" s="11">
        <f>IF(ROUNDUP(S514/20,0)&gt;ROUNDUP(S513/20,0),"Lần " &amp; ROUNDUP(S514/20,0),"")</f>
        <v/>
      </c>
      <c r="AE514" s="11">
        <f>IF(ROUNDUP(T514/20,0)&gt;ROUNDUP(T513/20,0),"Lần " &amp; ROUNDUP(T514/20,0),"")</f>
        <v/>
      </c>
      <c r="AF514" s="11">
        <f>IF(ROUNDUP(U514/20,0)&gt;ROUNDUP(U513/20,0),"Lần " &amp; ROUNDUP(U514/20,0),"")</f>
        <v/>
      </c>
      <c r="AG514" s="11">
        <f>IF(ROUNDUP(V514/20,0)&gt;ROUNDUP(V513/20,0),"Lần " &amp; ROUNDUP(V514/20,0),"")</f>
        <v/>
      </c>
      <c r="AH514" s="11">
        <f>IF(ROUNDUP(W514/20,0)&gt;ROUNDUP(W513/20,0),"Lần " &amp; ROUNDUP(W514/20,0),"")</f>
        <v/>
      </c>
      <c r="AI514" s="11">
        <f>IF(ROUNDUP(X514/20,0)&gt;ROUNDUP(X513/20,0),"Lần " &amp; ROUNDUP(X514/20,0),"")</f>
        <v/>
      </c>
      <c r="AJ514" s="11">
        <f>IF(ROUNDUP(Y514/20,0)&gt;ROUNDUP(Y513/20,0),"Lần " &amp; ROUNDUP(Y514/20,0),"")</f>
        <v/>
      </c>
      <c r="AK514" s="11">
        <f>IF(ROUNDUP(Z514/20,0)&gt;ROUNDUP(Z513/20,0),"Lần " &amp; ROUNDUP(Z514/20,0),"")</f>
        <v/>
      </c>
      <c r="AL514" s="6" t="n"/>
      <c r="AN514" t="inlineStr">
        <is>
          <t>Coc</t>
        </is>
      </c>
      <c r="AO514" t="n">
        <v>11</v>
      </c>
    </row>
    <row r="515" ht="19" customHeight="1">
      <c r="A515" s="6" t="n">
        <v>491</v>
      </c>
      <c r="B515" s="7" t="inlineStr">
        <is>
          <t>Cọc khoan nhồi C5 Trụ T1 (D1.2m, L=40.0m)</t>
        </is>
      </c>
      <c r="C515" s="7" t="inlineStr">
        <is>
          <t>Cọc trụ T1 L=40m (tr.68)</t>
        </is>
      </c>
      <c r="D515" s="18" t="inlineStr">
        <is>
          <t>P6</t>
        </is>
      </c>
      <c r="E515" s="19" t="n">
        <v>25</v>
      </c>
      <c r="F515" s="6" t="inlineStr">
        <is>
          <t>CB400-V</t>
        </is>
      </c>
      <c r="G515" s="7" t="inlineStr"/>
      <c r="H515" s="20" t="n">
        <v>9.032999999999999</v>
      </c>
      <c r="I515" s="21" t="n">
        <v>12</v>
      </c>
      <c r="J515" s="22" t="n">
        <v>3.853</v>
      </c>
      <c r="K515" s="9">
        <f>ROUND(H515*I515*J515, 2)</f>
        <v/>
      </c>
      <c r="L515" s="23">
        <f>ROUND(K515/1000, 3)</f>
        <v/>
      </c>
      <c r="M515" s="8">
        <f>IF(AO515="","",IF(INDEX(Theo_Doi_Tan_Suat_Be_Tong!$C:$C,AO515)="","",INDEX(Theo_Doi_Tan_Suat_Be_Tong!$C:$C,AO515)-VLOOKUP(AN515,$AQ$2:$AR$7,2,FALSE)))</f>
        <v/>
      </c>
      <c r="N515" s="6" t="n"/>
      <c r="O515" s="24">
        <f>IF(ROUNDUP(W515/20,0)&gt;ROUNDUP(W514/20,0),"TN Ø25 (Lần " &amp; ROUNDUP(W515/20,0) &amp; ")","")</f>
        <v/>
      </c>
      <c r="P515" s="20">
        <f>ROUND(P514+IF(AND(E515&lt;=10,F515&lt;&gt;"ASTM A416"),L515,0),3)</f>
        <v/>
      </c>
      <c r="Q515" s="20">
        <f>ROUND(Q514+IF(AND(E515=12,F515&lt;&gt;"ASTM A416"),L515,0),3)</f>
        <v/>
      </c>
      <c r="R515" s="20">
        <f>ROUND(R514+IF(AND(E515=14,F515&lt;&gt;"ASTM A416"),L515,0),3)</f>
        <v/>
      </c>
      <c r="S515" s="20">
        <f>ROUND(S514+IF(AND(E515=16,F515&lt;&gt;"ASTM A416"),L515,0),3)</f>
        <v/>
      </c>
      <c r="T515" s="20">
        <f>ROUND(T514+IF(AND(E515=18,F515&lt;&gt;"ASTM A416"),L515,0),3)</f>
        <v/>
      </c>
      <c r="U515" s="20">
        <f>ROUND(U514+IF(AND(E515=20,F515&lt;&gt;"ASTM A416"),L515,0),3)</f>
        <v/>
      </c>
      <c r="V515" s="20">
        <f>ROUND(V514+IF(AND(E515=22,F515&lt;&gt;"ASTM A416"),L515,0),3)</f>
        <v/>
      </c>
      <c r="W515" s="20">
        <f>ROUND(W514+IF(AND(E515=25,F515&lt;&gt;"ASTM A416"),L515,0),3)</f>
        <v/>
      </c>
      <c r="X515" s="20">
        <f>ROUND(X514+IF(AND(E515=28,F515&lt;&gt;"ASTM A416"),L515,0),3)</f>
        <v/>
      </c>
      <c r="Y515" s="20">
        <f>ROUND(Y514+IF(AND(E515=32,F515&lt;&gt;"ASTM A416"),L515,0),3)</f>
        <v/>
      </c>
      <c r="Z515" s="20">
        <f>ROUND(Z514+IF(F515="ASTM A416",L515,0),3)</f>
        <v/>
      </c>
      <c r="AA515" s="11">
        <f>IF(ROUNDUP(P515/20,0)&gt;ROUNDUP(P514/20,0),"Lần " &amp; ROUNDUP(P515/20,0),"")</f>
        <v/>
      </c>
      <c r="AB515" s="11">
        <f>IF(ROUNDUP(Q515/20,0)&gt;ROUNDUP(Q514/20,0),"Lần " &amp; ROUNDUP(Q515/20,0),"")</f>
        <v/>
      </c>
      <c r="AC515" s="11">
        <f>IF(ROUNDUP(R515/20,0)&gt;ROUNDUP(R514/20,0),"Lần " &amp; ROUNDUP(R515/20,0),"")</f>
        <v/>
      </c>
      <c r="AD515" s="11">
        <f>IF(ROUNDUP(S515/20,0)&gt;ROUNDUP(S514/20,0),"Lần " &amp; ROUNDUP(S515/20,0),"")</f>
        <v/>
      </c>
      <c r="AE515" s="11">
        <f>IF(ROUNDUP(T515/20,0)&gt;ROUNDUP(T514/20,0),"Lần " &amp; ROUNDUP(T515/20,0),"")</f>
        <v/>
      </c>
      <c r="AF515" s="11">
        <f>IF(ROUNDUP(U515/20,0)&gt;ROUNDUP(U514/20,0),"Lần " &amp; ROUNDUP(U515/20,0),"")</f>
        <v/>
      </c>
      <c r="AG515" s="11">
        <f>IF(ROUNDUP(V515/20,0)&gt;ROUNDUP(V514/20,0),"Lần " &amp; ROUNDUP(V515/20,0),"")</f>
        <v/>
      </c>
      <c r="AH515" s="11">
        <f>IF(ROUNDUP(W515/20,0)&gt;ROUNDUP(W514/20,0),"Lần " &amp; ROUNDUP(W515/20,0),"")</f>
        <v/>
      </c>
      <c r="AI515" s="11">
        <f>IF(ROUNDUP(X515/20,0)&gt;ROUNDUP(X514/20,0),"Lần " &amp; ROUNDUP(X515/20,0),"")</f>
        <v/>
      </c>
      <c r="AJ515" s="11">
        <f>IF(ROUNDUP(Y515/20,0)&gt;ROUNDUP(Y514/20,0),"Lần " &amp; ROUNDUP(Y515/20,0),"")</f>
        <v/>
      </c>
      <c r="AK515" s="11">
        <f>IF(ROUNDUP(Z515/20,0)&gt;ROUNDUP(Z514/20,0),"Lần " &amp; ROUNDUP(Z515/20,0),"")</f>
        <v/>
      </c>
      <c r="AL515" s="6" t="n"/>
      <c r="AN515" t="inlineStr">
        <is>
          <t>Coc</t>
        </is>
      </c>
      <c r="AO515" t="n">
        <v>11</v>
      </c>
    </row>
    <row r="516" ht="19" customHeight="1">
      <c r="A516" s="6" t="n">
        <v>492</v>
      </c>
      <c r="B516" s="7" t="inlineStr">
        <is>
          <t>Cọc khoan nhồi C5 Trụ T1 (D1.2m, L=40.0m)</t>
        </is>
      </c>
      <c r="C516" s="7" t="inlineStr">
        <is>
          <t>Cọc trụ T1 L=40m (tr.68)</t>
        </is>
      </c>
      <c r="D516" s="18" t="inlineStr">
        <is>
          <t>P7</t>
        </is>
      </c>
      <c r="E516" s="19" t="n">
        <v>25</v>
      </c>
      <c r="F516" s="6" t="inlineStr">
        <is>
          <t>CB400-V</t>
        </is>
      </c>
      <c r="G516" s="7" t="inlineStr"/>
      <c r="H516" s="20" t="n">
        <v>10.033</v>
      </c>
      <c r="I516" s="21" t="n">
        <v>12</v>
      </c>
      <c r="J516" s="22" t="n">
        <v>3.853</v>
      </c>
      <c r="K516" s="9">
        <f>ROUND(H516*I516*J516, 2)</f>
        <v/>
      </c>
      <c r="L516" s="23">
        <f>ROUND(K516/1000, 3)</f>
        <v/>
      </c>
      <c r="M516" s="8">
        <f>IF(AO516="","",IF(INDEX(Theo_Doi_Tan_Suat_Be_Tong!$C:$C,AO516)="","",INDEX(Theo_Doi_Tan_Suat_Be_Tong!$C:$C,AO516)-VLOOKUP(AN516,$AQ$2:$AR$7,2,FALSE)))</f>
        <v/>
      </c>
      <c r="N516" s="6" t="n"/>
      <c r="O516" s="24">
        <f>IF(ROUNDUP(W516/20,0)&gt;ROUNDUP(W515/20,0),"TN Ø25 (Lần " &amp; ROUNDUP(W516/20,0) &amp; ")","")</f>
        <v/>
      </c>
      <c r="P516" s="20">
        <f>ROUND(P515+IF(AND(E516&lt;=10,F516&lt;&gt;"ASTM A416"),L516,0),3)</f>
        <v/>
      </c>
      <c r="Q516" s="20">
        <f>ROUND(Q515+IF(AND(E516=12,F516&lt;&gt;"ASTM A416"),L516,0),3)</f>
        <v/>
      </c>
      <c r="R516" s="20">
        <f>ROUND(R515+IF(AND(E516=14,F516&lt;&gt;"ASTM A416"),L516,0),3)</f>
        <v/>
      </c>
      <c r="S516" s="20">
        <f>ROUND(S515+IF(AND(E516=16,F516&lt;&gt;"ASTM A416"),L516,0),3)</f>
        <v/>
      </c>
      <c r="T516" s="20">
        <f>ROUND(T515+IF(AND(E516=18,F516&lt;&gt;"ASTM A416"),L516,0),3)</f>
        <v/>
      </c>
      <c r="U516" s="20">
        <f>ROUND(U515+IF(AND(E516=20,F516&lt;&gt;"ASTM A416"),L516,0),3)</f>
        <v/>
      </c>
      <c r="V516" s="20">
        <f>ROUND(V515+IF(AND(E516=22,F516&lt;&gt;"ASTM A416"),L516,0),3)</f>
        <v/>
      </c>
      <c r="W516" s="20">
        <f>ROUND(W515+IF(AND(E516=25,F516&lt;&gt;"ASTM A416"),L516,0),3)</f>
        <v/>
      </c>
      <c r="X516" s="20">
        <f>ROUND(X515+IF(AND(E516=28,F516&lt;&gt;"ASTM A416"),L516,0),3)</f>
        <v/>
      </c>
      <c r="Y516" s="20">
        <f>ROUND(Y515+IF(AND(E516=32,F516&lt;&gt;"ASTM A416"),L516,0),3)</f>
        <v/>
      </c>
      <c r="Z516" s="20">
        <f>ROUND(Z515+IF(F516="ASTM A416",L516,0),3)</f>
        <v/>
      </c>
      <c r="AA516" s="11">
        <f>IF(ROUNDUP(P516/20,0)&gt;ROUNDUP(P515/20,0),"Lần " &amp; ROUNDUP(P516/20,0),"")</f>
        <v/>
      </c>
      <c r="AB516" s="11">
        <f>IF(ROUNDUP(Q516/20,0)&gt;ROUNDUP(Q515/20,0),"Lần " &amp; ROUNDUP(Q516/20,0),"")</f>
        <v/>
      </c>
      <c r="AC516" s="11">
        <f>IF(ROUNDUP(R516/20,0)&gt;ROUNDUP(R515/20,0),"Lần " &amp; ROUNDUP(R516/20,0),"")</f>
        <v/>
      </c>
      <c r="AD516" s="11">
        <f>IF(ROUNDUP(S516/20,0)&gt;ROUNDUP(S515/20,0),"Lần " &amp; ROUNDUP(S516/20,0),"")</f>
        <v/>
      </c>
      <c r="AE516" s="11">
        <f>IF(ROUNDUP(T516/20,0)&gt;ROUNDUP(T515/20,0),"Lần " &amp; ROUNDUP(T516/20,0),"")</f>
        <v/>
      </c>
      <c r="AF516" s="11">
        <f>IF(ROUNDUP(U516/20,0)&gt;ROUNDUP(U515/20,0),"Lần " &amp; ROUNDUP(U516/20,0),"")</f>
        <v/>
      </c>
      <c r="AG516" s="11">
        <f>IF(ROUNDUP(V516/20,0)&gt;ROUNDUP(V515/20,0),"Lần " &amp; ROUNDUP(V516/20,0),"")</f>
        <v/>
      </c>
      <c r="AH516" s="11">
        <f>IF(ROUNDUP(W516/20,0)&gt;ROUNDUP(W515/20,0),"Lần " &amp; ROUNDUP(W516/20,0),"")</f>
        <v/>
      </c>
      <c r="AI516" s="11">
        <f>IF(ROUNDUP(X516/20,0)&gt;ROUNDUP(X515/20,0),"Lần " &amp; ROUNDUP(X516/20,0),"")</f>
        <v/>
      </c>
      <c r="AJ516" s="11">
        <f>IF(ROUNDUP(Y516/20,0)&gt;ROUNDUP(Y515/20,0),"Lần " &amp; ROUNDUP(Y516/20,0),"")</f>
        <v/>
      </c>
      <c r="AK516" s="11">
        <f>IF(ROUNDUP(Z516/20,0)&gt;ROUNDUP(Z515/20,0),"Lần " &amp; ROUNDUP(Z516/20,0),"")</f>
        <v/>
      </c>
      <c r="AL516" s="6" t="n"/>
      <c r="AN516" t="inlineStr">
        <is>
          <t>Coc</t>
        </is>
      </c>
      <c r="AO516" t="n">
        <v>11</v>
      </c>
    </row>
    <row r="517" ht="19" customHeight="1">
      <c r="A517" s="6" t="n">
        <v>493</v>
      </c>
      <c r="B517" s="7" t="inlineStr">
        <is>
          <t>Cọc khoan nhồi C5 Trụ T1 (D1.2m, L=40.0m)</t>
        </is>
      </c>
      <c r="C517" s="7" t="inlineStr">
        <is>
          <t>Cọc trụ T1 L=40m (tr.68)</t>
        </is>
      </c>
      <c r="D517" s="18" t="inlineStr">
        <is>
          <t>P8</t>
        </is>
      </c>
      <c r="E517" s="19" t="n">
        <v>12</v>
      </c>
      <c r="F517" s="6" t="inlineStr">
        <is>
          <t>CB400-V</t>
        </is>
      </c>
      <c r="G517" s="7" t="inlineStr"/>
      <c r="H517" s="20" t="n">
        <v>0.647</v>
      </c>
      <c r="I517" s="21" t="n">
        <v>16</v>
      </c>
      <c r="J517" s="22" t="n">
        <v>0.888</v>
      </c>
      <c r="K517" s="9">
        <f>ROUND(H517*I517*J517, 2)</f>
        <v/>
      </c>
      <c r="L517" s="23">
        <f>ROUND(K517/1000, 3)</f>
        <v/>
      </c>
      <c r="M517" s="8">
        <f>IF(AO517="","",IF(INDEX(Theo_Doi_Tan_Suat_Be_Tong!$C:$C,AO517)="","",INDEX(Theo_Doi_Tan_Suat_Be_Tong!$C:$C,AO517)-VLOOKUP(AN517,$AQ$2:$AR$7,2,FALSE)))</f>
        <v/>
      </c>
      <c r="N517" s="6" t="n"/>
      <c r="O517" s="24">
        <f>IF(ROUNDUP(Q517/20,0)&gt;ROUNDUP(Q516/20,0),"TN Ø12 (Lần " &amp; ROUNDUP(Q517/20,0) &amp; ")","")</f>
        <v/>
      </c>
      <c r="P517" s="20">
        <f>ROUND(P516+IF(AND(E517&lt;=10,F517&lt;&gt;"ASTM A416"),L517,0),3)</f>
        <v/>
      </c>
      <c r="Q517" s="20">
        <f>ROUND(Q516+IF(AND(E517=12,F517&lt;&gt;"ASTM A416"),L517,0),3)</f>
        <v/>
      </c>
      <c r="R517" s="20">
        <f>ROUND(R516+IF(AND(E517=14,F517&lt;&gt;"ASTM A416"),L517,0),3)</f>
        <v/>
      </c>
      <c r="S517" s="20">
        <f>ROUND(S516+IF(AND(E517=16,F517&lt;&gt;"ASTM A416"),L517,0),3)</f>
        <v/>
      </c>
      <c r="T517" s="20">
        <f>ROUND(T516+IF(AND(E517=18,F517&lt;&gt;"ASTM A416"),L517,0),3)</f>
        <v/>
      </c>
      <c r="U517" s="20">
        <f>ROUND(U516+IF(AND(E517=20,F517&lt;&gt;"ASTM A416"),L517,0),3)</f>
        <v/>
      </c>
      <c r="V517" s="20">
        <f>ROUND(V516+IF(AND(E517=22,F517&lt;&gt;"ASTM A416"),L517,0),3)</f>
        <v/>
      </c>
      <c r="W517" s="20">
        <f>ROUND(W516+IF(AND(E517=25,F517&lt;&gt;"ASTM A416"),L517,0),3)</f>
        <v/>
      </c>
      <c r="X517" s="20">
        <f>ROUND(X516+IF(AND(E517=28,F517&lt;&gt;"ASTM A416"),L517,0),3)</f>
        <v/>
      </c>
      <c r="Y517" s="20">
        <f>ROUND(Y516+IF(AND(E517=32,F517&lt;&gt;"ASTM A416"),L517,0),3)</f>
        <v/>
      </c>
      <c r="Z517" s="20">
        <f>ROUND(Z516+IF(F517="ASTM A416",L517,0),3)</f>
        <v/>
      </c>
      <c r="AA517" s="11">
        <f>IF(ROUNDUP(P517/20,0)&gt;ROUNDUP(P516/20,0),"Lần " &amp; ROUNDUP(P517/20,0),"")</f>
        <v/>
      </c>
      <c r="AB517" s="11">
        <f>IF(ROUNDUP(Q517/20,0)&gt;ROUNDUP(Q516/20,0),"Lần " &amp; ROUNDUP(Q517/20,0),"")</f>
        <v/>
      </c>
      <c r="AC517" s="11">
        <f>IF(ROUNDUP(R517/20,0)&gt;ROUNDUP(R516/20,0),"Lần " &amp; ROUNDUP(R517/20,0),"")</f>
        <v/>
      </c>
      <c r="AD517" s="11">
        <f>IF(ROUNDUP(S517/20,0)&gt;ROUNDUP(S516/20,0),"Lần " &amp; ROUNDUP(S517/20,0),"")</f>
        <v/>
      </c>
      <c r="AE517" s="11">
        <f>IF(ROUNDUP(T517/20,0)&gt;ROUNDUP(T516/20,0),"Lần " &amp; ROUNDUP(T517/20,0),"")</f>
        <v/>
      </c>
      <c r="AF517" s="11">
        <f>IF(ROUNDUP(U517/20,0)&gt;ROUNDUP(U516/20,0),"Lần " &amp; ROUNDUP(U517/20,0),"")</f>
        <v/>
      </c>
      <c r="AG517" s="11">
        <f>IF(ROUNDUP(V517/20,0)&gt;ROUNDUP(V516/20,0),"Lần " &amp; ROUNDUP(V517/20,0),"")</f>
        <v/>
      </c>
      <c r="AH517" s="11">
        <f>IF(ROUNDUP(W517/20,0)&gt;ROUNDUP(W516/20,0),"Lần " &amp; ROUNDUP(W517/20,0),"")</f>
        <v/>
      </c>
      <c r="AI517" s="11">
        <f>IF(ROUNDUP(X517/20,0)&gt;ROUNDUP(X516/20,0),"Lần " &amp; ROUNDUP(X517/20,0),"")</f>
        <v/>
      </c>
      <c r="AJ517" s="11">
        <f>IF(ROUNDUP(Y517/20,0)&gt;ROUNDUP(Y516/20,0),"Lần " &amp; ROUNDUP(Y517/20,0),"")</f>
        <v/>
      </c>
      <c r="AK517" s="11">
        <f>IF(ROUNDUP(Z517/20,0)&gt;ROUNDUP(Z516/20,0),"Lần " &amp; ROUNDUP(Z517/20,0),"")</f>
        <v/>
      </c>
      <c r="AL517" s="6" t="n"/>
      <c r="AN517" t="inlineStr">
        <is>
          <t>Coc</t>
        </is>
      </c>
      <c r="AO517" t="n">
        <v>11</v>
      </c>
    </row>
    <row r="518" ht="19" customHeight="1">
      <c r="A518" s="6" t="n">
        <v>494</v>
      </c>
      <c r="B518" s="7" t="inlineStr">
        <is>
          <t>Cọc khoan nhồi C5 Trụ T1 (D1.2m, L=40.0m)</t>
        </is>
      </c>
      <c r="C518" s="7" t="inlineStr">
        <is>
          <t>Cọc trụ T1 L=40m (tr.68)</t>
        </is>
      </c>
      <c r="D518" s="18" t="inlineStr">
        <is>
          <t>P9</t>
        </is>
      </c>
      <c r="E518" s="19" t="n">
        <v>12</v>
      </c>
      <c r="F518" s="6" t="inlineStr">
        <is>
          <t>CB400-V</t>
        </is>
      </c>
      <c r="G518" s="7" t="inlineStr"/>
      <c r="H518" s="20" t="n">
        <v>0.379</v>
      </c>
      <c r="I518" s="21" t="n">
        <v>48</v>
      </c>
      <c r="J518" s="22" t="n">
        <v>0.888</v>
      </c>
      <c r="K518" s="9">
        <f>ROUND(H518*I518*J518, 2)</f>
        <v/>
      </c>
      <c r="L518" s="23">
        <f>ROUND(K518/1000, 3)</f>
        <v/>
      </c>
      <c r="M518" s="8">
        <f>IF(AO518="","",IF(INDEX(Theo_Doi_Tan_Suat_Be_Tong!$C:$C,AO518)="","",INDEX(Theo_Doi_Tan_Suat_Be_Tong!$C:$C,AO518)-VLOOKUP(AN518,$AQ$2:$AR$7,2,FALSE)))</f>
        <v/>
      </c>
      <c r="N518" s="6" t="n"/>
      <c r="O518" s="24">
        <f>IF(ROUNDUP(Q518/20,0)&gt;ROUNDUP(Q517/20,0),"TN Ø12 (Lần " &amp; ROUNDUP(Q518/20,0) &amp; ")","")</f>
        <v/>
      </c>
      <c r="P518" s="20">
        <f>ROUND(P517+IF(AND(E518&lt;=10,F518&lt;&gt;"ASTM A416"),L518,0),3)</f>
        <v/>
      </c>
      <c r="Q518" s="20">
        <f>ROUND(Q517+IF(AND(E518=12,F518&lt;&gt;"ASTM A416"),L518,0),3)</f>
        <v/>
      </c>
      <c r="R518" s="20">
        <f>ROUND(R517+IF(AND(E518=14,F518&lt;&gt;"ASTM A416"),L518,0),3)</f>
        <v/>
      </c>
      <c r="S518" s="20">
        <f>ROUND(S517+IF(AND(E518=16,F518&lt;&gt;"ASTM A416"),L518,0),3)</f>
        <v/>
      </c>
      <c r="T518" s="20">
        <f>ROUND(T517+IF(AND(E518=18,F518&lt;&gt;"ASTM A416"),L518,0),3)</f>
        <v/>
      </c>
      <c r="U518" s="20">
        <f>ROUND(U517+IF(AND(E518=20,F518&lt;&gt;"ASTM A416"),L518,0),3)</f>
        <v/>
      </c>
      <c r="V518" s="20">
        <f>ROUND(V517+IF(AND(E518=22,F518&lt;&gt;"ASTM A416"),L518,0),3)</f>
        <v/>
      </c>
      <c r="W518" s="20">
        <f>ROUND(W517+IF(AND(E518=25,F518&lt;&gt;"ASTM A416"),L518,0),3)</f>
        <v/>
      </c>
      <c r="X518" s="20">
        <f>ROUND(X517+IF(AND(E518=28,F518&lt;&gt;"ASTM A416"),L518,0),3)</f>
        <v/>
      </c>
      <c r="Y518" s="20">
        <f>ROUND(Y517+IF(AND(E518=32,F518&lt;&gt;"ASTM A416"),L518,0),3)</f>
        <v/>
      </c>
      <c r="Z518" s="20">
        <f>ROUND(Z517+IF(F518="ASTM A416",L518,0),3)</f>
        <v/>
      </c>
      <c r="AA518" s="11">
        <f>IF(ROUNDUP(P518/20,0)&gt;ROUNDUP(P517/20,0),"Lần " &amp; ROUNDUP(P518/20,0),"")</f>
        <v/>
      </c>
      <c r="AB518" s="11">
        <f>IF(ROUNDUP(Q518/20,0)&gt;ROUNDUP(Q517/20,0),"Lần " &amp; ROUNDUP(Q518/20,0),"")</f>
        <v/>
      </c>
      <c r="AC518" s="11">
        <f>IF(ROUNDUP(R518/20,0)&gt;ROUNDUP(R517/20,0),"Lần " &amp; ROUNDUP(R518/20,0),"")</f>
        <v/>
      </c>
      <c r="AD518" s="11">
        <f>IF(ROUNDUP(S518/20,0)&gt;ROUNDUP(S517/20,0),"Lần " &amp; ROUNDUP(S518/20,0),"")</f>
        <v/>
      </c>
      <c r="AE518" s="11">
        <f>IF(ROUNDUP(T518/20,0)&gt;ROUNDUP(T517/20,0),"Lần " &amp; ROUNDUP(T518/20,0),"")</f>
        <v/>
      </c>
      <c r="AF518" s="11">
        <f>IF(ROUNDUP(U518/20,0)&gt;ROUNDUP(U517/20,0),"Lần " &amp; ROUNDUP(U518/20,0),"")</f>
        <v/>
      </c>
      <c r="AG518" s="11">
        <f>IF(ROUNDUP(V518/20,0)&gt;ROUNDUP(V517/20,0),"Lần " &amp; ROUNDUP(V518/20,0),"")</f>
        <v/>
      </c>
      <c r="AH518" s="11">
        <f>IF(ROUNDUP(W518/20,0)&gt;ROUNDUP(W517/20,0),"Lần " &amp; ROUNDUP(W518/20,0),"")</f>
        <v/>
      </c>
      <c r="AI518" s="11">
        <f>IF(ROUNDUP(X518/20,0)&gt;ROUNDUP(X517/20,0),"Lần " &amp; ROUNDUP(X518/20,0),"")</f>
        <v/>
      </c>
      <c r="AJ518" s="11">
        <f>IF(ROUNDUP(Y518/20,0)&gt;ROUNDUP(Y517/20,0),"Lần " &amp; ROUNDUP(Y518/20,0),"")</f>
        <v/>
      </c>
      <c r="AK518" s="11">
        <f>IF(ROUNDUP(Z518/20,0)&gt;ROUNDUP(Z517/20,0),"Lần " &amp; ROUNDUP(Z518/20,0),"")</f>
        <v/>
      </c>
      <c r="AL518" s="6" t="n"/>
      <c r="AN518" t="inlineStr">
        <is>
          <t>Coc</t>
        </is>
      </c>
      <c r="AO518" t="n">
        <v>11</v>
      </c>
    </row>
    <row r="519" ht="19" customHeight="1">
      <c r="A519" s="6" t="n">
        <v>495</v>
      </c>
      <c r="B519" s="7" t="inlineStr">
        <is>
          <t>Cọc khoan nhồi C5 Trụ T1 (D1.2m, L=40.0m)</t>
        </is>
      </c>
      <c r="C519" s="7" t="inlineStr">
        <is>
          <t>Cọc trụ T1 L=40m (tr.68)</t>
        </is>
      </c>
      <c r="D519" s="18" t="inlineStr">
        <is>
          <t>P10</t>
        </is>
      </c>
      <c r="E519" s="19" t="n">
        <v>20</v>
      </c>
      <c r="F519" s="6" t="inlineStr">
        <is>
          <t>CB400-V</t>
        </is>
      </c>
      <c r="G519" s="7" t="inlineStr"/>
      <c r="H519" s="20" t="n">
        <v>2.057</v>
      </c>
      <c r="I519" s="21" t="n">
        <v>1</v>
      </c>
      <c r="J519" s="22" t="n">
        <v>2.466</v>
      </c>
      <c r="K519" s="9">
        <f>ROUND(H519*I519*J519, 2)</f>
        <v/>
      </c>
      <c r="L519" s="23">
        <f>ROUND(K519/1000, 3)</f>
        <v/>
      </c>
      <c r="M519" s="8">
        <f>IF(AO519="","",IF(INDEX(Theo_Doi_Tan_Suat_Be_Tong!$C:$C,AO519)="","",INDEX(Theo_Doi_Tan_Suat_Be_Tong!$C:$C,AO519)-VLOOKUP(AN519,$AQ$2:$AR$7,2,FALSE)))</f>
        <v/>
      </c>
      <c r="N519" s="6" t="n"/>
      <c r="O519" s="24">
        <f>IF(ROUNDUP(U519/20,0)&gt;ROUNDUP(U518/20,0),"TN Ø20 (Lần " &amp; ROUNDUP(U519/20,0) &amp; ")","")</f>
        <v/>
      </c>
      <c r="P519" s="20">
        <f>ROUND(P518+IF(AND(E519&lt;=10,F519&lt;&gt;"ASTM A416"),L519,0),3)</f>
        <v/>
      </c>
      <c r="Q519" s="20">
        <f>ROUND(Q518+IF(AND(E519=12,F519&lt;&gt;"ASTM A416"),L519,0),3)</f>
        <v/>
      </c>
      <c r="R519" s="20">
        <f>ROUND(R518+IF(AND(E519=14,F519&lt;&gt;"ASTM A416"),L519,0),3)</f>
        <v/>
      </c>
      <c r="S519" s="20">
        <f>ROUND(S518+IF(AND(E519=16,F519&lt;&gt;"ASTM A416"),L519,0),3)</f>
        <v/>
      </c>
      <c r="T519" s="20">
        <f>ROUND(T518+IF(AND(E519=18,F519&lt;&gt;"ASTM A416"),L519,0),3)</f>
        <v/>
      </c>
      <c r="U519" s="20">
        <f>ROUND(U518+IF(AND(E519=20,F519&lt;&gt;"ASTM A416"),L519,0),3)</f>
        <v/>
      </c>
      <c r="V519" s="20">
        <f>ROUND(V518+IF(AND(E519=22,F519&lt;&gt;"ASTM A416"),L519,0),3)</f>
        <v/>
      </c>
      <c r="W519" s="20">
        <f>ROUND(W518+IF(AND(E519=25,F519&lt;&gt;"ASTM A416"),L519,0),3)</f>
        <v/>
      </c>
      <c r="X519" s="20">
        <f>ROUND(X518+IF(AND(E519=28,F519&lt;&gt;"ASTM A416"),L519,0),3)</f>
        <v/>
      </c>
      <c r="Y519" s="20">
        <f>ROUND(Y518+IF(AND(E519=32,F519&lt;&gt;"ASTM A416"),L519,0),3)</f>
        <v/>
      </c>
      <c r="Z519" s="20">
        <f>ROUND(Z518+IF(F519="ASTM A416",L519,0),3)</f>
        <v/>
      </c>
      <c r="AA519" s="11">
        <f>IF(ROUNDUP(P519/20,0)&gt;ROUNDUP(P518/20,0),"Lần " &amp; ROUNDUP(P519/20,0),"")</f>
        <v/>
      </c>
      <c r="AB519" s="11">
        <f>IF(ROUNDUP(Q519/20,0)&gt;ROUNDUP(Q518/20,0),"Lần " &amp; ROUNDUP(Q519/20,0),"")</f>
        <v/>
      </c>
      <c r="AC519" s="11">
        <f>IF(ROUNDUP(R519/20,0)&gt;ROUNDUP(R518/20,0),"Lần " &amp; ROUNDUP(R519/20,0),"")</f>
        <v/>
      </c>
      <c r="AD519" s="11">
        <f>IF(ROUNDUP(S519/20,0)&gt;ROUNDUP(S518/20,0),"Lần " &amp; ROUNDUP(S519/20,0),"")</f>
        <v/>
      </c>
      <c r="AE519" s="11">
        <f>IF(ROUNDUP(T519/20,0)&gt;ROUNDUP(T518/20,0),"Lần " &amp; ROUNDUP(T519/20,0),"")</f>
        <v/>
      </c>
      <c r="AF519" s="11">
        <f>IF(ROUNDUP(U519/20,0)&gt;ROUNDUP(U518/20,0),"Lần " &amp; ROUNDUP(U519/20,0),"")</f>
        <v/>
      </c>
      <c r="AG519" s="11">
        <f>IF(ROUNDUP(V519/20,0)&gt;ROUNDUP(V518/20,0),"Lần " &amp; ROUNDUP(V519/20,0),"")</f>
        <v/>
      </c>
      <c r="AH519" s="11">
        <f>IF(ROUNDUP(W519/20,0)&gt;ROUNDUP(W518/20,0),"Lần " &amp; ROUNDUP(W519/20,0),"")</f>
        <v/>
      </c>
      <c r="AI519" s="11">
        <f>IF(ROUNDUP(X519/20,0)&gt;ROUNDUP(X518/20,0),"Lần " &amp; ROUNDUP(X519/20,0),"")</f>
        <v/>
      </c>
      <c r="AJ519" s="11">
        <f>IF(ROUNDUP(Y519/20,0)&gt;ROUNDUP(Y518/20,0),"Lần " &amp; ROUNDUP(Y519/20,0),"")</f>
        <v/>
      </c>
      <c r="AK519" s="11">
        <f>IF(ROUNDUP(Z519/20,0)&gt;ROUNDUP(Z518/20,0),"Lần " &amp; ROUNDUP(Z519/20,0),"")</f>
        <v/>
      </c>
      <c r="AL519" s="6" t="n"/>
      <c r="AN519" t="inlineStr">
        <is>
          <t>Coc</t>
        </is>
      </c>
      <c r="AO519" t="n">
        <v>11</v>
      </c>
    </row>
    <row r="520" ht="19" customHeight="1">
      <c r="A520" s="6" t="n">
        <v>496</v>
      </c>
      <c r="B520" s="7" t="inlineStr">
        <is>
          <t>Cọc khoan nhồi C5 Trụ T1 (D1.2m, L=40.0m)</t>
        </is>
      </c>
      <c r="C520" s="7" t="inlineStr">
        <is>
          <t>Cọc trụ T1 L=40m (tr.68)</t>
        </is>
      </c>
      <c r="D520" s="18" t="inlineStr">
        <is>
          <t>P12</t>
        </is>
      </c>
      <c r="E520" s="19" t="n">
        <v>20</v>
      </c>
      <c r="F520" s="6" t="inlineStr">
        <is>
          <t>CB400-V</t>
        </is>
      </c>
      <c r="G520" s="7" t="inlineStr"/>
      <c r="H520" s="20" t="n">
        <v>0.583</v>
      </c>
      <c r="I520" s="21" t="n">
        <v>64</v>
      </c>
      <c r="J520" s="22" t="n">
        <v>2.466</v>
      </c>
      <c r="K520" s="9">
        <f>ROUND(H520*I520*J520, 2)</f>
        <v/>
      </c>
      <c r="L520" s="23">
        <f>ROUND(K520/1000, 3)</f>
        <v/>
      </c>
      <c r="M520" s="8">
        <f>IF(AO520="","",IF(INDEX(Theo_Doi_Tan_Suat_Be_Tong!$C:$C,AO520)="","",INDEX(Theo_Doi_Tan_Suat_Be_Tong!$C:$C,AO520)-VLOOKUP(AN520,$AQ$2:$AR$7,2,FALSE)))</f>
        <v/>
      </c>
      <c r="N520" s="6" t="n"/>
      <c r="O520" s="24">
        <f>IF(ROUNDUP(U520/20,0)&gt;ROUNDUP(U519/20,0),"TN Ø20 (Lần " &amp; ROUNDUP(U520/20,0) &amp; ")","")</f>
        <v/>
      </c>
      <c r="P520" s="20">
        <f>ROUND(P519+IF(AND(E520&lt;=10,F520&lt;&gt;"ASTM A416"),L520,0),3)</f>
        <v/>
      </c>
      <c r="Q520" s="20">
        <f>ROUND(Q519+IF(AND(E520=12,F520&lt;&gt;"ASTM A416"),L520,0),3)</f>
        <v/>
      </c>
      <c r="R520" s="20">
        <f>ROUND(R519+IF(AND(E520=14,F520&lt;&gt;"ASTM A416"),L520,0),3)</f>
        <v/>
      </c>
      <c r="S520" s="20">
        <f>ROUND(S519+IF(AND(E520=16,F520&lt;&gt;"ASTM A416"),L520,0),3)</f>
        <v/>
      </c>
      <c r="T520" s="20">
        <f>ROUND(T519+IF(AND(E520=18,F520&lt;&gt;"ASTM A416"),L520,0),3)</f>
        <v/>
      </c>
      <c r="U520" s="20">
        <f>ROUND(U519+IF(AND(E520=20,F520&lt;&gt;"ASTM A416"),L520,0),3)</f>
        <v/>
      </c>
      <c r="V520" s="20">
        <f>ROUND(V519+IF(AND(E520=22,F520&lt;&gt;"ASTM A416"),L520,0),3)</f>
        <v/>
      </c>
      <c r="W520" s="20">
        <f>ROUND(W519+IF(AND(E520=25,F520&lt;&gt;"ASTM A416"),L520,0),3)</f>
        <v/>
      </c>
      <c r="X520" s="20">
        <f>ROUND(X519+IF(AND(E520=28,F520&lt;&gt;"ASTM A416"),L520,0),3)</f>
        <v/>
      </c>
      <c r="Y520" s="20">
        <f>ROUND(Y519+IF(AND(E520=32,F520&lt;&gt;"ASTM A416"),L520,0),3)</f>
        <v/>
      </c>
      <c r="Z520" s="20">
        <f>ROUND(Z519+IF(F520="ASTM A416",L520,0),3)</f>
        <v/>
      </c>
      <c r="AA520" s="11">
        <f>IF(ROUNDUP(P520/20,0)&gt;ROUNDUP(P519/20,0),"Lần " &amp; ROUNDUP(P520/20,0),"")</f>
        <v/>
      </c>
      <c r="AB520" s="11">
        <f>IF(ROUNDUP(Q520/20,0)&gt;ROUNDUP(Q519/20,0),"Lần " &amp; ROUNDUP(Q520/20,0),"")</f>
        <v/>
      </c>
      <c r="AC520" s="11">
        <f>IF(ROUNDUP(R520/20,0)&gt;ROUNDUP(R519/20,0),"Lần " &amp; ROUNDUP(R520/20,0),"")</f>
        <v/>
      </c>
      <c r="AD520" s="11">
        <f>IF(ROUNDUP(S520/20,0)&gt;ROUNDUP(S519/20,0),"Lần " &amp; ROUNDUP(S520/20,0),"")</f>
        <v/>
      </c>
      <c r="AE520" s="11">
        <f>IF(ROUNDUP(T520/20,0)&gt;ROUNDUP(T519/20,0),"Lần " &amp; ROUNDUP(T520/20,0),"")</f>
        <v/>
      </c>
      <c r="AF520" s="11">
        <f>IF(ROUNDUP(U520/20,0)&gt;ROUNDUP(U519/20,0),"Lần " &amp; ROUNDUP(U520/20,0),"")</f>
        <v/>
      </c>
      <c r="AG520" s="11">
        <f>IF(ROUNDUP(V520/20,0)&gt;ROUNDUP(V519/20,0),"Lần " &amp; ROUNDUP(V520/20,0),"")</f>
        <v/>
      </c>
      <c r="AH520" s="11">
        <f>IF(ROUNDUP(W520/20,0)&gt;ROUNDUP(W519/20,0),"Lần " &amp; ROUNDUP(W520/20,0),"")</f>
        <v/>
      </c>
      <c r="AI520" s="11">
        <f>IF(ROUNDUP(X520/20,0)&gt;ROUNDUP(X519/20,0),"Lần " &amp; ROUNDUP(X520/20,0),"")</f>
        <v/>
      </c>
      <c r="AJ520" s="11">
        <f>IF(ROUNDUP(Y520/20,0)&gt;ROUNDUP(Y519/20,0),"Lần " &amp; ROUNDUP(Y520/20,0),"")</f>
        <v/>
      </c>
      <c r="AK520" s="11">
        <f>IF(ROUNDUP(Z520/20,0)&gt;ROUNDUP(Z519/20,0),"Lần " &amp; ROUNDUP(Z520/20,0),"")</f>
        <v/>
      </c>
      <c r="AL520" s="6" t="n"/>
      <c r="AN520" t="inlineStr">
        <is>
          <t>Coc</t>
        </is>
      </c>
      <c r="AO520" t="n">
        <v>11</v>
      </c>
    </row>
    <row r="521" ht="19" customHeight="1">
      <c r="A521" s="6" t="n">
        <v>497</v>
      </c>
      <c r="B521" s="7" t="inlineStr">
        <is>
          <t>Cọc khoan nhồi C5 Trụ T1 (D1.2m, L=40.0m)</t>
        </is>
      </c>
      <c r="C521" s="7" t="inlineStr">
        <is>
          <t>Cọc trụ T1 L=40m (tr.68)</t>
        </is>
      </c>
      <c r="D521" s="18" t="inlineStr">
        <is>
          <t>P11</t>
        </is>
      </c>
      <c r="E521" s="19" t="n">
        <v>16</v>
      </c>
      <c r="F521" s="6" t="inlineStr">
        <is>
          <t>CB400-V</t>
        </is>
      </c>
      <c r="G521" s="7" t="inlineStr"/>
      <c r="H521" s="20" t="n">
        <v>2.604</v>
      </c>
      <c r="I521" s="21" t="n">
        <v>4</v>
      </c>
      <c r="J521" s="22" t="n">
        <v>1.578</v>
      </c>
      <c r="K521" s="9">
        <f>ROUND(H521*I521*J521, 2)</f>
        <v/>
      </c>
      <c r="L521" s="23">
        <f>ROUND(K521/1000, 3)</f>
        <v/>
      </c>
      <c r="M521" s="8">
        <f>IF(AO521="","",IF(INDEX(Theo_Doi_Tan_Suat_Be_Tong!$C:$C,AO521)="","",INDEX(Theo_Doi_Tan_Suat_Be_Tong!$C:$C,AO521)-VLOOKUP(AN521,$AQ$2:$AR$7,2,FALSE)))</f>
        <v/>
      </c>
      <c r="N521" s="6" t="n"/>
      <c r="O521" s="24">
        <f>IF(ROUNDUP(S521/20,0)&gt;ROUNDUP(S520/20,0),"TN Ø16 (Lần " &amp; ROUNDUP(S521/20,0) &amp; ")","")</f>
        <v/>
      </c>
      <c r="P521" s="20">
        <f>ROUND(P520+IF(AND(E521&lt;=10,F521&lt;&gt;"ASTM A416"),L521,0),3)</f>
        <v/>
      </c>
      <c r="Q521" s="20">
        <f>ROUND(Q520+IF(AND(E521=12,F521&lt;&gt;"ASTM A416"),L521,0),3)</f>
        <v/>
      </c>
      <c r="R521" s="20">
        <f>ROUND(R520+IF(AND(E521=14,F521&lt;&gt;"ASTM A416"),L521,0),3)</f>
        <v/>
      </c>
      <c r="S521" s="20">
        <f>ROUND(S520+IF(AND(E521=16,F521&lt;&gt;"ASTM A416"),L521,0),3)</f>
        <v/>
      </c>
      <c r="T521" s="20">
        <f>ROUND(T520+IF(AND(E521=18,F521&lt;&gt;"ASTM A416"),L521,0),3)</f>
        <v/>
      </c>
      <c r="U521" s="20">
        <f>ROUND(U520+IF(AND(E521=20,F521&lt;&gt;"ASTM A416"),L521,0),3)</f>
        <v/>
      </c>
      <c r="V521" s="20">
        <f>ROUND(V520+IF(AND(E521=22,F521&lt;&gt;"ASTM A416"),L521,0),3)</f>
        <v/>
      </c>
      <c r="W521" s="20">
        <f>ROUND(W520+IF(AND(E521=25,F521&lt;&gt;"ASTM A416"),L521,0),3)</f>
        <v/>
      </c>
      <c r="X521" s="20">
        <f>ROUND(X520+IF(AND(E521=28,F521&lt;&gt;"ASTM A416"),L521,0),3)</f>
        <v/>
      </c>
      <c r="Y521" s="20">
        <f>ROUND(Y520+IF(AND(E521=32,F521&lt;&gt;"ASTM A416"),L521,0),3)</f>
        <v/>
      </c>
      <c r="Z521" s="20">
        <f>ROUND(Z520+IF(F521="ASTM A416",L521,0),3)</f>
        <v/>
      </c>
      <c r="AA521" s="11">
        <f>IF(ROUNDUP(P521/20,0)&gt;ROUNDUP(P520/20,0),"Lần " &amp; ROUNDUP(P521/20,0),"")</f>
        <v/>
      </c>
      <c r="AB521" s="11">
        <f>IF(ROUNDUP(Q521/20,0)&gt;ROUNDUP(Q520/20,0),"Lần " &amp; ROUNDUP(Q521/20,0),"")</f>
        <v/>
      </c>
      <c r="AC521" s="11">
        <f>IF(ROUNDUP(R521/20,0)&gt;ROUNDUP(R520/20,0),"Lần " &amp; ROUNDUP(R521/20,0),"")</f>
        <v/>
      </c>
      <c r="AD521" s="11">
        <f>IF(ROUNDUP(S521/20,0)&gt;ROUNDUP(S520/20,0),"Lần " &amp; ROUNDUP(S521/20,0),"")</f>
        <v/>
      </c>
      <c r="AE521" s="11">
        <f>IF(ROUNDUP(T521/20,0)&gt;ROUNDUP(T520/20,0),"Lần " &amp; ROUNDUP(T521/20,0),"")</f>
        <v/>
      </c>
      <c r="AF521" s="11">
        <f>IF(ROUNDUP(U521/20,0)&gt;ROUNDUP(U520/20,0),"Lần " &amp; ROUNDUP(U521/20,0),"")</f>
        <v/>
      </c>
      <c r="AG521" s="11">
        <f>IF(ROUNDUP(V521/20,0)&gt;ROUNDUP(V520/20,0),"Lần " &amp; ROUNDUP(V521/20,0),"")</f>
        <v/>
      </c>
      <c r="AH521" s="11">
        <f>IF(ROUNDUP(W521/20,0)&gt;ROUNDUP(W520/20,0),"Lần " &amp; ROUNDUP(W521/20,0),"")</f>
        <v/>
      </c>
      <c r="AI521" s="11">
        <f>IF(ROUNDUP(X521/20,0)&gt;ROUNDUP(X520/20,0),"Lần " &amp; ROUNDUP(X521/20,0),"")</f>
        <v/>
      </c>
      <c r="AJ521" s="11">
        <f>IF(ROUNDUP(Y521/20,0)&gt;ROUNDUP(Y520/20,0),"Lần " &amp; ROUNDUP(Y521/20,0),"")</f>
        <v/>
      </c>
      <c r="AK521" s="11">
        <f>IF(ROUNDUP(Z521/20,0)&gt;ROUNDUP(Z520/20,0),"Lần " &amp; ROUNDUP(Z521/20,0),"")</f>
        <v/>
      </c>
      <c r="AL521" s="6" t="n"/>
      <c r="AN521" t="inlineStr">
        <is>
          <t>Coc</t>
        </is>
      </c>
      <c r="AO521" t="n">
        <v>11</v>
      </c>
    </row>
    <row r="522" ht="19" customHeight="1">
      <c r="A522" s="17" t="inlineStr">
        <is>
          <t>--- CỌC KHOAN NHỒI C6 TRỤ T1 (D1.2M, L=40.0M) ---</t>
        </is>
      </c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35" t="n"/>
      <c r="AI522" s="35" t="n"/>
      <c r="AJ522" s="35" t="n"/>
      <c r="AK522" s="35" t="n"/>
      <c r="AL522" s="34" t="n"/>
    </row>
    <row r="523" ht="19" customHeight="1">
      <c r="A523" s="6" t="n">
        <v>498</v>
      </c>
      <c r="B523" s="7" t="inlineStr">
        <is>
          <t>Cọc khoan nhồi C6 Trụ T1 (D1.2m, L=40.0m)</t>
        </is>
      </c>
      <c r="C523" s="7" t="inlineStr">
        <is>
          <t>Cọc trụ T1 L=40m (tr.68)</t>
        </is>
      </c>
      <c r="D523" s="18" t="inlineStr">
        <is>
          <t>P1</t>
        </is>
      </c>
      <c r="E523" s="19" t="n">
        <v>10</v>
      </c>
      <c r="F523" s="6" t="inlineStr">
        <is>
          <t>CB240-T</t>
        </is>
      </c>
      <c r="G523" s="7" t="inlineStr"/>
      <c r="H523" s="20" t="n">
        <v>96.604</v>
      </c>
      <c r="I523" s="21" t="n">
        <v>1</v>
      </c>
      <c r="J523" s="22" t="n">
        <v>0.617</v>
      </c>
      <c r="K523" s="9">
        <f>ROUND(H523*I523*J523, 2)</f>
        <v/>
      </c>
      <c r="L523" s="23">
        <f>ROUND(K523/1000, 3)</f>
        <v/>
      </c>
      <c r="M523" s="8">
        <f>IF(AO523="","",IF(INDEX(Theo_Doi_Tan_Suat_Be_Tong!$C:$C,AO523)="","",INDEX(Theo_Doi_Tan_Suat_Be_Tong!$C:$C,AO523)-VLOOKUP(AN523,$AQ$2:$AR$7,2,FALSE)))</f>
        <v/>
      </c>
      <c r="N523" s="6" t="n"/>
      <c r="O523" s="24">
        <f>IF(ROUNDUP(P523/20,0)&gt;ROUNDUP(P521/20,0),"TN Ø10 (Lần " &amp; ROUNDUP(P523/20,0) &amp; ")","")</f>
        <v/>
      </c>
      <c r="P523" s="20">
        <f>ROUND(P521+IF(AND(E523&lt;=10,F523&lt;&gt;"ASTM A416"),L523,0),3)</f>
        <v/>
      </c>
      <c r="Q523" s="20">
        <f>ROUND(Q521+IF(AND(E523=12,F523&lt;&gt;"ASTM A416"),L523,0),3)</f>
        <v/>
      </c>
      <c r="R523" s="20">
        <f>ROUND(R521+IF(AND(E523=14,F523&lt;&gt;"ASTM A416"),L523,0),3)</f>
        <v/>
      </c>
      <c r="S523" s="20">
        <f>ROUND(S521+IF(AND(E523=16,F523&lt;&gt;"ASTM A416"),L523,0),3)</f>
        <v/>
      </c>
      <c r="T523" s="20">
        <f>ROUND(T521+IF(AND(E523=18,F523&lt;&gt;"ASTM A416"),L523,0),3)</f>
        <v/>
      </c>
      <c r="U523" s="20">
        <f>ROUND(U521+IF(AND(E523=20,F523&lt;&gt;"ASTM A416"),L523,0),3)</f>
        <v/>
      </c>
      <c r="V523" s="20">
        <f>ROUND(V521+IF(AND(E523=22,F523&lt;&gt;"ASTM A416"),L523,0),3)</f>
        <v/>
      </c>
      <c r="W523" s="20">
        <f>ROUND(W521+IF(AND(E523=25,F523&lt;&gt;"ASTM A416"),L523,0),3)</f>
        <v/>
      </c>
      <c r="X523" s="20">
        <f>ROUND(X521+IF(AND(E523=28,F523&lt;&gt;"ASTM A416"),L523,0),3)</f>
        <v/>
      </c>
      <c r="Y523" s="20">
        <f>ROUND(Y521+IF(AND(E523=32,F523&lt;&gt;"ASTM A416"),L523,0),3)</f>
        <v/>
      </c>
      <c r="Z523" s="20">
        <f>ROUND(Z521+IF(F523="ASTM A416",L523,0),3)</f>
        <v/>
      </c>
      <c r="AA523" s="11">
        <f>IF(ROUNDUP(P523/20,0)&gt;ROUNDUP(P521/20,0),"Lần " &amp; ROUNDUP(P523/20,0),"")</f>
        <v/>
      </c>
      <c r="AB523" s="11">
        <f>IF(ROUNDUP(Q523/20,0)&gt;ROUNDUP(Q521/20,0),"Lần " &amp; ROUNDUP(Q523/20,0),"")</f>
        <v/>
      </c>
      <c r="AC523" s="11">
        <f>IF(ROUNDUP(R523/20,0)&gt;ROUNDUP(R521/20,0),"Lần " &amp; ROUNDUP(R523/20,0),"")</f>
        <v/>
      </c>
      <c r="AD523" s="11">
        <f>IF(ROUNDUP(S523/20,0)&gt;ROUNDUP(S521/20,0),"Lần " &amp; ROUNDUP(S523/20,0),"")</f>
        <v/>
      </c>
      <c r="AE523" s="11">
        <f>IF(ROUNDUP(T523/20,0)&gt;ROUNDUP(T521/20,0),"Lần " &amp; ROUNDUP(T523/20,0),"")</f>
        <v/>
      </c>
      <c r="AF523" s="11">
        <f>IF(ROUNDUP(U523/20,0)&gt;ROUNDUP(U521/20,0),"Lần " &amp; ROUNDUP(U523/20,0),"")</f>
        <v/>
      </c>
      <c r="AG523" s="11">
        <f>IF(ROUNDUP(V523/20,0)&gt;ROUNDUP(V521/20,0),"Lần " &amp; ROUNDUP(V523/20,0),"")</f>
        <v/>
      </c>
      <c r="AH523" s="11">
        <f>IF(ROUNDUP(W523/20,0)&gt;ROUNDUP(W521/20,0),"Lần " &amp; ROUNDUP(W523/20,0),"")</f>
        <v/>
      </c>
      <c r="AI523" s="11">
        <f>IF(ROUNDUP(X523/20,0)&gt;ROUNDUP(X521/20,0),"Lần " &amp; ROUNDUP(X523/20,0),"")</f>
        <v/>
      </c>
      <c r="AJ523" s="11">
        <f>IF(ROUNDUP(Y523/20,0)&gt;ROUNDUP(Y521/20,0),"Lần " &amp; ROUNDUP(Y523/20,0),"")</f>
        <v/>
      </c>
      <c r="AK523" s="11">
        <f>IF(ROUNDUP(Z523/20,0)&gt;ROUNDUP(Z521/20,0),"Lần " &amp; ROUNDUP(Z523/20,0),"")</f>
        <v/>
      </c>
      <c r="AL523" s="6" t="n"/>
      <c r="AN523" t="inlineStr">
        <is>
          <t>Coc</t>
        </is>
      </c>
      <c r="AO523" t="n">
        <v>12</v>
      </c>
    </row>
    <row r="524" ht="19" customHeight="1">
      <c r="A524" s="6" t="n">
        <v>499</v>
      </c>
      <c r="B524" s="7" t="inlineStr">
        <is>
          <t>Cọc khoan nhồi C6 Trụ T1 (D1.2m, L=40.0m)</t>
        </is>
      </c>
      <c r="C524" s="7" t="inlineStr">
        <is>
          <t>Cọc trụ T1 L=40m (tr.68)</t>
        </is>
      </c>
      <c r="D524" s="18" t="inlineStr">
        <is>
          <t>P1A</t>
        </is>
      </c>
      <c r="E524" s="19" t="n">
        <v>10</v>
      </c>
      <c r="F524" s="6" t="inlineStr">
        <is>
          <t>CB240-T</t>
        </is>
      </c>
      <c r="G524" s="7" t="inlineStr"/>
      <c r="H524" s="20" t="n">
        <v>389.636</v>
      </c>
      <c r="I524" s="21" t="n">
        <v>1</v>
      </c>
      <c r="J524" s="22" t="n">
        <v>0.617</v>
      </c>
      <c r="K524" s="9">
        <f>ROUND(H524*I524*J524, 2)</f>
        <v/>
      </c>
      <c r="L524" s="23">
        <f>ROUND(K524/1000, 3)</f>
        <v/>
      </c>
      <c r="M524" s="8">
        <f>IF(AO524="","",IF(INDEX(Theo_Doi_Tan_Suat_Be_Tong!$C:$C,AO524)="","",INDEX(Theo_Doi_Tan_Suat_Be_Tong!$C:$C,AO524)-VLOOKUP(AN524,$AQ$2:$AR$7,2,FALSE)))</f>
        <v/>
      </c>
      <c r="N524" s="6" t="n"/>
      <c r="O524" s="24">
        <f>IF(ROUNDUP(P524/20,0)&gt;ROUNDUP(P523/20,0),"TN Ø10 (Lần " &amp; ROUNDUP(P524/20,0) &amp; ")","")</f>
        <v/>
      </c>
      <c r="P524" s="20">
        <f>ROUND(P523+IF(AND(E524&lt;=10,F524&lt;&gt;"ASTM A416"),L524,0),3)</f>
        <v/>
      </c>
      <c r="Q524" s="20">
        <f>ROUND(Q523+IF(AND(E524=12,F524&lt;&gt;"ASTM A416"),L524,0),3)</f>
        <v/>
      </c>
      <c r="R524" s="20">
        <f>ROUND(R523+IF(AND(E524=14,F524&lt;&gt;"ASTM A416"),L524,0),3)</f>
        <v/>
      </c>
      <c r="S524" s="20">
        <f>ROUND(S523+IF(AND(E524=16,F524&lt;&gt;"ASTM A416"),L524,0),3)</f>
        <v/>
      </c>
      <c r="T524" s="20">
        <f>ROUND(T523+IF(AND(E524=18,F524&lt;&gt;"ASTM A416"),L524,0),3)</f>
        <v/>
      </c>
      <c r="U524" s="20">
        <f>ROUND(U523+IF(AND(E524=20,F524&lt;&gt;"ASTM A416"),L524,0),3)</f>
        <v/>
      </c>
      <c r="V524" s="20">
        <f>ROUND(V523+IF(AND(E524=22,F524&lt;&gt;"ASTM A416"),L524,0),3)</f>
        <v/>
      </c>
      <c r="W524" s="20">
        <f>ROUND(W523+IF(AND(E524=25,F524&lt;&gt;"ASTM A416"),L524,0),3)</f>
        <v/>
      </c>
      <c r="X524" s="20">
        <f>ROUND(X523+IF(AND(E524=28,F524&lt;&gt;"ASTM A416"),L524,0),3)</f>
        <v/>
      </c>
      <c r="Y524" s="20">
        <f>ROUND(Y523+IF(AND(E524=32,F524&lt;&gt;"ASTM A416"),L524,0),3)</f>
        <v/>
      </c>
      <c r="Z524" s="20">
        <f>ROUND(Z523+IF(F524="ASTM A416",L524,0),3)</f>
        <v/>
      </c>
      <c r="AA524" s="11">
        <f>IF(ROUNDUP(P524/20,0)&gt;ROUNDUP(P523/20,0),"Lần " &amp; ROUNDUP(P524/20,0),"")</f>
        <v/>
      </c>
      <c r="AB524" s="11">
        <f>IF(ROUNDUP(Q524/20,0)&gt;ROUNDUP(Q523/20,0),"Lần " &amp; ROUNDUP(Q524/20,0),"")</f>
        <v/>
      </c>
      <c r="AC524" s="11">
        <f>IF(ROUNDUP(R524/20,0)&gt;ROUNDUP(R523/20,0),"Lần " &amp; ROUNDUP(R524/20,0),"")</f>
        <v/>
      </c>
      <c r="AD524" s="11">
        <f>IF(ROUNDUP(S524/20,0)&gt;ROUNDUP(S523/20,0),"Lần " &amp; ROUNDUP(S524/20,0),"")</f>
        <v/>
      </c>
      <c r="AE524" s="11">
        <f>IF(ROUNDUP(T524/20,0)&gt;ROUNDUP(T523/20,0),"Lần " &amp; ROUNDUP(T524/20,0),"")</f>
        <v/>
      </c>
      <c r="AF524" s="11">
        <f>IF(ROUNDUP(U524/20,0)&gt;ROUNDUP(U523/20,0),"Lần " &amp; ROUNDUP(U524/20,0),"")</f>
        <v/>
      </c>
      <c r="AG524" s="11">
        <f>IF(ROUNDUP(V524/20,0)&gt;ROUNDUP(V523/20,0),"Lần " &amp; ROUNDUP(V524/20,0),"")</f>
        <v/>
      </c>
      <c r="AH524" s="11">
        <f>IF(ROUNDUP(W524/20,0)&gt;ROUNDUP(W523/20,0),"Lần " &amp; ROUNDUP(W524/20,0),"")</f>
        <v/>
      </c>
      <c r="AI524" s="11">
        <f>IF(ROUNDUP(X524/20,0)&gt;ROUNDUP(X523/20,0),"Lần " &amp; ROUNDUP(X524/20,0),"")</f>
        <v/>
      </c>
      <c r="AJ524" s="11">
        <f>IF(ROUNDUP(Y524/20,0)&gt;ROUNDUP(Y523/20,0),"Lần " &amp; ROUNDUP(Y524/20,0),"")</f>
        <v/>
      </c>
      <c r="AK524" s="11">
        <f>IF(ROUNDUP(Z524/20,0)&gt;ROUNDUP(Z523/20,0),"Lần " &amp; ROUNDUP(Z524/20,0),"")</f>
        <v/>
      </c>
      <c r="AL524" s="6" t="n"/>
      <c r="AN524" t="inlineStr">
        <is>
          <t>Coc</t>
        </is>
      </c>
      <c r="AO524" t="n">
        <v>12</v>
      </c>
    </row>
    <row r="525" ht="19" customHeight="1">
      <c r="A525" s="6" t="n">
        <v>500</v>
      </c>
      <c r="B525" s="7" t="inlineStr">
        <is>
          <t>Cọc khoan nhồi C6 Trụ T1 (D1.2m, L=40.0m)</t>
        </is>
      </c>
      <c r="C525" s="7" t="inlineStr">
        <is>
          <t>Cọc trụ T1 L=40m (tr.68)</t>
        </is>
      </c>
      <c r="D525" s="18" t="inlineStr">
        <is>
          <t>P1B</t>
        </is>
      </c>
      <c r="E525" s="19" t="n">
        <v>10</v>
      </c>
      <c r="F525" s="6" t="inlineStr">
        <is>
          <t>CB240-T</t>
        </is>
      </c>
      <c r="G525" s="7" t="inlineStr"/>
      <c r="H525" s="20" t="n">
        <v>206.981</v>
      </c>
      <c r="I525" s="21" t="n">
        <v>1</v>
      </c>
      <c r="J525" s="22" t="n">
        <v>0.617</v>
      </c>
      <c r="K525" s="9">
        <f>ROUND(H525*I525*J525, 2)</f>
        <v/>
      </c>
      <c r="L525" s="23">
        <f>ROUND(K525/1000, 3)</f>
        <v/>
      </c>
      <c r="M525" s="8">
        <f>IF(AO525="","",IF(INDEX(Theo_Doi_Tan_Suat_Be_Tong!$C:$C,AO525)="","",INDEX(Theo_Doi_Tan_Suat_Be_Tong!$C:$C,AO525)-VLOOKUP(AN525,$AQ$2:$AR$7,2,FALSE)))</f>
        <v/>
      </c>
      <c r="N525" s="6" t="n"/>
      <c r="O525" s="24">
        <f>IF(ROUNDUP(P525/20,0)&gt;ROUNDUP(P524/20,0),"TN Ø10 (Lần " &amp; ROUNDUP(P525/20,0) &amp; ")","")</f>
        <v/>
      </c>
      <c r="P525" s="20">
        <f>ROUND(P524+IF(AND(E525&lt;=10,F525&lt;&gt;"ASTM A416"),L525,0),3)</f>
        <v/>
      </c>
      <c r="Q525" s="20">
        <f>ROUND(Q524+IF(AND(E525=12,F525&lt;&gt;"ASTM A416"),L525,0),3)</f>
        <v/>
      </c>
      <c r="R525" s="20">
        <f>ROUND(R524+IF(AND(E525=14,F525&lt;&gt;"ASTM A416"),L525,0),3)</f>
        <v/>
      </c>
      <c r="S525" s="20">
        <f>ROUND(S524+IF(AND(E525=16,F525&lt;&gt;"ASTM A416"),L525,0),3)</f>
        <v/>
      </c>
      <c r="T525" s="20">
        <f>ROUND(T524+IF(AND(E525=18,F525&lt;&gt;"ASTM A416"),L525,0),3)</f>
        <v/>
      </c>
      <c r="U525" s="20">
        <f>ROUND(U524+IF(AND(E525=20,F525&lt;&gt;"ASTM A416"),L525,0),3)</f>
        <v/>
      </c>
      <c r="V525" s="20">
        <f>ROUND(V524+IF(AND(E525=22,F525&lt;&gt;"ASTM A416"),L525,0),3)</f>
        <v/>
      </c>
      <c r="W525" s="20">
        <f>ROUND(W524+IF(AND(E525=25,F525&lt;&gt;"ASTM A416"),L525,0),3)</f>
        <v/>
      </c>
      <c r="X525" s="20">
        <f>ROUND(X524+IF(AND(E525=28,F525&lt;&gt;"ASTM A416"),L525,0),3)</f>
        <v/>
      </c>
      <c r="Y525" s="20">
        <f>ROUND(Y524+IF(AND(E525=32,F525&lt;&gt;"ASTM A416"),L525,0),3)</f>
        <v/>
      </c>
      <c r="Z525" s="20">
        <f>ROUND(Z524+IF(F525="ASTM A416",L525,0),3)</f>
        <v/>
      </c>
      <c r="AA525" s="11">
        <f>IF(ROUNDUP(P525/20,0)&gt;ROUNDUP(P524/20,0),"Lần " &amp; ROUNDUP(P525/20,0),"")</f>
        <v/>
      </c>
      <c r="AB525" s="11">
        <f>IF(ROUNDUP(Q525/20,0)&gt;ROUNDUP(Q524/20,0),"Lần " &amp; ROUNDUP(Q525/20,0),"")</f>
        <v/>
      </c>
      <c r="AC525" s="11">
        <f>IF(ROUNDUP(R525/20,0)&gt;ROUNDUP(R524/20,0),"Lần " &amp; ROUNDUP(R525/20,0),"")</f>
        <v/>
      </c>
      <c r="AD525" s="11">
        <f>IF(ROUNDUP(S525/20,0)&gt;ROUNDUP(S524/20,0),"Lần " &amp; ROUNDUP(S525/20,0),"")</f>
        <v/>
      </c>
      <c r="AE525" s="11">
        <f>IF(ROUNDUP(T525/20,0)&gt;ROUNDUP(T524/20,0),"Lần " &amp; ROUNDUP(T525/20,0),"")</f>
        <v/>
      </c>
      <c r="AF525" s="11">
        <f>IF(ROUNDUP(U525/20,0)&gt;ROUNDUP(U524/20,0),"Lần " &amp; ROUNDUP(U525/20,0),"")</f>
        <v/>
      </c>
      <c r="AG525" s="11">
        <f>IF(ROUNDUP(V525/20,0)&gt;ROUNDUP(V524/20,0),"Lần " &amp; ROUNDUP(V525/20,0),"")</f>
        <v/>
      </c>
      <c r="AH525" s="11">
        <f>IF(ROUNDUP(W525/20,0)&gt;ROUNDUP(W524/20,0),"Lần " &amp; ROUNDUP(W525/20,0),"")</f>
        <v/>
      </c>
      <c r="AI525" s="11">
        <f>IF(ROUNDUP(X525/20,0)&gt;ROUNDUP(X524/20,0),"Lần " &amp; ROUNDUP(X525/20,0),"")</f>
        <v/>
      </c>
      <c r="AJ525" s="11">
        <f>IF(ROUNDUP(Y525/20,0)&gt;ROUNDUP(Y524/20,0),"Lần " &amp; ROUNDUP(Y525/20,0),"")</f>
        <v/>
      </c>
      <c r="AK525" s="11">
        <f>IF(ROUNDUP(Z525/20,0)&gt;ROUNDUP(Z524/20,0),"Lần " &amp; ROUNDUP(Z525/20,0),"")</f>
        <v/>
      </c>
      <c r="AL525" s="6" t="n"/>
      <c r="AN525" t="inlineStr">
        <is>
          <t>Coc</t>
        </is>
      </c>
      <c r="AO525" t="n">
        <v>12</v>
      </c>
    </row>
    <row r="526" ht="19" customHeight="1">
      <c r="A526" s="6" t="n">
        <v>501</v>
      </c>
      <c r="B526" s="7" t="inlineStr">
        <is>
          <t>Cọc khoan nhồi C6 Trụ T1 (D1.2m, L=40.0m)</t>
        </is>
      </c>
      <c r="C526" s="7" t="inlineStr">
        <is>
          <t>Cọc trụ T1 L=40m (tr.68)</t>
        </is>
      </c>
      <c r="D526" s="18" t="inlineStr">
        <is>
          <t>P1C</t>
        </is>
      </c>
      <c r="E526" s="19" t="n">
        <v>10</v>
      </c>
      <c r="F526" s="6" t="inlineStr">
        <is>
          <t>CB240-T</t>
        </is>
      </c>
      <c r="G526" s="7" t="inlineStr"/>
      <c r="H526" s="20" t="n">
        <v>3.592</v>
      </c>
      <c r="I526" s="21" t="n">
        <v>2</v>
      </c>
      <c r="J526" s="22" t="n">
        <v>0.617</v>
      </c>
      <c r="K526" s="9">
        <f>ROUND(H526*I526*J526, 2)</f>
        <v/>
      </c>
      <c r="L526" s="23">
        <f>ROUND(K526/1000, 3)</f>
        <v/>
      </c>
      <c r="M526" s="8">
        <f>IF(AO526="","",IF(INDEX(Theo_Doi_Tan_Suat_Be_Tong!$C:$C,AO526)="","",INDEX(Theo_Doi_Tan_Suat_Be_Tong!$C:$C,AO526)-VLOOKUP(AN526,$AQ$2:$AR$7,2,FALSE)))</f>
        <v/>
      </c>
      <c r="N526" s="6" t="n"/>
      <c r="O526" s="24">
        <f>IF(ROUNDUP(P526/20,0)&gt;ROUNDUP(P525/20,0),"TN Ø10 (Lần " &amp; ROUNDUP(P526/20,0) &amp; ")","")</f>
        <v/>
      </c>
      <c r="P526" s="20">
        <f>ROUND(P525+IF(AND(E526&lt;=10,F526&lt;&gt;"ASTM A416"),L526,0),3)</f>
        <v/>
      </c>
      <c r="Q526" s="20">
        <f>ROUND(Q525+IF(AND(E526=12,F526&lt;&gt;"ASTM A416"),L526,0),3)</f>
        <v/>
      </c>
      <c r="R526" s="20">
        <f>ROUND(R525+IF(AND(E526=14,F526&lt;&gt;"ASTM A416"),L526,0),3)</f>
        <v/>
      </c>
      <c r="S526" s="20">
        <f>ROUND(S525+IF(AND(E526=16,F526&lt;&gt;"ASTM A416"),L526,0),3)</f>
        <v/>
      </c>
      <c r="T526" s="20">
        <f>ROUND(T525+IF(AND(E526=18,F526&lt;&gt;"ASTM A416"),L526,0),3)</f>
        <v/>
      </c>
      <c r="U526" s="20">
        <f>ROUND(U525+IF(AND(E526=20,F526&lt;&gt;"ASTM A416"),L526,0),3)</f>
        <v/>
      </c>
      <c r="V526" s="20">
        <f>ROUND(V525+IF(AND(E526=22,F526&lt;&gt;"ASTM A416"),L526,0),3)</f>
        <v/>
      </c>
      <c r="W526" s="20">
        <f>ROUND(W525+IF(AND(E526=25,F526&lt;&gt;"ASTM A416"),L526,0),3)</f>
        <v/>
      </c>
      <c r="X526" s="20">
        <f>ROUND(X525+IF(AND(E526=28,F526&lt;&gt;"ASTM A416"),L526,0),3)</f>
        <v/>
      </c>
      <c r="Y526" s="20">
        <f>ROUND(Y525+IF(AND(E526=32,F526&lt;&gt;"ASTM A416"),L526,0),3)</f>
        <v/>
      </c>
      <c r="Z526" s="20">
        <f>ROUND(Z525+IF(F526="ASTM A416",L526,0),3)</f>
        <v/>
      </c>
      <c r="AA526" s="11">
        <f>IF(ROUNDUP(P526/20,0)&gt;ROUNDUP(P525/20,0),"Lần " &amp; ROUNDUP(P526/20,0),"")</f>
        <v/>
      </c>
      <c r="AB526" s="11">
        <f>IF(ROUNDUP(Q526/20,0)&gt;ROUNDUP(Q525/20,0),"Lần " &amp; ROUNDUP(Q526/20,0),"")</f>
        <v/>
      </c>
      <c r="AC526" s="11">
        <f>IF(ROUNDUP(R526/20,0)&gt;ROUNDUP(R525/20,0),"Lần " &amp; ROUNDUP(R526/20,0),"")</f>
        <v/>
      </c>
      <c r="AD526" s="11">
        <f>IF(ROUNDUP(S526/20,0)&gt;ROUNDUP(S525/20,0),"Lần " &amp; ROUNDUP(S526/20,0),"")</f>
        <v/>
      </c>
      <c r="AE526" s="11">
        <f>IF(ROUNDUP(T526/20,0)&gt;ROUNDUP(T525/20,0),"Lần " &amp; ROUNDUP(T526/20,0),"")</f>
        <v/>
      </c>
      <c r="AF526" s="11">
        <f>IF(ROUNDUP(U526/20,0)&gt;ROUNDUP(U525/20,0),"Lần " &amp; ROUNDUP(U526/20,0),"")</f>
        <v/>
      </c>
      <c r="AG526" s="11">
        <f>IF(ROUNDUP(V526/20,0)&gt;ROUNDUP(V525/20,0),"Lần " &amp; ROUNDUP(V526/20,0),"")</f>
        <v/>
      </c>
      <c r="AH526" s="11">
        <f>IF(ROUNDUP(W526/20,0)&gt;ROUNDUP(W525/20,0),"Lần " &amp; ROUNDUP(W526/20,0),"")</f>
        <v/>
      </c>
      <c r="AI526" s="11">
        <f>IF(ROUNDUP(X526/20,0)&gt;ROUNDUP(X525/20,0),"Lần " &amp; ROUNDUP(X526/20,0),"")</f>
        <v/>
      </c>
      <c r="AJ526" s="11">
        <f>IF(ROUNDUP(Y526/20,0)&gt;ROUNDUP(Y525/20,0),"Lần " &amp; ROUNDUP(Y526/20,0),"")</f>
        <v/>
      </c>
      <c r="AK526" s="11">
        <f>IF(ROUNDUP(Z526/20,0)&gt;ROUNDUP(Z525/20,0),"Lần " &amp; ROUNDUP(Z526/20,0),"")</f>
        <v/>
      </c>
      <c r="AL526" s="6" t="n"/>
      <c r="AN526" t="inlineStr">
        <is>
          <t>Coc</t>
        </is>
      </c>
      <c r="AO526" t="n">
        <v>12</v>
      </c>
    </row>
    <row r="527" ht="19" customHeight="1">
      <c r="A527" s="6" t="n">
        <v>502</v>
      </c>
      <c r="B527" s="7" t="inlineStr">
        <is>
          <t>Cọc khoan nhồi C6 Trụ T1 (D1.2m, L=40.0m)</t>
        </is>
      </c>
      <c r="C527" s="7" t="inlineStr">
        <is>
          <t>Cọc trụ T1 L=40m (tr.68)</t>
        </is>
      </c>
      <c r="D527" s="18" t="inlineStr">
        <is>
          <t>P1D</t>
        </is>
      </c>
      <c r="E527" s="19" t="n">
        <v>10</v>
      </c>
      <c r="F527" s="6" t="inlineStr">
        <is>
          <t>CB240-T</t>
        </is>
      </c>
      <c r="G527" s="7" t="inlineStr"/>
      <c r="H527" s="20" t="n">
        <v>19.721</v>
      </c>
      <c r="I527" s="21" t="n">
        <v>1</v>
      </c>
      <c r="J527" s="22" t="n">
        <v>0.617</v>
      </c>
      <c r="K527" s="9">
        <f>ROUND(H527*I527*J527, 2)</f>
        <v/>
      </c>
      <c r="L527" s="23">
        <f>ROUND(K527/1000, 3)</f>
        <v/>
      </c>
      <c r="M527" s="8">
        <f>IF(AO527="","",IF(INDEX(Theo_Doi_Tan_Suat_Be_Tong!$C:$C,AO527)="","",INDEX(Theo_Doi_Tan_Suat_Be_Tong!$C:$C,AO527)-VLOOKUP(AN527,$AQ$2:$AR$7,2,FALSE)))</f>
        <v/>
      </c>
      <c r="N527" s="6" t="n"/>
      <c r="O527" s="24">
        <f>IF(ROUNDUP(P527/20,0)&gt;ROUNDUP(P526/20,0),"TN Ø10 (Lần " &amp; ROUNDUP(P527/20,0) &amp; ")","")</f>
        <v/>
      </c>
      <c r="P527" s="20">
        <f>ROUND(P526+IF(AND(E527&lt;=10,F527&lt;&gt;"ASTM A416"),L527,0),3)</f>
        <v/>
      </c>
      <c r="Q527" s="20">
        <f>ROUND(Q526+IF(AND(E527=12,F527&lt;&gt;"ASTM A416"),L527,0),3)</f>
        <v/>
      </c>
      <c r="R527" s="20">
        <f>ROUND(R526+IF(AND(E527=14,F527&lt;&gt;"ASTM A416"),L527,0),3)</f>
        <v/>
      </c>
      <c r="S527" s="20">
        <f>ROUND(S526+IF(AND(E527=16,F527&lt;&gt;"ASTM A416"),L527,0),3)</f>
        <v/>
      </c>
      <c r="T527" s="20">
        <f>ROUND(T526+IF(AND(E527=18,F527&lt;&gt;"ASTM A416"),L527,0),3)</f>
        <v/>
      </c>
      <c r="U527" s="20">
        <f>ROUND(U526+IF(AND(E527=20,F527&lt;&gt;"ASTM A416"),L527,0),3)</f>
        <v/>
      </c>
      <c r="V527" s="20">
        <f>ROUND(V526+IF(AND(E527=22,F527&lt;&gt;"ASTM A416"),L527,0),3)</f>
        <v/>
      </c>
      <c r="W527" s="20">
        <f>ROUND(W526+IF(AND(E527=25,F527&lt;&gt;"ASTM A416"),L527,0),3)</f>
        <v/>
      </c>
      <c r="X527" s="20">
        <f>ROUND(X526+IF(AND(E527=28,F527&lt;&gt;"ASTM A416"),L527,0),3)</f>
        <v/>
      </c>
      <c r="Y527" s="20">
        <f>ROUND(Y526+IF(AND(E527=32,F527&lt;&gt;"ASTM A416"),L527,0),3)</f>
        <v/>
      </c>
      <c r="Z527" s="20">
        <f>ROUND(Z526+IF(F527="ASTM A416",L527,0),3)</f>
        <v/>
      </c>
      <c r="AA527" s="11">
        <f>IF(ROUNDUP(P527/20,0)&gt;ROUNDUP(P526/20,0),"Lần " &amp; ROUNDUP(P527/20,0),"")</f>
        <v/>
      </c>
      <c r="AB527" s="11">
        <f>IF(ROUNDUP(Q527/20,0)&gt;ROUNDUP(Q526/20,0),"Lần " &amp; ROUNDUP(Q527/20,0),"")</f>
        <v/>
      </c>
      <c r="AC527" s="11">
        <f>IF(ROUNDUP(R527/20,0)&gt;ROUNDUP(R526/20,0),"Lần " &amp; ROUNDUP(R527/20,0),"")</f>
        <v/>
      </c>
      <c r="AD527" s="11">
        <f>IF(ROUNDUP(S527/20,0)&gt;ROUNDUP(S526/20,0),"Lần " &amp; ROUNDUP(S527/20,0),"")</f>
        <v/>
      </c>
      <c r="AE527" s="11">
        <f>IF(ROUNDUP(T527/20,0)&gt;ROUNDUP(T526/20,0),"Lần " &amp; ROUNDUP(T527/20,0),"")</f>
        <v/>
      </c>
      <c r="AF527" s="11">
        <f>IF(ROUNDUP(U527/20,0)&gt;ROUNDUP(U526/20,0),"Lần " &amp; ROUNDUP(U527/20,0),"")</f>
        <v/>
      </c>
      <c r="AG527" s="11">
        <f>IF(ROUNDUP(V527/20,0)&gt;ROUNDUP(V526/20,0),"Lần " &amp; ROUNDUP(V527/20,0),"")</f>
        <v/>
      </c>
      <c r="AH527" s="11">
        <f>IF(ROUNDUP(W527/20,0)&gt;ROUNDUP(W526/20,0),"Lần " &amp; ROUNDUP(W527/20,0),"")</f>
        <v/>
      </c>
      <c r="AI527" s="11">
        <f>IF(ROUNDUP(X527/20,0)&gt;ROUNDUP(X526/20,0),"Lần " &amp; ROUNDUP(X527/20,0),"")</f>
        <v/>
      </c>
      <c r="AJ527" s="11">
        <f>IF(ROUNDUP(Y527/20,0)&gt;ROUNDUP(Y526/20,0),"Lần " &amp; ROUNDUP(Y527/20,0),"")</f>
        <v/>
      </c>
      <c r="AK527" s="11">
        <f>IF(ROUNDUP(Z527/20,0)&gt;ROUNDUP(Z526/20,0),"Lần " &amp; ROUNDUP(Z527/20,0),"")</f>
        <v/>
      </c>
      <c r="AL527" s="6" t="n"/>
      <c r="AN527" t="inlineStr">
        <is>
          <t>Coc</t>
        </is>
      </c>
      <c r="AO527" t="n">
        <v>12</v>
      </c>
    </row>
    <row r="528" ht="19" customHeight="1">
      <c r="A528" s="6" t="n">
        <v>503</v>
      </c>
      <c r="B528" s="7" t="inlineStr">
        <is>
          <t>Cọc khoan nhồi C6 Trụ T1 (D1.2m, L=40.0m)</t>
        </is>
      </c>
      <c r="C528" s="7" t="inlineStr">
        <is>
          <t>Cọc trụ T1 L=40m (tr.68)</t>
        </is>
      </c>
      <c r="D528" s="18" t="inlineStr">
        <is>
          <t>P2B</t>
        </is>
      </c>
      <c r="E528" s="19" t="n">
        <v>25</v>
      </c>
      <c r="F528" s="6" t="inlineStr">
        <is>
          <t>CB400-V</t>
        </is>
      </c>
      <c r="G528" s="7" t="inlineStr"/>
      <c r="H528" s="20" t="n">
        <v>2.985</v>
      </c>
      <c r="I528" s="21" t="n">
        <v>16</v>
      </c>
      <c r="J528" s="22" t="n">
        <v>3.853</v>
      </c>
      <c r="K528" s="9">
        <f>ROUND(H528*I528*J528, 2)</f>
        <v/>
      </c>
      <c r="L528" s="23">
        <f>ROUND(K528/1000, 3)</f>
        <v/>
      </c>
      <c r="M528" s="8">
        <f>IF(AO528="","",IF(INDEX(Theo_Doi_Tan_Suat_Be_Tong!$C:$C,AO528)="","",INDEX(Theo_Doi_Tan_Suat_Be_Tong!$C:$C,AO528)-VLOOKUP(AN528,$AQ$2:$AR$7,2,FALSE)))</f>
        <v/>
      </c>
      <c r="N528" s="6" t="n"/>
      <c r="O528" s="24">
        <f>IF(ROUNDUP(W528/20,0)&gt;ROUNDUP(W527/20,0),"TN Ø25 (Lần " &amp; ROUNDUP(W528/20,0) &amp; ")","")</f>
        <v/>
      </c>
      <c r="P528" s="20">
        <f>ROUND(P527+IF(AND(E528&lt;=10,F528&lt;&gt;"ASTM A416"),L528,0),3)</f>
        <v/>
      </c>
      <c r="Q528" s="20">
        <f>ROUND(Q527+IF(AND(E528=12,F528&lt;&gt;"ASTM A416"),L528,0),3)</f>
        <v/>
      </c>
      <c r="R528" s="20">
        <f>ROUND(R527+IF(AND(E528=14,F528&lt;&gt;"ASTM A416"),L528,0),3)</f>
        <v/>
      </c>
      <c r="S528" s="20">
        <f>ROUND(S527+IF(AND(E528=16,F528&lt;&gt;"ASTM A416"),L528,0),3)</f>
        <v/>
      </c>
      <c r="T528" s="20">
        <f>ROUND(T527+IF(AND(E528=18,F528&lt;&gt;"ASTM A416"),L528,0),3)</f>
        <v/>
      </c>
      <c r="U528" s="20">
        <f>ROUND(U527+IF(AND(E528=20,F528&lt;&gt;"ASTM A416"),L528,0),3)</f>
        <v/>
      </c>
      <c r="V528" s="20">
        <f>ROUND(V527+IF(AND(E528=22,F528&lt;&gt;"ASTM A416"),L528,0),3)</f>
        <v/>
      </c>
      <c r="W528" s="20">
        <f>ROUND(W527+IF(AND(E528=25,F528&lt;&gt;"ASTM A416"),L528,0),3)</f>
        <v/>
      </c>
      <c r="X528" s="20">
        <f>ROUND(X527+IF(AND(E528=28,F528&lt;&gt;"ASTM A416"),L528,0),3)</f>
        <v/>
      </c>
      <c r="Y528" s="20">
        <f>ROUND(Y527+IF(AND(E528=32,F528&lt;&gt;"ASTM A416"),L528,0),3)</f>
        <v/>
      </c>
      <c r="Z528" s="20">
        <f>ROUND(Z527+IF(F528="ASTM A416",L528,0),3)</f>
        <v/>
      </c>
      <c r="AA528" s="11">
        <f>IF(ROUNDUP(P528/20,0)&gt;ROUNDUP(P527/20,0),"Lần " &amp; ROUNDUP(P528/20,0),"")</f>
        <v/>
      </c>
      <c r="AB528" s="11">
        <f>IF(ROUNDUP(Q528/20,0)&gt;ROUNDUP(Q527/20,0),"Lần " &amp; ROUNDUP(Q528/20,0),"")</f>
        <v/>
      </c>
      <c r="AC528" s="11">
        <f>IF(ROUNDUP(R528/20,0)&gt;ROUNDUP(R527/20,0),"Lần " &amp; ROUNDUP(R528/20,0),"")</f>
        <v/>
      </c>
      <c r="AD528" s="11">
        <f>IF(ROUNDUP(S528/20,0)&gt;ROUNDUP(S527/20,0),"Lần " &amp; ROUNDUP(S528/20,0),"")</f>
        <v/>
      </c>
      <c r="AE528" s="11">
        <f>IF(ROUNDUP(T528/20,0)&gt;ROUNDUP(T527/20,0),"Lần " &amp; ROUNDUP(T528/20,0),"")</f>
        <v/>
      </c>
      <c r="AF528" s="11">
        <f>IF(ROUNDUP(U528/20,0)&gt;ROUNDUP(U527/20,0),"Lần " &amp; ROUNDUP(U528/20,0),"")</f>
        <v/>
      </c>
      <c r="AG528" s="11">
        <f>IF(ROUNDUP(V528/20,0)&gt;ROUNDUP(V527/20,0),"Lần " &amp; ROUNDUP(V528/20,0),"")</f>
        <v/>
      </c>
      <c r="AH528" s="11">
        <f>IF(ROUNDUP(W528/20,0)&gt;ROUNDUP(W527/20,0),"Lần " &amp; ROUNDUP(W528/20,0),"")</f>
        <v/>
      </c>
      <c r="AI528" s="11">
        <f>IF(ROUNDUP(X528/20,0)&gt;ROUNDUP(X527/20,0),"Lần " &amp; ROUNDUP(X528/20,0),"")</f>
        <v/>
      </c>
      <c r="AJ528" s="11">
        <f>IF(ROUNDUP(Y528/20,0)&gt;ROUNDUP(Y527/20,0),"Lần " &amp; ROUNDUP(Y528/20,0),"")</f>
        <v/>
      </c>
      <c r="AK528" s="11">
        <f>IF(ROUNDUP(Z528/20,0)&gt;ROUNDUP(Z527/20,0),"Lần " &amp; ROUNDUP(Z528/20,0),"")</f>
        <v/>
      </c>
      <c r="AL528" s="6" t="n"/>
      <c r="AN528" t="inlineStr">
        <is>
          <t>Coc</t>
        </is>
      </c>
      <c r="AO528" t="n">
        <v>12</v>
      </c>
    </row>
    <row r="529" ht="19" customHeight="1">
      <c r="A529" s="6" t="n">
        <v>504</v>
      </c>
      <c r="B529" s="7" t="inlineStr">
        <is>
          <t>Cọc khoan nhồi C6 Trụ T1 (D1.2m, L=40.0m)</t>
        </is>
      </c>
      <c r="C529" s="7" t="inlineStr">
        <is>
          <t>Cọc trụ T1 L=40m (tr.68)</t>
        </is>
      </c>
      <c r="D529" s="18" t="inlineStr">
        <is>
          <t>P3</t>
        </is>
      </c>
      <c r="E529" s="19" t="n">
        <v>25</v>
      </c>
      <c r="F529" s="6" t="inlineStr">
        <is>
          <t>CB400-V</t>
        </is>
      </c>
      <c r="G529" s="7" t="inlineStr"/>
      <c r="H529" s="20" t="n">
        <v>10.7</v>
      </c>
      <c r="I529" s="21" t="n">
        <v>12</v>
      </c>
      <c r="J529" s="22" t="n">
        <v>3.853</v>
      </c>
      <c r="K529" s="9">
        <f>ROUND(H529*I529*J529, 2)</f>
        <v/>
      </c>
      <c r="L529" s="23">
        <f>ROUND(K529/1000, 3)</f>
        <v/>
      </c>
      <c r="M529" s="8">
        <f>IF(AO529="","",IF(INDEX(Theo_Doi_Tan_Suat_Be_Tong!$C:$C,AO529)="","",INDEX(Theo_Doi_Tan_Suat_Be_Tong!$C:$C,AO529)-VLOOKUP(AN529,$AQ$2:$AR$7,2,FALSE)))</f>
        <v/>
      </c>
      <c r="N529" s="6" t="n"/>
      <c r="O529" s="24">
        <f>IF(ROUNDUP(W529/20,0)&gt;ROUNDUP(W528/20,0),"TN Ø25 (Lần " &amp; ROUNDUP(W529/20,0) &amp; ")","")</f>
        <v/>
      </c>
      <c r="P529" s="20">
        <f>ROUND(P528+IF(AND(E529&lt;=10,F529&lt;&gt;"ASTM A416"),L529,0),3)</f>
        <v/>
      </c>
      <c r="Q529" s="20">
        <f>ROUND(Q528+IF(AND(E529=12,F529&lt;&gt;"ASTM A416"),L529,0),3)</f>
        <v/>
      </c>
      <c r="R529" s="20">
        <f>ROUND(R528+IF(AND(E529=14,F529&lt;&gt;"ASTM A416"),L529,0),3)</f>
        <v/>
      </c>
      <c r="S529" s="20">
        <f>ROUND(S528+IF(AND(E529=16,F529&lt;&gt;"ASTM A416"),L529,0),3)</f>
        <v/>
      </c>
      <c r="T529" s="20">
        <f>ROUND(T528+IF(AND(E529=18,F529&lt;&gt;"ASTM A416"),L529,0),3)</f>
        <v/>
      </c>
      <c r="U529" s="20">
        <f>ROUND(U528+IF(AND(E529=20,F529&lt;&gt;"ASTM A416"),L529,0),3)</f>
        <v/>
      </c>
      <c r="V529" s="20">
        <f>ROUND(V528+IF(AND(E529=22,F529&lt;&gt;"ASTM A416"),L529,0),3)</f>
        <v/>
      </c>
      <c r="W529" s="20">
        <f>ROUND(W528+IF(AND(E529=25,F529&lt;&gt;"ASTM A416"),L529,0),3)</f>
        <v/>
      </c>
      <c r="X529" s="20">
        <f>ROUND(X528+IF(AND(E529=28,F529&lt;&gt;"ASTM A416"),L529,0),3)</f>
        <v/>
      </c>
      <c r="Y529" s="20">
        <f>ROUND(Y528+IF(AND(E529=32,F529&lt;&gt;"ASTM A416"),L529,0),3)</f>
        <v/>
      </c>
      <c r="Z529" s="20">
        <f>ROUND(Z528+IF(F529="ASTM A416",L529,0),3)</f>
        <v/>
      </c>
      <c r="AA529" s="11">
        <f>IF(ROUNDUP(P529/20,0)&gt;ROUNDUP(P528/20,0),"Lần " &amp; ROUNDUP(P529/20,0),"")</f>
        <v/>
      </c>
      <c r="AB529" s="11">
        <f>IF(ROUNDUP(Q529/20,0)&gt;ROUNDUP(Q528/20,0),"Lần " &amp; ROUNDUP(Q529/20,0),"")</f>
        <v/>
      </c>
      <c r="AC529" s="11">
        <f>IF(ROUNDUP(R529/20,0)&gt;ROUNDUP(R528/20,0),"Lần " &amp; ROUNDUP(R529/20,0),"")</f>
        <v/>
      </c>
      <c r="AD529" s="11">
        <f>IF(ROUNDUP(S529/20,0)&gt;ROUNDUP(S528/20,0),"Lần " &amp; ROUNDUP(S529/20,0),"")</f>
        <v/>
      </c>
      <c r="AE529" s="11">
        <f>IF(ROUNDUP(T529/20,0)&gt;ROUNDUP(T528/20,0),"Lần " &amp; ROUNDUP(T529/20,0),"")</f>
        <v/>
      </c>
      <c r="AF529" s="11">
        <f>IF(ROUNDUP(U529/20,0)&gt;ROUNDUP(U528/20,0),"Lần " &amp; ROUNDUP(U529/20,0),"")</f>
        <v/>
      </c>
      <c r="AG529" s="11">
        <f>IF(ROUNDUP(V529/20,0)&gt;ROUNDUP(V528/20,0),"Lần " &amp; ROUNDUP(V529/20,0),"")</f>
        <v/>
      </c>
      <c r="AH529" s="11">
        <f>IF(ROUNDUP(W529/20,0)&gt;ROUNDUP(W528/20,0),"Lần " &amp; ROUNDUP(W529/20,0),"")</f>
        <v/>
      </c>
      <c r="AI529" s="11">
        <f>IF(ROUNDUP(X529/20,0)&gt;ROUNDUP(X528/20,0),"Lần " &amp; ROUNDUP(X529/20,0),"")</f>
        <v/>
      </c>
      <c r="AJ529" s="11">
        <f>IF(ROUNDUP(Y529/20,0)&gt;ROUNDUP(Y528/20,0),"Lần " &amp; ROUNDUP(Y529/20,0),"")</f>
        <v/>
      </c>
      <c r="AK529" s="11">
        <f>IF(ROUNDUP(Z529/20,0)&gt;ROUNDUP(Z528/20,0),"Lần " &amp; ROUNDUP(Z529/20,0),"")</f>
        <v/>
      </c>
      <c r="AL529" s="6" t="n"/>
      <c r="AN529" t="inlineStr">
        <is>
          <t>Coc</t>
        </is>
      </c>
      <c r="AO529" t="n">
        <v>12</v>
      </c>
    </row>
    <row r="530" ht="19" customHeight="1">
      <c r="A530" s="6" t="n">
        <v>505</v>
      </c>
      <c r="B530" s="7" t="inlineStr">
        <is>
          <t>Cọc khoan nhồi C6 Trụ T1 (D1.2m, L=40.0m)</t>
        </is>
      </c>
      <c r="C530" s="7" t="inlineStr">
        <is>
          <t>Cọc trụ T1 L=40m (tr.68)</t>
        </is>
      </c>
      <c r="D530" s="18" t="inlineStr">
        <is>
          <t>P4</t>
        </is>
      </c>
      <c r="E530" s="19" t="n">
        <v>25</v>
      </c>
      <c r="F530" s="6" t="inlineStr">
        <is>
          <t>CB400-V</t>
        </is>
      </c>
      <c r="G530" s="7" t="inlineStr"/>
      <c r="H530" s="20" t="n">
        <v>11.7</v>
      </c>
      <c r="I530" s="21" t="n">
        <v>60</v>
      </c>
      <c r="J530" s="22" t="n">
        <v>3.853</v>
      </c>
      <c r="K530" s="9">
        <f>ROUND(H530*I530*J530, 2)</f>
        <v/>
      </c>
      <c r="L530" s="23">
        <f>ROUND(K530/1000, 3)</f>
        <v/>
      </c>
      <c r="M530" s="8">
        <f>IF(AO530="","",IF(INDEX(Theo_Doi_Tan_Suat_Be_Tong!$C:$C,AO530)="","",INDEX(Theo_Doi_Tan_Suat_Be_Tong!$C:$C,AO530)-VLOOKUP(AN530,$AQ$2:$AR$7,2,FALSE)))</f>
        <v/>
      </c>
      <c r="N530" s="6" t="n"/>
      <c r="O530" s="24">
        <f>IF(ROUNDUP(W530/20,0)&gt;ROUNDUP(W529/20,0),"TN Ø25 (Lần " &amp; ROUNDUP(W530/20,0) &amp; ")","")</f>
        <v/>
      </c>
      <c r="P530" s="20">
        <f>ROUND(P529+IF(AND(E530&lt;=10,F530&lt;&gt;"ASTM A416"),L530,0),3)</f>
        <v/>
      </c>
      <c r="Q530" s="20">
        <f>ROUND(Q529+IF(AND(E530=12,F530&lt;&gt;"ASTM A416"),L530,0),3)</f>
        <v/>
      </c>
      <c r="R530" s="20">
        <f>ROUND(R529+IF(AND(E530=14,F530&lt;&gt;"ASTM A416"),L530,0),3)</f>
        <v/>
      </c>
      <c r="S530" s="20">
        <f>ROUND(S529+IF(AND(E530=16,F530&lt;&gt;"ASTM A416"),L530,0),3)</f>
        <v/>
      </c>
      <c r="T530" s="20">
        <f>ROUND(T529+IF(AND(E530=18,F530&lt;&gt;"ASTM A416"),L530,0),3)</f>
        <v/>
      </c>
      <c r="U530" s="20">
        <f>ROUND(U529+IF(AND(E530=20,F530&lt;&gt;"ASTM A416"),L530,0),3)</f>
        <v/>
      </c>
      <c r="V530" s="20">
        <f>ROUND(V529+IF(AND(E530=22,F530&lt;&gt;"ASTM A416"),L530,0),3)</f>
        <v/>
      </c>
      <c r="W530" s="20">
        <f>ROUND(W529+IF(AND(E530=25,F530&lt;&gt;"ASTM A416"),L530,0),3)</f>
        <v/>
      </c>
      <c r="X530" s="20">
        <f>ROUND(X529+IF(AND(E530=28,F530&lt;&gt;"ASTM A416"),L530,0),3)</f>
        <v/>
      </c>
      <c r="Y530" s="20">
        <f>ROUND(Y529+IF(AND(E530=32,F530&lt;&gt;"ASTM A416"),L530,0),3)</f>
        <v/>
      </c>
      <c r="Z530" s="20">
        <f>ROUND(Z529+IF(F530="ASTM A416",L530,0),3)</f>
        <v/>
      </c>
      <c r="AA530" s="11">
        <f>IF(ROUNDUP(P530/20,0)&gt;ROUNDUP(P529/20,0),"Lần " &amp; ROUNDUP(P530/20,0),"")</f>
        <v/>
      </c>
      <c r="AB530" s="11">
        <f>IF(ROUNDUP(Q530/20,0)&gt;ROUNDUP(Q529/20,0),"Lần " &amp; ROUNDUP(Q530/20,0),"")</f>
        <v/>
      </c>
      <c r="AC530" s="11">
        <f>IF(ROUNDUP(R530/20,0)&gt;ROUNDUP(R529/20,0),"Lần " &amp; ROUNDUP(R530/20,0),"")</f>
        <v/>
      </c>
      <c r="AD530" s="11">
        <f>IF(ROUNDUP(S530/20,0)&gt;ROUNDUP(S529/20,0),"Lần " &amp; ROUNDUP(S530/20,0),"")</f>
        <v/>
      </c>
      <c r="AE530" s="11">
        <f>IF(ROUNDUP(T530/20,0)&gt;ROUNDUP(T529/20,0),"Lần " &amp; ROUNDUP(T530/20,0),"")</f>
        <v/>
      </c>
      <c r="AF530" s="11">
        <f>IF(ROUNDUP(U530/20,0)&gt;ROUNDUP(U529/20,0),"Lần " &amp; ROUNDUP(U530/20,0),"")</f>
        <v/>
      </c>
      <c r="AG530" s="11">
        <f>IF(ROUNDUP(V530/20,0)&gt;ROUNDUP(V529/20,0),"Lần " &amp; ROUNDUP(V530/20,0),"")</f>
        <v/>
      </c>
      <c r="AH530" s="11">
        <f>IF(ROUNDUP(W530/20,0)&gt;ROUNDUP(W529/20,0),"Lần " &amp; ROUNDUP(W530/20,0),"")</f>
        <v/>
      </c>
      <c r="AI530" s="11">
        <f>IF(ROUNDUP(X530/20,0)&gt;ROUNDUP(X529/20,0),"Lần " &amp; ROUNDUP(X530/20,0),"")</f>
        <v/>
      </c>
      <c r="AJ530" s="11">
        <f>IF(ROUNDUP(Y530/20,0)&gt;ROUNDUP(Y529/20,0),"Lần " &amp; ROUNDUP(Y530/20,0),"")</f>
        <v/>
      </c>
      <c r="AK530" s="11">
        <f>IF(ROUNDUP(Z530/20,0)&gt;ROUNDUP(Z529/20,0),"Lần " &amp; ROUNDUP(Z530/20,0),"")</f>
        <v/>
      </c>
      <c r="AL530" s="6" t="n"/>
      <c r="AN530" t="inlineStr">
        <is>
          <t>Coc</t>
        </is>
      </c>
      <c r="AO530" t="n">
        <v>12</v>
      </c>
    </row>
    <row r="531" ht="19" customHeight="1">
      <c r="A531" s="6" t="n">
        <v>506</v>
      </c>
      <c r="B531" s="7" t="inlineStr">
        <is>
          <t>Cọc khoan nhồi C6 Trụ T1 (D1.2m, L=40.0m)</t>
        </is>
      </c>
      <c r="C531" s="7" t="inlineStr">
        <is>
          <t>Cọc trụ T1 L=40m (tr.68)</t>
        </is>
      </c>
      <c r="D531" s="18" t="inlineStr">
        <is>
          <t>P6</t>
        </is>
      </c>
      <c r="E531" s="19" t="n">
        <v>25</v>
      </c>
      <c r="F531" s="6" t="inlineStr">
        <is>
          <t>CB400-V</t>
        </is>
      </c>
      <c r="G531" s="7" t="inlineStr"/>
      <c r="H531" s="20" t="n">
        <v>9.032999999999999</v>
      </c>
      <c r="I531" s="21" t="n">
        <v>12</v>
      </c>
      <c r="J531" s="22" t="n">
        <v>3.853</v>
      </c>
      <c r="K531" s="9">
        <f>ROUND(H531*I531*J531, 2)</f>
        <v/>
      </c>
      <c r="L531" s="23">
        <f>ROUND(K531/1000, 3)</f>
        <v/>
      </c>
      <c r="M531" s="8">
        <f>IF(AO531="","",IF(INDEX(Theo_Doi_Tan_Suat_Be_Tong!$C:$C,AO531)="","",INDEX(Theo_Doi_Tan_Suat_Be_Tong!$C:$C,AO531)-VLOOKUP(AN531,$AQ$2:$AR$7,2,FALSE)))</f>
        <v/>
      </c>
      <c r="N531" s="6" t="n"/>
      <c r="O531" s="24">
        <f>IF(ROUNDUP(W531/20,0)&gt;ROUNDUP(W530/20,0),"TN Ø25 (Lần " &amp; ROUNDUP(W531/20,0) &amp; ")","")</f>
        <v/>
      </c>
      <c r="P531" s="20">
        <f>ROUND(P530+IF(AND(E531&lt;=10,F531&lt;&gt;"ASTM A416"),L531,0),3)</f>
        <v/>
      </c>
      <c r="Q531" s="20">
        <f>ROUND(Q530+IF(AND(E531=12,F531&lt;&gt;"ASTM A416"),L531,0),3)</f>
        <v/>
      </c>
      <c r="R531" s="20">
        <f>ROUND(R530+IF(AND(E531=14,F531&lt;&gt;"ASTM A416"),L531,0),3)</f>
        <v/>
      </c>
      <c r="S531" s="20">
        <f>ROUND(S530+IF(AND(E531=16,F531&lt;&gt;"ASTM A416"),L531,0),3)</f>
        <v/>
      </c>
      <c r="T531" s="20">
        <f>ROUND(T530+IF(AND(E531=18,F531&lt;&gt;"ASTM A416"),L531,0),3)</f>
        <v/>
      </c>
      <c r="U531" s="20">
        <f>ROUND(U530+IF(AND(E531=20,F531&lt;&gt;"ASTM A416"),L531,0),3)</f>
        <v/>
      </c>
      <c r="V531" s="20">
        <f>ROUND(V530+IF(AND(E531=22,F531&lt;&gt;"ASTM A416"),L531,0),3)</f>
        <v/>
      </c>
      <c r="W531" s="20">
        <f>ROUND(W530+IF(AND(E531=25,F531&lt;&gt;"ASTM A416"),L531,0),3)</f>
        <v/>
      </c>
      <c r="X531" s="20">
        <f>ROUND(X530+IF(AND(E531=28,F531&lt;&gt;"ASTM A416"),L531,0),3)</f>
        <v/>
      </c>
      <c r="Y531" s="20">
        <f>ROUND(Y530+IF(AND(E531=32,F531&lt;&gt;"ASTM A416"),L531,0),3)</f>
        <v/>
      </c>
      <c r="Z531" s="20">
        <f>ROUND(Z530+IF(F531="ASTM A416",L531,0),3)</f>
        <v/>
      </c>
      <c r="AA531" s="11">
        <f>IF(ROUNDUP(P531/20,0)&gt;ROUNDUP(P530/20,0),"Lần " &amp; ROUNDUP(P531/20,0),"")</f>
        <v/>
      </c>
      <c r="AB531" s="11">
        <f>IF(ROUNDUP(Q531/20,0)&gt;ROUNDUP(Q530/20,0),"Lần " &amp; ROUNDUP(Q531/20,0),"")</f>
        <v/>
      </c>
      <c r="AC531" s="11">
        <f>IF(ROUNDUP(R531/20,0)&gt;ROUNDUP(R530/20,0),"Lần " &amp; ROUNDUP(R531/20,0),"")</f>
        <v/>
      </c>
      <c r="AD531" s="11">
        <f>IF(ROUNDUP(S531/20,0)&gt;ROUNDUP(S530/20,0),"Lần " &amp; ROUNDUP(S531/20,0),"")</f>
        <v/>
      </c>
      <c r="AE531" s="11">
        <f>IF(ROUNDUP(T531/20,0)&gt;ROUNDUP(T530/20,0),"Lần " &amp; ROUNDUP(T531/20,0),"")</f>
        <v/>
      </c>
      <c r="AF531" s="11">
        <f>IF(ROUNDUP(U531/20,0)&gt;ROUNDUP(U530/20,0),"Lần " &amp; ROUNDUP(U531/20,0),"")</f>
        <v/>
      </c>
      <c r="AG531" s="11">
        <f>IF(ROUNDUP(V531/20,0)&gt;ROUNDUP(V530/20,0),"Lần " &amp; ROUNDUP(V531/20,0),"")</f>
        <v/>
      </c>
      <c r="AH531" s="11">
        <f>IF(ROUNDUP(W531/20,0)&gt;ROUNDUP(W530/20,0),"Lần " &amp; ROUNDUP(W531/20,0),"")</f>
        <v/>
      </c>
      <c r="AI531" s="11">
        <f>IF(ROUNDUP(X531/20,0)&gt;ROUNDUP(X530/20,0),"Lần " &amp; ROUNDUP(X531/20,0),"")</f>
        <v/>
      </c>
      <c r="AJ531" s="11">
        <f>IF(ROUNDUP(Y531/20,0)&gt;ROUNDUP(Y530/20,0),"Lần " &amp; ROUNDUP(Y531/20,0),"")</f>
        <v/>
      </c>
      <c r="AK531" s="11">
        <f>IF(ROUNDUP(Z531/20,0)&gt;ROUNDUP(Z530/20,0),"Lần " &amp; ROUNDUP(Z531/20,0),"")</f>
        <v/>
      </c>
      <c r="AL531" s="6" t="n"/>
      <c r="AN531" t="inlineStr">
        <is>
          <t>Coc</t>
        </is>
      </c>
      <c r="AO531" t="n">
        <v>12</v>
      </c>
    </row>
    <row r="532" ht="19" customHeight="1">
      <c r="A532" s="6" t="n">
        <v>507</v>
      </c>
      <c r="B532" s="7" t="inlineStr">
        <is>
          <t>Cọc khoan nhồi C6 Trụ T1 (D1.2m, L=40.0m)</t>
        </is>
      </c>
      <c r="C532" s="7" t="inlineStr">
        <is>
          <t>Cọc trụ T1 L=40m (tr.68)</t>
        </is>
      </c>
      <c r="D532" s="18" t="inlineStr">
        <is>
          <t>P7</t>
        </is>
      </c>
      <c r="E532" s="19" t="n">
        <v>25</v>
      </c>
      <c r="F532" s="6" t="inlineStr">
        <is>
          <t>CB400-V</t>
        </is>
      </c>
      <c r="G532" s="7" t="inlineStr"/>
      <c r="H532" s="20" t="n">
        <v>10.033</v>
      </c>
      <c r="I532" s="21" t="n">
        <v>12</v>
      </c>
      <c r="J532" s="22" t="n">
        <v>3.853</v>
      </c>
      <c r="K532" s="9">
        <f>ROUND(H532*I532*J532, 2)</f>
        <v/>
      </c>
      <c r="L532" s="23">
        <f>ROUND(K532/1000, 3)</f>
        <v/>
      </c>
      <c r="M532" s="8">
        <f>IF(AO532="","",IF(INDEX(Theo_Doi_Tan_Suat_Be_Tong!$C:$C,AO532)="","",INDEX(Theo_Doi_Tan_Suat_Be_Tong!$C:$C,AO532)-VLOOKUP(AN532,$AQ$2:$AR$7,2,FALSE)))</f>
        <v/>
      </c>
      <c r="N532" s="6" t="n"/>
      <c r="O532" s="24">
        <f>IF(ROUNDUP(W532/20,0)&gt;ROUNDUP(W531/20,0),"TN Ø25 (Lần " &amp; ROUNDUP(W532/20,0) &amp; ")","")</f>
        <v/>
      </c>
      <c r="P532" s="20">
        <f>ROUND(P531+IF(AND(E532&lt;=10,F532&lt;&gt;"ASTM A416"),L532,0),3)</f>
        <v/>
      </c>
      <c r="Q532" s="20">
        <f>ROUND(Q531+IF(AND(E532=12,F532&lt;&gt;"ASTM A416"),L532,0),3)</f>
        <v/>
      </c>
      <c r="R532" s="20">
        <f>ROUND(R531+IF(AND(E532=14,F532&lt;&gt;"ASTM A416"),L532,0),3)</f>
        <v/>
      </c>
      <c r="S532" s="20">
        <f>ROUND(S531+IF(AND(E532=16,F532&lt;&gt;"ASTM A416"),L532,0),3)</f>
        <v/>
      </c>
      <c r="T532" s="20">
        <f>ROUND(T531+IF(AND(E532=18,F532&lt;&gt;"ASTM A416"),L532,0),3)</f>
        <v/>
      </c>
      <c r="U532" s="20">
        <f>ROUND(U531+IF(AND(E532=20,F532&lt;&gt;"ASTM A416"),L532,0),3)</f>
        <v/>
      </c>
      <c r="V532" s="20">
        <f>ROUND(V531+IF(AND(E532=22,F532&lt;&gt;"ASTM A416"),L532,0),3)</f>
        <v/>
      </c>
      <c r="W532" s="20">
        <f>ROUND(W531+IF(AND(E532=25,F532&lt;&gt;"ASTM A416"),L532,0),3)</f>
        <v/>
      </c>
      <c r="X532" s="20">
        <f>ROUND(X531+IF(AND(E532=28,F532&lt;&gt;"ASTM A416"),L532,0),3)</f>
        <v/>
      </c>
      <c r="Y532" s="20">
        <f>ROUND(Y531+IF(AND(E532=32,F532&lt;&gt;"ASTM A416"),L532,0),3)</f>
        <v/>
      </c>
      <c r="Z532" s="20">
        <f>ROUND(Z531+IF(F532="ASTM A416",L532,0),3)</f>
        <v/>
      </c>
      <c r="AA532" s="11">
        <f>IF(ROUNDUP(P532/20,0)&gt;ROUNDUP(P531/20,0),"Lần " &amp; ROUNDUP(P532/20,0),"")</f>
        <v/>
      </c>
      <c r="AB532" s="11">
        <f>IF(ROUNDUP(Q532/20,0)&gt;ROUNDUP(Q531/20,0),"Lần " &amp; ROUNDUP(Q532/20,0),"")</f>
        <v/>
      </c>
      <c r="AC532" s="11">
        <f>IF(ROUNDUP(R532/20,0)&gt;ROUNDUP(R531/20,0),"Lần " &amp; ROUNDUP(R532/20,0),"")</f>
        <v/>
      </c>
      <c r="AD532" s="11">
        <f>IF(ROUNDUP(S532/20,0)&gt;ROUNDUP(S531/20,0),"Lần " &amp; ROUNDUP(S532/20,0),"")</f>
        <v/>
      </c>
      <c r="AE532" s="11">
        <f>IF(ROUNDUP(T532/20,0)&gt;ROUNDUP(T531/20,0),"Lần " &amp; ROUNDUP(T532/20,0),"")</f>
        <v/>
      </c>
      <c r="AF532" s="11">
        <f>IF(ROUNDUP(U532/20,0)&gt;ROUNDUP(U531/20,0),"Lần " &amp; ROUNDUP(U532/20,0),"")</f>
        <v/>
      </c>
      <c r="AG532" s="11">
        <f>IF(ROUNDUP(V532/20,0)&gt;ROUNDUP(V531/20,0),"Lần " &amp; ROUNDUP(V532/20,0),"")</f>
        <v/>
      </c>
      <c r="AH532" s="11">
        <f>IF(ROUNDUP(W532/20,0)&gt;ROUNDUP(W531/20,0),"Lần " &amp; ROUNDUP(W532/20,0),"")</f>
        <v/>
      </c>
      <c r="AI532" s="11">
        <f>IF(ROUNDUP(X532/20,0)&gt;ROUNDUP(X531/20,0),"Lần " &amp; ROUNDUP(X532/20,0),"")</f>
        <v/>
      </c>
      <c r="AJ532" s="11">
        <f>IF(ROUNDUP(Y532/20,0)&gt;ROUNDUP(Y531/20,0),"Lần " &amp; ROUNDUP(Y532/20,0),"")</f>
        <v/>
      </c>
      <c r="AK532" s="11">
        <f>IF(ROUNDUP(Z532/20,0)&gt;ROUNDUP(Z531/20,0),"Lần " &amp; ROUNDUP(Z532/20,0),"")</f>
        <v/>
      </c>
      <c r="AL532" s="6" t="n"/>
      <c r="AN532" t="inlineStr">
        <is>
          <t>Coc</t>
        </is>
      </c>
      <c r="AO532" t="n">
        <v>12</v>
      </c>
    </row>
    <row r="533" ht="19" customHeight="1">
      <c r="A533" s="6" t="n">
        <v>508</v>
      </c>
      <c r="B533" s="7" t="inlineStr">
        <is>
          <t>Cọc khoan nhồi C6 Trụ T1 (D1.2m, L=40.0m)</t>
        </is>
      </c>
      <c r="C533" s="7" t="inlineStr">
        <is>
          <t>Cọc trụ T1 L=40m (tr.68)</t>
        </is>
      </c>
      <c r="D533" s="18" t="inlineStr">
        <is>
          <t>P8</t>
        </is>
      </c>
      <c r="E533" s="19" t="n">
        <v>12</v>
      </c>
      <c r="F533" s="6" t="inlineStr">
        <is>
          <t>CB400-V</t>
        </is>
      </c>
      <c r="G533" s="7" t="inlineStr"/>
      <c r="H533" s="20" t="n">
        <v>0.647</v>
      </c>
      <c r="I533" s="21" t="n">
        <v>16</v>
      </c>
      <c r="J533" s="22" t="n">
        <v>0.888</v>
      </c>
      <c r="K533" s="9">
        <f>ROUND(H533*I533*J533, 2)</f>
        <v/>
      </c>
      <c r="L533" s="23">
        <f>ROUND(K533/1000, 3)</f>
        <v/>
      </c>
      <c r="M533" s="8">
        <f>IF(AO533="","",IF(INDEX(Theo_Doi_Tan_Suat_Be_Tong!$C:$C,AO533)="","",INDEX(Theo_Doi_Tan_Suat_Be_Tong!$C:$C,AO533)-VLOOKUP(AN533,$AQ$2:$AR$7,2,FALSE)))</f>
        <v/>
      </c>
      <c r="N533" s="6" t="n"/>
      <c r="O533" s="24">
        <f>IF(ROUNDUP(Q533/20,0)&gt;ROUNDUP(Q532/20,0),"TN Ø12 (Lần " &amp; ROUNDUP(Q533/20,0) &amp; ")","")</f>
        <v/>
      </c>
      <c r="P533" s="20">
        <f>ROUND(P532+IF(AND(E533&lt;=10,F533&lt;&gt;"ASTM A416"),L533,0),3)</f>
        <v/>
      </c>
      <c r="Q533" s="20">
        <f>ROUND(Q532+IF(AND(E533=12,F533&lt;&gt;"ASTM A416"),L533,0),3)</f>
        <v/>
      </c>
      <c r="R533" s="20">
        <f>ROUND(R532+IF(AND(E533=14,F533&lt;&gt;"ASTM A416"),L533,0),3)</f>
        <v/>
      </c>
      <c r="S533" s="20">
        <f>ROUND(S532+IF(AND(E533=16,F533&lt;&gt;"ASTM A416"),L533,0),3)</f>
        <v/>
      </c>
      <c r="T533" s="20">
        <f>ROUND(T532+IF(AND(E533=18,F533&lt;&gt;"ASTM A416"),L533,0),3)</f>
        <v/>
      </c>
      <c r="U533" s="20">
        <f>ROUND(U532+IF(AND(E533=20,F533&lt;&gt;"ASTM A416"),L533,0),3)</f>
        <v/>
      </c>
      <c r="V533" s="20">
        <f>ROUND(V532+IF(AND(E533=22,F533&lt;&gt;"ASTM A416"),L533,0),3)</f>
        <v/>
      </c>
      <c r="W533" s="20">
        <f>ROUND(W532+IF(AND(E533=25,F533&lt;&gt;"ASTM A416"),L533,0),3)</f>
        <v/>
      </c>
      <c r="X533" s="20">
        <f>ROUND(X532+IF(AND(E533=28,F533&lt;&gt;"ASTM A416"),L533,0),3)</f>
        <v/>
      </c>
      <c r="Y533" s="20">
        <f>ROUND(Y532+IF(AND(E533=32,F533&lt;&gt;"ASTM A416"),L533,0),3)</f>
        <v/>
      </c>
      <c r="Z533" s="20">
        <f>ROUND(Z532+IF(F533="ASTM A416",L533,0),3)</f>
        <v/>
      </c>
      <c r="AA533" s="11">
        <f>IF(ROUNDUP(P533/20,0)&gt;ROUNDUP(P532/20,0),"Lần " &amp; ROUNDUP(P533/20,0),"")</f>
        <v/>
      </c>
      <c r="AB533" s="11">
        <f>IF(ROUNDUP(Q533/20,0)&gt;ROUNDUP(Q532/20,0),"Lần " &amp; ROUNDUP(Q533/20,0),"")</f>
        <v/>
      </c>
      <c r="AC533" s="11">
        <f>IF(ROUNDUP(R533/20,0)&gt;ROUNDUP(R532/20,0),"Lần " &amp; ROUNDUP(R533/20,0),"")</f>
        <v/>
      </c>
      <c r="AD533" s="11">
        <f>IF(ROUNDUP(S533/20,0)&gt;ROUNDUP(S532/20,0),"Lần " &amp; ROUNDUP(S533/20,0),"")</f>
        <v/>
      </c>
      <c r="AE533" s="11">
        <f>IF(ROUNDUP(T533/20,0)&gt;ROUNDUP(T532/20,0),"Lần " &amp; ROUNDUP(T533/20,0),"")</f>
        <v/>
      </c>
      <c r="AF533" s="11">
        <f>IF(ROUNDUP(U533/20,0)&gt;ROUNDUP(U532/20,0),"Lần " &amp; ROUNDUP(U533/20,0),"")</f>
        <v/>
      </c>
      <c r="AG533" s="11">
        <f>IF(ROUNDUP(V533/20,0)&gt;ROUNDUP(V532/20,0),"Lần " &amp; ROUNDUP(V533/20,0),"")</f>
        <v/>
      </c>
      <c r="AH533" s="11">
        <f>IF(ROUNDUP(W533/20,0)&gt;ROUNDUP(W532/20,0),"Lần " &amp; ROUNDUP(W533/20,0),"")</f>
        <v/>
      </c>
      <c r="AI533" s="11">
        <f>IF(ROUNDUP(X533/20,0)&gt;ROUNDUP(X532/20,0),"Lần " &amp; ROUNDUP(X533/20,0),"")</f>
        <v/>
      </c>
      <c r="AJ533" s="11">
        <f>IF(ROUNDUP(Y533/20,0)&gt;ROUNDUP(Y532/20,0),"Lần " &amp; ROUNDUP(Y533/20,0),"")</f>
        <v/>
      </c>
      <c r="AK533" s="11">
        <f>IF(ROUNDUP(Z533/20,0)&gt;ROUNDUP(Z532/20,0),"Lần " &amp; ROUNDUP(Z533/20,0),"")</f>
        <v/>
      </c>
      <c r="AL533" s="6" t="n"/>
      <c r="AN533" t="inlineStr">
        <is>
          <t>Coc</t>
        </is>
      </c>
      <c r="AO533" t="n">
        <v>12</v>
      </c>
    </row>
    <row r="534" ht="19" customHeight="1">
      <c r="A534" s="6" t="n">
        <v>509</v>
      </c>
      <c r="B534" s="7" t="inlineStr">
        <is>
          <t>Cọc khoan nhồi C6 Trụ T1 (D1.2m, L=40.0m)</t>
        </is>
      </c>
      <c r="C534" s="7" t="inlineStr">
        <is>
          <t>Cọc trụ T1 L=40m (tr.68)</t>
        </is>
      </c>
      <c r="D534" s="18" t="inlineStr">
        <is>
          <t>P9</t>
        </is>
      </c>
      <c r="E534" s="19" t="n">
        <v>12</v>
      </c>
      <c r="F534" s="6" t="inlineStr">
        <is>
          <t>CB400-V</t>
        </is>
      </c>
      <c r="G534" s="7" t="inlineStr"/>
      <c r="H534" s="20" t="n">
        <v>0.379</v>
      </c>
      <c r="I534" s="21" t="n">
        <v>48</v>
      </c>
      <c r="J534" s="22" t="n">
        <v>0.888</v>
      </c>
      <c r="K534" s="9">
        <f>ROUND(H534*I534*J534, 2)</f>
        <v/>
      </c>
      <c r="L534" s="23">
        <f>ROUND(K534/1000, 3)</f>
        <v/>
      </c>
      <c r="M534" s="8">
        <f>IF(AO534="","",IF(INDEX(Theo_Doi_Tan_Suat_Be_Tong!$C:$C,AO534)="","",INDEX(Theo_Doi_Tan_Suat_Be_Tong!$C:$C,AO534)-VLOOKUP(AN534,$AQ$2:$AR$7,2,FALSE)))</f>
        <v/>
      </c>
      <c r="N534" s="6" t="n"/>
      <c r="O534" s="24">
        <f>IF(ROUNDUP(Q534/20,0)&gt;ROUNDUP(Q533/20,0),"TN Ø12 (Lần " &amp; ROUNDUP(Q534/20,0) &amp; ")","")</f>
        <v/>
      </c>
      <c r="P534" s="20">
        <f>ROUND(P533+IF(AND(E534&lt;=10,F534&lt;&gt;"ASTM A416"),L534,0),3)</f>
        <v/>
      </c>
      <c r="Q534" s="20">
        <f>ROUND(Q533+IF(AND(E534=12,F534&lt;&gt;"ASTM A416"),L534,0),3)</f>
        <v/>
      </c>
      <c r="R534" s="20">
        <f>ROUND(R533+IF(AND(E534=14,F534&lt;&gt;"ASTM A416"),L534,0),3)</f>
        <v/>
      </c>
      <c r="S534" s="20">
        <f>ROUND(S533+IF(AND(E534=16,F534&lt;&gt;"ASTM A416"),L534,0),3)</f>
        <v/>
      </c>
      <c r="T534" s="20">
        <f>ROUND(T533+IF(AND(E534=18,F534&lt;&gt;"ASTM A416"),L534,0),3)</f>
        <v/>
      </c>
      <c r="U534" s="20">
        <f>ROUND(U533+IF(AND(E534=20,F534&lt;&gt;"ASTM A416"),L534,0),3)</f>
        <v/>
      </c>
      <c r="V534" s="20">
        <f>ROUND(V533+IF(AND(E534=22,F534&lt;&gt;"ASTM A416"),L534,0),3)</f>
        <v/>
      </c>
      <c r="W534" s="20">
        <f>ROUND(W533+IF(AND(E534=25,F534&lt;&gt;"ASTM A416"),L534,0),3)</f>
        <v/>
      </c>
      <c r="X534" s="20">
        <f>ROUND(X533+IF(AND(E534=28,F534&lt;&gt;"ASTM A416"),L534,0),3)</f>
        <v/>
      </c>
      <c r="Y534" s="20">
        <f>ROUND(Y533+IF(AND(E534=32,F534&lt;&gt;"ASTM A416"),L534,0),3)</f>
        <v/>
      </c>
      <c r="Z534" s="20">
        <f>ROUND(Z533+IF(F534="ASTM A416",L534,0),3)</f>
        <v/>
      </c>
      <c r="AA534" s="11">
        <f>IF(ROUNDUP(P534/20,0)&gt;ROUNDUP(P533/20,0),"Lần " &amp; ROUNDUP(P534/20,0),"")</f>
        <v/>
      </c>
      <c r="AB534" s="11">
        <f>IF(ROUNDUP(Q534/20,0)&gt;ROUNDUP(Q533/20,0),"Lần " &amp; ROUNDUP(Q534/20,0),"")</f>
        <v/>
      </c>
      <c r="AC534" s="11">
        <f>IF(ROUNDUP(R534/20,0)&gt;ROUNDUP(R533/20,0),"Lần " &amp; ROUNDUP(R534/20,0),"")</f>
        <v/>
      </c>
      <c r="AD534" s="11">
        <f>IF(ROUNDUP(S534/20,0)&gt;ROUNDUP(S533/20,0),"Lần " &amp; ROUNDUP(S534/20,0),"")</f>
        <v/>
      </c>
      <c r="AE534" s="11">
        <f>IF(ROUNDUP(T534/20,0)&gt;ROUNDUP(T533/20,0),"Lần " &amp; ROUNDUP(T534/20,0),"")</f>
        <v/>
      </c>
      <c r="AF534" s="11">
        <f>IF(ROUNDUP(U534/20,0)&gt;ROUNDUP(U533/20,0),"Lần " &amp; ROUNDUP(U534/20,0),"")</f>
        <v/>
      </c>
      <c r="AG534" s="11">
        <f>IF(ROUNDUP(V534/20,0)&gt;ROUNDUP(V533/20,0),"Lần " &amp; ROUNDUP(V534/20,0),"")</f>
        <v/>
      </c>
      <c r="AH534" s="11">
        <f>IF(ROUNDUP(W534/20,0)&gt;ROUNDUP(W533/20,0),"Lần " &amp; ROUNDUP(W534/20,0),"")</f>
        <v/>
      </c>
      <c r="AI534" s="11">
        <f>IF(ROUNDUP(X534/20,0)&gt;ROUNDUP(X533/20,0),"Lần " &amp; ROUNDUP(X534/20,0),"")</f>
        <v/>
      </c>
      <c r="AJ534" s="11">
        <f>IF(ROUNDUP(Y534/20,0)&gt;ROUNDUP(Y533/20,0),"Lần " &amp; ROUNDUP(Y534/20,0),"")</f>
        <v/>
      </c>
      <c r="AK534" s="11">
        <f>IF(ROUNDUP(Z534/20,0)&gt;ROUNDUP(Z533/20,0),"Lần " &amp; ROUNDUP(Z534/20,0),"")</f>
        <v/>
      </c>
      <c r="AL534" s="6" t="n"/>
      <c r="AN534" t="inlineStr">
        <is>
          <t>Coc</t>
        </is>
      </c>
      <c r="AO534" t="n">
        <v>12</v>
      </c>
    </row>
    <row r="535" ht="19" customHeight="1">
      <c r="A535" s="6" t="n">
        <v>510</v>
      </c>
      <c r="B535" s="7" t="inlineStr">
        <is>
          <t>Cọc khoan nhồi C6 Trụ T1 (D1.2m, L=40.0m)</t>
        </is>
      </c>
      <c r="C535" s="7" t="inlineStr">
        <is>
          <t>Cọc trụ T1 L=40m (tr.68)</t>
        </is>
      </c>
      <c r="D535" s="18" t="inlineStr">
        <is>
          <t>P10</t>
        </is>
      </c>
      <c r="E535" s="19" t="n">
        <v>20</v>
      </c>
      <c r="F535" s="6" t="inlineStr">
        <is>
          <t>CB400-V</t>
        </is>
      </c>
      <c r="G535" s="7" t="inlineStr"/>
      <c r="H535" s="20" t="n">
        <v>2.057</v>
      </c>
      <c r="I535" s="21" t="n">
        <v>1</v>
      </c>
      <c r="J535" s="22" t="n">
        <v>2.466</v>
      </c>
      <c r="K535" s="9">
        <f>ROUND(H535*I535*J535, 2)</f>
        <v/>
      </c>
      <c r="L535" s="23">
        <f>ROUND(K535/1000, 3)</f>
        <v/>
      </c>
      <c r="M535" s="8">
        <f>IF(AO535="","",IF(INDEX(Theo_Doi_Tan_Suat_Be_Tong!$C:$C,AO535)="","",INDEX(Theo_Doi_Tan_Suat_Be_Tong!$C:$C,AO535)-VLOOKUP(AN535,$AQ$2:$AR$7,2,FALSE)))</f>
        <v/>
      </c>
      <c r="N535" s="6" t="n"/>
      <c r="O535" s="24">
        <f>IF(ROUNDUP(U535/20,0)&gt;ROUNDUP(U534/20,0),"TN Ø20 (Lần " &amp; ROUNDUP(U535/20,0) &amp; ")","")</f>
        <v/>
      </c>
      <c r="P535" s="20">
        <f>ROUND(P534+IF(AND(E535&lt;=10,F535&lt;&gt;"ASTM A416"),L535,0),3)</f>
        <v/>
      </c>
      <c r="Q535" s="20">
        <f>ROUND(Q534+IF(AND(E535=12,F535&lt;&gt;"ASTM A416"),L535,0),3)</f>
        <v/>
      </c>
      <c r="R535" s="20">
        <f>ROUND(R534+IF(AND(E535=14,F535&lt;&gt;"ASTM A416"),L535,0),3)</f>
        <v/>
      </c>
      <c r="S535" s="20">
        <f>ROUND(S534+IF(AND(E535=16,F535&lt;&gt;"ASTM A416"),L535,0),3)</f>
        <v/>
      </c>
      <c r="T535" s="20">
        <f>ROUND(T534+IF(AND(E535=18,F535&lt;&gt;"ASTM A416"),L535,0),3)</f>
        <v/>
      </c>
      <c r="U535" s="20">
        <f>ROUND(U534+IF(AND(E535=20,F535&lt;&gt;"ASTM A416"),L535,0),3)</f>
        <v/>
      </c>
      <c r="V535" s="20">
        <f>ROUND(V534+IF(AND(E535=22,F535&lt;&gt;"ASTM A416"),L535,0),3)</f>
        <v/>
      </c>
      <c r="W535" s="20">
        <f>ROUND(W534+IF(AND(E535=25,F535&lt;&gt;"ASTM A416"),L535,0),3)</f>
        <v/>
      </c>
      <c r="X535" s="20">
        <f>ROUND(X534+IF(AND(E535=28,F535&lt;&gt;"ASTM A416"),L535,0),3)</f>
        <v/>
      </c>
      <c r="Y535" s="20">
        <f>ROUND(Y534+IF(AND(E535=32,F535&lt;&gt;"ASTM A416"),L535,0),3)</f>
        <v/>
      </c>
      <c r="Z535" s="20">
        <f>ROUND(Z534+IF(F535="ASTM A416",L535,0),3)</f>
        <v/>
      </c>
      <c r="AA535" s="11">
        <f>IF(ROUNDUP(P535/20,0)&gt;ROUNDUP(P534/20,0),"Lần " &amp; ROUNDUP(P535/20,0),"")</f>
        <v/>
      </c>
      <c r="AB535" s="11">
        <f>IF(ROUNDUP(Q535/20,0)&gt;ROUNDUP(Q534/20,0),"Lần " &amp; ROUNDUP(Q535/20,0),"")</f>
        <v/>
      </c>
      <c r="AC535" s="11">
        <f>IF(ROUNDUP(R535/20,0)&gt;ROUNDUP(R534/20,0),"Lần " &amp; ROUNDUP(R535/20,0),"")</f>
        <v/>
      </c>
      <c r="AD535" s="11">
        <f>IF(ROUNDUP(S535/20,0)&gt;ROUNDUP(S534/20,0),"Lần " &amp; ROUNDUP(S535/20,0),"")</f>
        <v/>
      </c>
      <c r="AE535" s="11">
        <f>IF(ROUNDUP(T535/20,0)&gt;ROUNDUP(T534/20,0),"Lần " &amp; ROUNDUP(T535/20,0),"")</f>
        <v/>
      </c>
      <c r="AF535" s="11">
        <f>IF(ROUNDUP(U535/20,0)&gt;ROUNDUP(U534/20,0),"Lần " &amp; ROUNDUP(U535/20,0),"")</f>
        <v/>
      </c>
      <c r="AG535" s="11">
        <f>IF(ROUNDUP(V535/20,0)&gt;ROUNDUP(V534/20,0),"Lần " &amp; ROUNDUP(V535/20,0),"")</f>
        <v/>
      </c>
      <c r="AH535" s="11">
        <f>IF(ROUNDUP(W535/20,0)&gt;ROUNDUP(W534/20,0),"Lần " &amp; ROUNDUP(W535/20,0),"")</f>
        <v/>
      </c>
      <c r="AI535" s="11">
        <f>IF(ROUNDUP(X535/20,0)&gt;ROUNDUP(X534/20,0),"Lần " &amp; ROUNDUP(X535/20,0),"")</f>
        <v/>
      </c>
      <c r="AJ535" s="11">
        <f>IF(ROUNDUP(Y535/20,0)&gt;ROUNDUP(Y534/20,0),"Lần " &amp; ROUNDUP(Y535/20,0),"")</f>
        <v/>
      </c>
      <c r="AK535" s="11">
        <f>IF(ROUNDUP(Z535/20,0)&gt;ROUNDUP(Z534/20,0),"Lần " &amp; ROUNDUP(Z535/20,0),"")</f>
        <v/>
      </c>
      <c r="AL535" s="6" t="n"/>
      <c r="AN535" t="inlineStr">
        <is>
          <t>Coc</t>
        </is>
      </c>
      <c r="AO535" t="n">
        <v>12</v>
      </c>
    </row>
    <row r="536" ht="19" customHeight="1">
      <c r="A536" s="6" t="n">
        <v>511</v>
      </c>
      <c r="B536" s="7" t="inlineStr">
        <is>
          <t>Cọc khoan nhồi C6 Trụ T1 (D1.2m, L=40.0m)</t>
        </is>
      </c>
      <c r="C536" s="7" t="inlineStr">
        <is>
          <t>Cọc trụ T1 L=40m (tr.68)</t>
        </is>
      </c>
      <c r="D536" s="18" t="inlineStr">
        <is>
          <t>P12</t>
        </is>
      </c>
      <c r="E536" s="19" t="n">
        <v>20</v>
      </c>
      <c r="F536" s="6" t="inlineStr">
        <is>
          <t>CB400-V</t>
        </is>
      </c>
      <c r="G536" s="7" t="inlineStr"/>
      <c r="H536" s="20" t="n">
        <v>0.583</v>
      </c>
      <c r="I536" s="21" t="n">
        <v>64</v>
      </c>
      <c r="J536" s="22" t="n">
        <v>2.466</v>
      </c>
      <c r="K536" s="9">
        <f>ROUND(H536*I536*J536, 2)</f>
        <v/>
      </c>
      <c r="L536" s="23">
        <f>ROUND(K536/1000, 3)</f>
        <v/>
      </c>
      <c r="M536" s="8">
        <f>IF(AO536="","",IF(INDEX(Theo_Doi_Tan_Suat_Be_Tong!$C:$C,AO536)="","",INDEX(Theo_Doi_Tan_Suat_Be_Tong!$C:$C,AO536)-VLOOKUP(AN536,$AQ$2:$AR$7,2,FALSE)))</f>
        <v/>
      </c>
      <c r="N536" s="6" t="n"/>
      <c r="O536" s="24">
        <f>IF(ROUNDUP(U536/20,0)&gt;ROUNDUP(U535/20,0),"TN Ø20 (Lần " &amp; ROUNDUP(U536/20,0) &amp; ")","")</f>
        <v/>
      </c>
      <c r="P536" s="20">
        <f>ROUND(P535+IF(AND(E536&lt;=10,F536&lt;&gt;"ASTM A416"),L536,0),3)</f>
        <v/>
      </c>
      <c r="Q536" s="20">
        <f>ROUND(Q535+IF(AND(E536=12,F536&lt;&gt;"ASTM A416"),L536,0),3)</f>
        <v/>
      </c>
      <c r="R536" s="20">
        <f>ROUND(R535+IF(AND(E536=14,F536&lt;&gt;"ASTM A416"),L536,0),3)</f>
        <v/>
      </c>
      <c r="S536" s="20">
        <f>ROUND(S535+IF(AND(E536=16,F536&lt;&gt;"ASTM A416"),L536,0),3)</f>
        <v/>
      </c>
      <c r="T536" s="20">
        <f>ROUND(T535+IF(AND(E536=18,F536&lt;&gt;"ASTM A416"),L536,0),3)</f>
        <v/>
      </c>
      <c r="U536" s="20">
        <f>ROUND(U535+IF(AND(E536=20,F536&lt;&gt;"ASTM A416"),L536,0),3)</f>
        <v/>
      </c>
      <c r="V536" s="20">
        <f>ROUND(V535+IF(AND(E536=22,F536&lt;&gt;"ASTM A416"),L536,0),3)</f>
        <v/>
      </c>
      <c r="W536" s="20">
        <f>ROUND(W535+IF(AND(E536=25,F536&lt;&gt;"ASTM A416"),L536,0),3)</f>
        <v/>
      </c>
      <c r="X536" s="20">
        <f>ROUND(X535+IF(AND(E536=28,F536&lt;&gt;"ASTM A416"),L536,0),3)</f>
        <v/>
      </c>
      <c r="Y536" s="20">
        <f>ROUND(Y535+IF(AND(E536=32,F536&lt;&gt;"ASTM A416"),L536,0),3)</f>
        <v/>
      </c>
      <c r="Z536" s="20">
        <f>ROUND(Z535+IF(F536="ASTM A416",L536,0),3)</f>
        <v/>
      </c>
      <c r="AA536" s="11">
        <f>IF(ROUNDUP(P536/20,0)&gt;ROUNDUP(P535/20,0),"Lần " &amp; ROUNDUP(P536/20,0),"")</f>
        <v/>
      </c>
      <c r="AB536" s="11">
        <f>IF(ROUNDUP(Q536/20,0)&gt;ROUNDUP(Q535/20,0),"Lần " &amp; ROUNDUP(Q536/20,0),"")</f>
        <v/>
      </c>
      <c r="AC536" s="11">
        <f>IF(ROUNDUP(R536/20,0)&gt;ROUNDUP(R535/20,0),"Lần " &amp; ROUNDUP(R536/20,0),"")</f>
        <v/>
      </c>
      <c r="AD536" s="11">
        <f>IF(ROUNDUP(S536/20,0)&gt;ROUNDUP(S535/20,0),"Lần " &amp; ROUNDUP(S536/20,0),"")</f>
        <v/>
      </c>
      <c r="AE536" s="11">
        <f>IF(ROUNDUP(T536/20,0)&gt;ROUNDUP(T535/20,0),"Lần " &amp; ROUNDUP(T536/20,0),"")</f>
        <v/>
      </c>
      <c r="AF536" s="11">
        <f>IF(ROUNDUP(U536/20,0)&gt;ROUNDUP(U535/20,0),"Lần " &amp; ROUNDUP(U536/20,0),"")</f>
        <v/>
      </c>
      <c r="AG536" s="11">
        <f>IF(ROUNDUP(V536/20,0)&gt;ROUNDUP(V535/20,0),"Lần " &amp; ROUNDUP(V536/20,0),"")</f>
        <v/>
      </c>
      <c r="AH536" s="11">
        <f>IF(ROUNDUP(W536/20,0)&gt;ROUNDUP(W535/20,0),"Lần " &amp; ROUNDUP(W536/20,0),"")</f>
        <v/>
      </c>
      <c r="AI536" s="11">
        <f>IF(ROUNDUP(X536/20,0)&gt;ROUNDUP(X535/20,0),"Lần " &amp; ROUNDUP(X536/20,0),"")</f>
        <v/>
      </c>
      <c r="AJ536" s="11">
        <f>IF(ROUNDUP(Y536/20,0)&gt;ROUNDUP(Y535/20,0),"Lần " &amp; ROUNDUP(Y536/20,0),"")</f>
        <v/>
      </c>
      <c r="AK536" s="11">
        <f>IF(ROUNDUP(Z536/20,0)&gt;ROUNDUP(Z535/20,0),"Lần " &amp; ROUNDUP(Z536/20,0),"")</f>
        <v/>
      </c>
      <c r="AL536" s="6" t="n"/>
      <c r="AN536" t="inlineStr">
        <is>
          <t>Coc</t>
        </is>
      </c>
      <c r="AO536" t="n">
        <v>12</v>
      </c>
    </row>
    <row r="537" ht="19" customHeight="1">
      <c r="A537" s="6" t="n">
        <v>512</v>
      </c>
      <c r="B537" s="7" t="inlineStr">
        <is>
          <t>Cọc khoan nhồi C6 Trụ T1 (D1.2m, L=40.0m)</t>
        </is>
      </c>
      <c r="C537" s="7" t="inlineStr">
        <is>
          <t>Cọc trụ T1 L=40m (tr.68)</t>
        </is>
      </c>
      <c r="D537" s="18" t="inlineStr">
        <is>
          <t>P11</t>
        </is>
      </c>
      <c r="E537" s="19" t="n">
        <v>16</v>
      </c>
      <c r="F537" s="6" t="inlineStr">
        <is>
          <t>CB400-V</t>
        </is>
      </c>
      <c r="G537" s="7" t="inlineStr"/>
      <c r="H537" s="20" t="n">
        <v>2.604</v>
      </c>
      <c r="I537" s="21" t="n">
        <v>4</v>
      </c>
      <c r="J537" s="22" t="n">
        <v>1.578</v>
      </c>
      <c r="K537" s="9">
        <f>ROUND(H537*I537*J537, 2)</f>
        <v/>
      </c>
      <c r="L537" s="23">
        <f>ROUND(K537/1000, 3)</f>
        <v/>
      </c>
      <c r="M537" s="8">
        <f>IF(AO537="","",IF(INDEX(Theo_Doi_Tan_Suat_Be_Tong!$C:$C,AO537)="","",INDEX(Theo_Doi_Tan_Suat_Be_Tong!$C:$C,AO537)-VLOOKUP(AN537,$AQ$2:$AR$7,2,FALSE)))</f>
        <v/>
      </c>
      <c r="N537" s="6" t="n"/>
      <c r="O537" s="24">
        <f>IF(ROUNDUP(S537/20,0)&gt;ROUNDUP(S536/20,0),"TN Ø16 (Lần " &amp; ROUNDUP(S537/20,0) &amp; ")","")</f>
        <v/>
      </c>
      <c r="P537" s="20">
        <f>ROUND(P536+IF(AND(E537&lt;=10,F537&lt;&gt;"ASTM A416"),L537,0),3)</f>
        <v/>
      </c>
      <c r="Q537" s="20">
        <f>ROUND(Q536+IF(AND(E537=12,F537&lt;&gt;"ASTM A416"),L537,0),3)</f>
        <v/>
      </c>
      <c r="R537" s="20">
        <f>ROUND(R536+IF(AND(E537=14,F537&lt;&gt;"ASTM A416"),L537,0),3)</f>
        <v/>
      </c>
      <c r="S537" s="20">
        <f>ROUND(S536+IF(AND(E537=16,F537&lt;&gt;"ASTM A416"),L537,0),3)</f>
        <v/>
      </c>
      <c r="T537" s="20">
        <f>ROUND(T536+IF(AND(E537=18,F537&lt;&gt;"ASTM A416"),L537,0),3)</f>
        <v/>
      </c>
      <c r="U537" s="20">
        <f>ROUND(U536+IF(AND(E537=20,F537&lt;&gt;"ASTM A416"),L537,0),3)</f>
        <v/>
      </c>
      <c r="V537" s="20">
        <f>ROUND(V536+IF(AND(E537=22,F537&lt;&gt;"ASTM A416"),L537,0),3)</f>
        <v/>
      </c>
      <c r="W537" s="20">
        <f>ROUND(W536+IF(AND(E537=25,F537&lt;&gt;"ASTM A416"),L537,0),3)</f>
        <v/>
      </c>
      <c r="X537" s="20">
        <f>ROUND(X536+IF(AND(E537=28,F537&lt;&gt;"ASTM A416"),L537,0),3)</f>
        <v/>
      </c>
      <c r="Y537" s="20">
        <f>ROUND(Y536+IF(AND(E537=32,F537&lt;&gt;"ASTM A416"),L537,0),3)</f>
        <v/>
      </c>
      <c r="Z537" s="20">
        <f>ROUND(Z536+IF(F537="ASTM A416",L537,0),3)</f>
        <v/>
      </c>
      <c r="AA537" s="11">
        <f>IF(ROUNDUP(P537/20,0)&gt;ROUNDUP(P536/20,0),"Lần " &amp; ROUNDUP(P537/20,0),"")</f>
        <v/>
      </c>
      <c r="AB537" s="11">
        <f>IF(ROUNDUP(Q537/20,0)&gt;ROUNDUP(Q536/20,0),"Lần " &amp; ROUNDUP(Q537/20,0),"")</f>
        <v/>
      </c>
      <c r="AC537" s="11">
        <f>IF(ROUNDUP(R537/20,0)&gt;ROUNDUP(R536/20,0),"Lần " &amp; ROUNDUP(R537/20,0),"")</f>
        <v/>
      </c>
      <c r="AD537" s="11">
        <f>IF(ROUNDUP(S537/20,0)&gt;ROUNDUP(S536/20,0),"Lần " &amp; ROUNDUP(S537/20,0),"")</f>
        <v/>
      </c>
      <c r="AE537" s="11">
        <f>IF(ROUNDUP(T537/20,0)&gt;ROUNDUP(T536/20,0),"Lần " &amp; ROUNDUP(T537/20,0),"")</f>
        <v/>
      </c>
      <c r="AF537" s="11">
        <f>IF(ROUNDUP(U537/20,0)&gt;ROUNDUP(U536/20,0),"Lần " &amp; ROUNDUP(U537/20,0),"")</f>
        <v/>
      </c>
      <c r="AG537" s="11">
        <f>IF(ROUNDUP(V537/20,0)&gt;ROUNDUP(V536/20,0),"Lần " &amp; ROUNDUP(V537/20,0),"")</f>
        <v/>
      </c>
      <c r="AH537" s="11">
        <f>IF(ROUNDUP(W537/20,0)&gt;ROUNDUP(W536/20,0),"Lần " &amp; ROUNDUP(W537/20,0),"")</f>
        <v/>
      </c>
      <c r="AI537" s="11">
        <f>IF(ROUNDUP(X537/20,0)&gt;ROUNDUP(X536/20,0),"Lần " &amp; ROUNDUP(X537/20,0),"")</f>
        <v/>
      </c>
      <c r="AJ537" s="11">
        <f>IF(ROUNDUP(Y537/20,0)&gt;ROUNDUP(Y536/20,0),"Lần " &amp; ROUNDUP(Y537/20,0),"")</f>
        <v/>
      </c>
      <c r="AK537" s="11">
        <f>IF(ROUNDUP(Z537/20,0)&gt;ROUNDUP(Z536/20,0),"Lần " &amp; ROUNDUP(Z537/20,0),"")</f>
        <v/>
      </c>
      <c r="AL537" s="6" t="n"/>
      <c r="AN537" t="inlineStr">
        <is>
          <t>Coc</t>
        </is>
      </c>
      <c r="AO537" t="n">
        <v>12</v>
      </c>
    </row>
    <row r="538" ht="19" customHeight="1">
      <c r="A538" s="17" t="inlineStr">
        <is>
          <t>--- CỌC KHOAN NHỒI C7 TRỤ T1 (D1.2M, L=40.0M) ---</t>
        </is>
      </c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  <c r="AG538" s="35" t="n"/>
      <c r="AH538" s="35" t="n"/>
      <c r="AI538" s="35" t="n"/>
      <c r="AJ538" s="35" t="n"/>
      <c r="AK538" s="35" t="n"/>
      <c r="AL538" s="34" t="n"/>
    </row>
    <row r="539" ht="19" customHeight="1">
      <c r="A539" s="6" t="n">
        <v>513</v>
      </c>
      <c r="B539" s="7" t="inlineStr">
        <is>
          <t>Cọc khoan nhồi C7 Trụ T1 (D1.2m, L=40.0m)</t>
        </is>
      </c>
      <c r="C539" s="7" t="inlineStr">
        <is>
          <t>Cọc trụ T1 L=40m (tr.68)</t>
        </is>
      </c>
      <c r="D539" s="18" t="inlineStr">
        <is>
          <t>P1</t>
        </is>
      </c>
      <c r="E539" s="19" t="n">
        <v>10</v>
      </c>
      <c r="F539" s="6" t="inlineStr">
        <is>
          <t>CB240-T</t>
        </is>
      </c>
      <c r="G539" s="7" t="inlineStr"/>
      <c r="H539" s="20" t="n">
        <v>96.604</v>
      </c>
      <c r="I539" s="21" t="n">
        <v>1</v>
      </c>
      <c r="J539" s="22" t="n">
        <v>0.617</v>
      </c>
      <c r="K539" s="9">
        <f>ROUND(H539*I539*J539, 2)</f>
        <v/>
      </c>
      <c r="L539" s="23">
        <f>ROUND(K539/1000, 3)</f>
        <v/>
      </c>
      <c r="M539" s="8">
        <f>IF(AO539="","",IF(INDEX(Theo_Doi_Tan_Suat_Be_Tong!$C:$C,AO539)="","",INDEX(Theo_Doi_Tan_Suat_Be_Tong!$C:$C,AO539)-VLOOKUP(AN539,$AQ$2:$AR$7,2,FALSE)))</f>
        <v/>
      </c>
      <c r="N539" s="6" t="n"/>
      <c r="O539" s="24">
        <f>IF(ROUNDUP(P539/20,0)&gt;ROUNDUP(P537/20,0),"TN Ø10 (Lần " &amp; ROUNDUP(P539/20,0) &amp; ")","")</f>
        <v/>
      </c>
      <c r="P539" s="20">
        <f>ROUND(P537+IF(AND(E539&lt;=10,F539&lt;&gt;"ASTM A416"),L539,0),3)</f>
        <v/>
      </c>
      <c r="Q539" s="20">
        <f>ROUND(Q537+IF(AND(E539=12,F539&lt;&gt;"ASTM A416"),L539,0),3)</f>
        <v/>
      </c>
      <c r="R539" s="20">
        <f>ROUND(R537+IF(AND(E539=14,F539&lt;&gt;"ASTM A416"),L539,0),3)</f>
        <v/>
      </c>
      <c r="S539" s="20">
        <f>ROUND(S537+IF(AND(E539=16,F539&lt;&gt;"ASTM A416"),L539,0),3)</f>
        <v/>
      </c>
      <c r="T539" s="20">
        <f>ROUND(T537+IF(AND(E539=18,F539&lt;&gt;"ASTM A416"),L539,0),3)</f>
        <v/>
      </c>
      <c r="U539" s="20">
        <f>ROUND(U537+IF(AND(E539=20,F539&lt;&gt;"ASTM A416"),L539,0),3)</f>
        <v/>
      </c>
      <c r="V539" s="20">
        <f>ROUND(V537+IF(AND(E539=22,F539&lt;&gt;"ASTM A416"),L539,0),3)</f>
        <v/>
      </c>
      <c r="W539" s="20">
        <f>ROUND(W537+IF(AND(E539=25,F539&lt;&gt;"ASTM A416"),L539,0),3)</f>
        <v/>
      </c>
      <c r="X539" s="20">
        <f>ROUND(X537+IF(AND(E539=28,F539&lt;&gt;"ASTM A416"),L539,0),3)</f>
        <v/>
      </c>
      <c r="Y539" s="20">
        <f>ROUND(Y537+IF(AND(E539=32,F539&lt;&gt;"ASTM A416"),L539,0),3)</f>
        <v/>
      </c>
      <c r="Z539" s="20">
        <f>ROUND(Z537+IF(F539="ASTM A416",L539,0),3)</f>
        <v/>
      </c>
      <c r="AA539" s="11">
        <f>IF(ROUNDUP(P539/20,0)&gt;ROUNDUP(P537/20,0),"Lần " &amp; ROUNDUP(P539/20,0),"")</f>
        <v/>
      </c>
      <c r="AB539" s="11">
        <f>IF(ROUNDUP(Q539/20,0)&gt;ROUNDUP(Q537/20,0),"Lần " &amp; ROUNDUP(Q539/20,0),"")</f>
        <v/>
      </c>
      <c r="AC539" s="11">
        <f>IF(ROUNDUP(R539/20,0)&gt;ROUNDUP(R537/20,0),"Lần " &amp; ROUNDUP(R539/20,0),"")</f>
        <v/>
      </c>
      <c r="AD539" s="11">
        <f>IF(ROUNDUP(S539/20,0)&gt;ROUNDUP(S537/20,0),"Lần " &amp; ROUNDUP(S539/20,0),"")</f>
        <v/>
      </c>
      <c r="AE539" s="11">
        <f>IF(ROUNDUP(T539/20,0)&gt;ROUNDUP(T537/20,0),"Lần " &amp; ROUNDUP(T539/20,0),"")</f>
        <v/>
      </c>
      <c r="AF539" s="11">
        <f>IF(ROUNDUP(U539/20,0)&gt;ROUNDUP(U537/20,0),"Lần " &amp; ROUNDUP(U539/20,0),"")</f>
        <v/>
      </c>
      <c r="AG539" s="11">
        <f>IF(ROUNDUP(V539/20,0)&gt;ROUNDUP(V537/20,0),"Lần " &amp; ROUNDUP(V539/20,0),"")</f>
        <v/>
      </c>
      <c r="AH539" s="11">
        <f>IF(ROUNDUP(W539/20,0)&gt;ROUNDUP(W537/20,0),"Lần " &amp; ROUNDUP(W539/20,0),"")</f>
        <v/>
      </c>
      <c r="AI539" s="11">
        <f>IF(ROUNDUP(X539/20,0)&gt;ROUNDUP(X537/20,0),"Lần " &amp; ROUNDUP(X539/20,0),"")</f>
        <v/>
      </c>
      <c r="AJ539" s="11">
        <f>IF(ROUNDUP(Y539/20,0)&gt;ROUNDUP(Y537/20,0),"Lần " &amp; ROUNDUP(Y539/20,0),"")</f>
        <v/>
      </c>
      <c r="AK539" s="11">
        <f>IF(ROUNDUP(Z539/20,0)&gt;ROUNDUP(Z537/20,0),"Lần " &amp; ROUNDUP(Z539/20,0),"")</f>
        <v/>
      </c>
      <c r="AL539" s="6" t="n"/>
      <c r="AN539" t="inlineStr">
        <is>
          <t>Coc</t>
        </is>
      </c>
      <c r="AO539" t="n">
        <v>13</v>
      </c>
    </row>
    <row r="540" ht="19" customHeight="1">
      <c r="A540" s="6" t="n">
        <v>514</v>
      </c>
      <c r="B540" s="7" t="inlineStr">
        <is>
          <t>Cọc khoan nhồi C7 Trụ T1 (D1.2m, L=40.0m)</t>
        </is>
      </c>
      <c r="C540" s="7" t="inlineStr">
        <is>
          <t>Cọc trụ T1 L=40m (tr.68)</t>
        </is>
      </c>
      <c r="D540" s="18" t="inlineStr">
        <is>
          <t>P1A</t>
        </is>
      </c>
      <c r="E540" s="19" t="n">
        <v>10</v>
      </c>
      <c r="F540" s="6" t="inlineStr">
        <is>
          <t>CB240-T</t>
        </is>
      </c>
      <c r="G540" s="7" t="inlineStr"/>
      <c r="H540" s="20" t="n">
        <v>389.636</v>
      </c>
      <c r="I540" s="21" t="n">
        <v>1</v>
      </c>
      <c r="J540" s="22" t="n">
        <v>0.617</v>
      </c>
      <c r="K540" s="9">
        <f>ROUND(H540*I540*J540, 2)</f>
        <v/>
      </c>
      <c r="L540" s="23">
        <f>ROUND(K540/1000, 3)</f>
        <v/>
      </c>
      <c r="M540" s="8">
        <f>IF(AO540="","",IF(INDEX(Theo_Doi_Tan_Suat_Be_Tong!$C:$C,AO540)="","",INDEX(Theo_Doi_Tan_Suat_Be_Tong!$C:$C,AO540)-VLOOKUP(AN540,$AQ$2:$AR$7,2,FALSE)))</f>
        <v/>
      </c>
      <c r="N540" s="6" t="n"/>
      <c r="O540" s="24">
        <f>IF(ROUNDUP(P540/20,0)&gt;ROUNDUP(P539/20,0),"TN Ø10 (Lần " &amp; ROUNDUP(P540/20,0) &amp; ")","")</f>
        <v/>
      </c>
      <c r="P540" s="20">
        <f>ROUND(P539+IF(AND(E540&lt;=10,F540&lt;&gt;"ASTM A416"),L540,0),3)</f>
        <v/>
      </c>
      <c r="Q540" s="20">
        <f>ROUND(Q539+IF(AND(E540=12,F540&lt;&gt;"ASTM A416"),L540,0),3)</f>
        <v/>
      </c>
      <c r="R540" s="20">
        <f>ROUND(R539+IF(AND(E540=14,F540&lt;&gt;"ASTM A416"),L540,0),3)</f>
        <v/>
      </c>
      <c r="S540" s="20">
        <f>ROUND(S539+IF(AND(E540=16,F540&lt;&gt;"ASTM A416"),L540,0),3)</f>
        <v/>
      </c>
      <c r="T540" s="20">
        <f>ROUND(T539+IF(AND(E540=18,F540&lt;&gt;"ASTM A416"),L540,0),3)</f>
        <v/>
      </c>
      <c r="U540" s="20">
        <f>ROUND(U539+IF(AND(E540=20,F540&lt;&gt;"ASTM A416"),L540,0),3)</f>
        <v/>
      </c>
      <c r="V540" s="20">
        <f>ROUND(V539+IF(AND(E540=22,F540&lt;&gt;"ASTM A416"),L540,0),3)</f>
        <v/>
      </c>
      <c r="W540" s="20">
        <f>ROUND(W539+IF(AND(E540=25,F540&lt;&gt;"ASTM A416"),L540,0),3)</f>
        <v/>
      </c>
      <c r="X540" s="20">
        <f>ROUND(X539+IF(AND(E540=28,F540&lt;&gt;"ASTM A416"),L540,0),3)</f>
        <v/>
      </c>
      <c r="Y540" s="20">
        <f>ROUND(Y539+IF(AND(E540=32,F540&lt;&gt;"ASTM A416"),L540,0),3)</f>
        <v/>
      </c>
      <c r="Z540" s="20">
        <f>ROUND(Z539+IF(F540="ASTM A416",L540,0),3)</f>
        <v/>
      </c>
      <c r="AA540" s="11">
        <f>IF(ROUNDUP(P540/20,0)&gt;ROUNDUP(P539/20,0),"Lần " &amp; ROUNDUP(P540/20,0),"")</f>
        <v/>
      </c>
      <c r="AB540" s="11">
        <f>IF(ROUNDUP(Q540/20,0)&gt;ROUNDUP(Q539/20,0),"Lần " &amp; ROUNDUP(Q540/20,0),"")</f>
        <v/>
      </c>
      <c r="AC540" s="11">
        <f>IF(ROUNDUP(R540/20,0)&gt;ROUNDUP(R539/20,0),"Lần " &amp; ROUNDUP(R540/20,0),"")</f>
        <v/>
      </c>
      <c r="AD540" s="11">
        <f>IF(ROUNDUP(S540/20,0)&gt;ROUNDUP(S539/20,0),"Lần " &amp; ROUNDUP(S540/20,0),"")</f>
        <v/>
      </c>
      <c r="AE540" s="11">
        <f>IF(ROUNDUP(T540/20,0)&gt;ROUNDUP(T539/20,0),"Lần " &amp; ROUNDUP(T540/20,0),"")</f>
        <v/>
      </c>
      <c r="AF540" s="11">
        <f>IF(ROUNDUP(U540/20,0)&gt;ROUNDUP(U539/20,0),"Lần " &amp; ROUNDUP(U540/20,0),"")</f>
        <v/>
      </c>
      <c r="AG540" s="11">
        <f>IF(ROUNDUP(V540/20,0)&gt;ROUNDUP(V539/20,0),"Lần " &amp; ROUNDUP(V540/20,0),"")</f>
        <v/>
      </c>
      <c r="AH540" s="11">
        <f>IF(ROUNDUP(W540/20,0)&gt;ROUNDUP(W539/20,0),"Lần " &amp; ROUNDUP(W540/20,0),"")</f>
        <v/>
      </c>
      <c r="AI540" s="11">
        <f>IF(ROUNDUP(X540/20,0)&gt;ROUNDUP(X539/20,0),"Lần " &amp; ROUNDUP(X540/20,0),"")</f>
        <v/>
      </c>
      <c r="AJ540" s="11">
        <f>IF(ROUNDUP(Y540/20,0)&gt;ROUNDUP(Y539/20,0),"Lần " &amp; ROUNDUP(Y540/20,0),"")</f>
        <v/>
      </c>
      <c r="AK540" s="11">
        <f>IF(ROUNDUP(Z540/20,0)&gt;ROUNDUP(Z539/20,0),"Lần " &amp; ROUNDUP(Z540/20,0),"")</f>
        <v/>
      </c>
      <c r="AL540" s="6" t="n"/>
      <c r="AN540" t="inlineStr">
        <is>
          <t>Coc</t>
        </is>
      </c>
      <c r="AO540" t="n">
        <v>13</v>
      </c>
    </row>
    <row r="541" ht="19" customHeight="1">
      <c r="A541" s="6" t="n">
        <v>515</v>
      </c>
      <c r="B541" s="7" t="inlineStr">
        <is>
          <t>Cọc khoan nhồi C7 Trụ T1 (D1.2m, L=40.0m)</t>
        </is>
      </c>
      <c r="C541" s="7" t="inlineStr">
        <is>
          <t>Cọc trụ T1 L=40m (tr.68)</t>
        </is>
      </c>
      <c r="D541" s="18" t="inlineStr">
        <is>
          <t>P1B</t>
        </is>
      </c>
      <c r="E541" s="19" t="n">
        <v>10</v>
      </c>
      <c r="F541" s="6" t="inlineStr">
        <is>
          <t>CB240-T</t>
        </is>
      </c>
      <c r="G541" s="7" t="inlineStr"/>
      <c r="H541" s="20" t="n">
        <v>206.981</v>
      </c>
      <c r="I541" s="21" t="n">
        <v>1</v>
      </c>
      <c r="J541" s="22" t="n">
        <v>0.617</v>
      </c>
      <c r="K541" s="9">
        <f>ROUND(H541*I541*J541, 2)</f>
        <v/>
      </c>
      <c r="L541" s="23">
        <f>ROUND(K541/1000, 3)</f>
        <v/>
      </c>
      <c r="M541" s="8">
        <f>IF(AO541="","",IF(INDEX(Theo_Doi_Tan_Suat_Be_Tong!$C:$C,AO541)="","",INDEX(Theo_Doi_Tan_Suat_Be_Tong!$C:$C,AO541)-VLOOKUP(AN541,$AQ$2:$AR$7,2,FALSE)))</f>
        <v/>
      </c>
      <c r="N541" s="6" t="n"/>
      <c r="O541" s="24">
        <f>IF(ROUNDUP(P541/20,0)&gt;ROUNDUP(P540/20,0),"TN Ø10 (Lần " &amp; ROUNDUP(P541/20,0) &amp; ")","")</f>
        <v/>
      </c>
      <c r="P541" s="20">
        <f>ROUND(P540+IF(AND(E541&lt;=10,F541&lt;&gt;"ASTM A416"),L541,0),3)</f>
        <v/>
      </c>
      <c r="Q541" s="20">
        <f>ROUND(Q540+IF(AND(E541=12,F541&lt;&gt;"ASTM A416"),L541,0),3)</f>
        <v/>
      </c>
      <c r="R541" s="20">
        <f>ROUND(R540+IF(AND(E541=14,F541&lt;&gt;"ASTM A416"),L541,0),3)</f>
        <v/>
      </c>
      <c r="S541" s="20">
        <f>ROUND(S540+IF(AND(E541=16,F541&lt;&gt;"ASTM A416"),L541,0),3)</f>
        <v/>
      </c>
      <c r="T541" s="20">
        <f>ROUND(T540+IF(AND(E541=18,F541&lt;&gt;"ASTM A416"),L541,0),3)</f>
        <v/>
      </c>
      <c r="U541" s="20">
        <f>ROUND(U540+IF(AND(E541=20,F541&lt;&gt;"ASTM A416"),L541,0),3)</f>
        <v/>
      </c>
      <c r="V541" s="20">
        <f>ROUND(V540+IF(AND(E541=22,F541&lt;&gt;"ASTM A416"),L541,0),3)</f>
        <v/>
      </c>
      <c r="W541" s="20">
        <f>ROUND(W540+IF(AND(E541=25,F541&lt;&gt;"ASTM A416"),L541,0),3)</f>
        <v/>
      </c>
      <c r="X541" s="20">
        <f>ROUND(X540+IF(AND(E541=28,F541&lt;&gt;"ASTM A416"),L541,0),3)</f>
        <v/>
      </c>
      <c r="Y541" s="20">
        <f>ROUND(Y540+IF(AND(E541=32,F541&lt;&gt;"ASTM A416"),L541,0),3)</f>
        <v/>
      </c>
      <c r="Z541" s="20">
        <f>ROUND(Z540+IF(F541="ASTM A416",L541,0),3)</f>
        <v/>
      </c>
      <c r="AA541" s="11">
        <f>IF(ROUNDUP(P541/20,0)&gt;ROUNDUP(P540/20,0),"Lần " &amp; ROUNDUP(P541/20,0),"")</f>
        <v/>
      </c>
      <c r="AB541" s="11">
        <f>IF(ROUNDUP(Q541/20,0)&gt;ROUNDUP(Q540/20,0),"Lần " &amp; ROUNDUP(Q541/20,0),"")</f>
        <v/>
      </c>
      <c r="AC541" s="11">
        <f>IF(ROUNDUP(R541/20,0)&gt;ROUNDUP(R540/20,0),"Lần " &amp; ROUNDUP(R541/20,0),"")</f>
        <v/>
      </c>
      <c r="AD541" s="11">
        <f>IF(ROUNDUP(S541/20,0)&gt;ROUNDUP(S540/20,0),"Lần " &amp; ROUNDUP(S541/20,0),"")</f>
        <v/>
      </c>
      <c r="AE541" s="11">
        <f>IF(ROUNDUP(T541/20,0)&gt;ROUNDUP(T540/20,0),"Lần " &amp; ROUNDUP(T541/20,0),"")</f>
        <v/>
      </c>
      <c r="AF541" s="11">
        <f>IF(ROUNDUP(U541/20,0)&gt;ROUNDUP(U540/20,0),"Lần " &amp; ROUNDUP(U541/20,0),"")</f>
        <v/>
      </c>
      <c r="AG541" s="11">
        <f>IF(ROUNDUP(V541/20,0)&gt;ROUNDUP(V540/20,0),"Lần " &amp; ROUNDUP(V541/20,0),"")</f>
        <v/>
      </c>
      <c r="AH541" s="11">
        <f>IF(ROUNDUP(W541/20,0)&gt;ROUNDUP(W540/20,0),"Lần " &amp; ROUNDUP(W541/20,0),"")</f>
        <v/>
      </c>
      <c r="AI541" s="11">
        <f>IF(ROUNDUP(X541/20,0)&gt;ROUNDUP(X540/20,0),"Lần " &amp; ROUNDUP(X541/20,0),"")</f>
        <v/>
      </c>
      <c r="AJ541" s="11">
        <f>IF(ROUNDUP(Y541/20,0)&gt;ROUNDUP(Y540/20,0),"Lần " &amp; ROUNDUP(Y541/20,0),"")</f>
        <v/>
      </c>
      <c r="AK541" s="11">
        <f>IF(ROUNDUP(Z541/20,0)&gt;ROUNDUP(Z540/20,0),"Lần " &amp; ROUNDUP(Z541/20,0),"")</f>
        <v/>
      </c>
      <c r="AL541" s="6" t="n"/>
      <c r="AN541" t="inlineStr">
        <is>
          <t>Coc</t>
        </is>
      </c>
      <c r="AO541" t="n">
        <v>13</v>
      </c>
    </row>
    <row r="542" ht="19" customHeight="1">
      <c r="A542" s="6" t="n">
        <v>516</v>
      </c>
      <c r="B542" s="7" t="inlineStr">
        <is>
          <t>Cọc khoan nhồi C7 Trụ T1 (D1.2m, L=40.0m)</t>
        </is>
      </c>
      <c r="C542" s="7" t="inlineStr">
        <is>
          <t>Cọc trụ T1 L=40m (tr.68)</t>
        </is>
      </c>
      <c r="D542" s="18" t="inlineStr">
        <is>
          <t>P1C</t>
        </is>
      </c>
      <c r="E542" s="19" t="n">
        <v>10</v>
      </c>
      <c r="F542" s="6" t="inlineStr">
        <is>
          <t>CB240-T</t>
        </is>
      </c>
      <c r="G542" s="7" t="inlineStr"/>
      <c r="H542" s="20" t="n">
        <v>3.592</v>
      </c>
      <c r="I542" s="21" t="n">
        <v>2</v>
      </c>
      <c r="J542" s="22" t="n">
        <v>0.617</v>
      </c>
      <c r="K542" s="9">
        <f>ROUND(H542*I542*J542, 2)</f>
        <v/>
      </c>
      <c r="L542" s="23">
        <f>ROUND(K542/1000, 3)</f>
        <v/>
      </c>
      <c r="M542" s="8">
        <f>IF(AO542="","",IF(INDEX(Theo_Doi_Tan_Suat_Be_Tong!$C:$C,AO542)="","",INDEX(Theo_Doi_Tan_Suat_Be_Tong!$C:$C,AO542)-VLOOKUP(AN542,$AQ$2:$AR$7,2,FALSE)))</f>
        <v/>
      </c>
      <c r="N542" s="6" t="n"/>
      <c r="O542" s="24">
        <f>IF(ROUNDUP(P542/20,0)&gt;ROUNDUP(P541/20,0),"TN Ø10 (Lần " &amp; ROUNDUP(P542/20,0) &amp; ")","")</f>
        <v/>
      </c>
      <c r="P542" s="20">
        <f>ROUND(P541+IF(AND(E542&lt;=10,F542&lt;&gt;"ASTM A416"),L542,0),3)</f>
        <v/>
      </c>
      <c r="Q542" s="20">
        <f>ROUND(Q541+IF(AND(E542=12,F542&lt;&gt;"ASTM A416"),L542,0),3)</f>
        <v/>
      </c>
      <c r="R542" s="20">
        <f>ROUND(R541+IF(AND(E542=14,F542&lt;&gt;"ASTM A416"),L542,0),3)</f>
        <v/>
      </c>
      <c r="S542" s="20">
        <f>ROUND(S541+IF(AND(E542=16,F542&lt;&gt;"ASTM A416"),L542,0),3)</f>
        <v/>
      </c>
      <c r="T542" s="20">
        <f>ROUND(T541+IF(AND(E542=18,F542&lt;&gt;"ASTM A416"),L542,0),3)</f>
        <v/>
      </c>
      <c r="U542" s="20">
        <f>ROUND(U541+IF(AND(E542=20,F542&lt;&gt;"ASTM A416"),L542,0),3)</f>
        <v/>
      </c>
      <c r="V542" s="20">
        <f>ROUND(V541+IF(AND(E542=22,F542&lt;&gt;"ASTM A416"),L542,0),3)</f>
        <v/>
      </c>
      <c r="W542" s="20">
        <f>ROUND(W541+IF(AND(E542=25,F542&lt;&gt;"ASTM A416"),L542,0),3)</f>
        <v/>
      </c>
      <c r="X542" s="20">
        <f>ROUND(X541+IF(AND(E542=28,F542&lt;&gt;"ASTM A416"),L542,0),3)</f>
        <v/>
      </c>
      <c r="Y542" s="20">
        <f>ROUND(Y541+IF(AND(E542=32,F542&lt;&gt;"ASTM A416"),L542,0),3)</f>
        <v/>
      </c>
      <c r="Z542" s="20">
        <f>ROUND(Z541+IF(F542="ASTM A416",L542,0),3)</f>
        <v/>
      </c>
      <c r="AA542" s="11">
        <f>IF(ROUNDUP(P542/20,0)&gt;ROUNDUP(P541/20,0),"Lần " &amp; ROUNDUP(P542/20,0),"")</f>
        <v/>
      </c>
      <c r="AB542" s="11">
        <f>IF(ROUNDUP(Q542/20,0)&gt;ROUNDUP(Q541/20,0),"Lần " &amp; ROUNDUP(Q542/20,0),"")</f>
        <v/>
      </c>
      <c r="AC542" s="11">
        <f>IF(ROUNDUP(R542/20,0)&gt;ROUNDUP(R541/20,0),"Lần " &amp; ROUNDUP(R542/20,0),"")</f>
        <v/>
      </c>
      <c r="AD542" s="11">
        <f>IF(ROUNDUP(S542/20,0)&gt;ROUNDUP(S541/20,0),"Lần " &amp; ROUNDUP(S542/20,0),"")</f>
        <v/>
      </c>
      <c r="AE542" s="11">
        <f>IF(ROUNDUP(T542/20,0)&gt;ROUNDUP(T541/20,0),"Lần " &amp; ROUNDUP(T542/20,0),"")</f>
        <v/>
      </c>
      <c r="AF542" s="11">
        <f>IF(ROUNDUP(U542/20,0)&gt;ROUNDUP(U541/20,0),"Lần " &amp; ROUNDUP(U542/20,0),"")</f>
        <v/>
      </c>
      <c r="AG542" s="11">
        <f>IF(ROUNDUP(V542/20,0)&gt;ROUNDUP(V541/20,0),"Lần " &amp; ROUNDUP(V542/20,0),"")</f>
        <v/>
      </c>
      <c r="AH542" s="11">
        <f>IF(ROUNDUP(W542/20,0)&gt;ROUNDUP(W541/20,0),"Lần " &amp; ROUNDUP(W542/20,0),"")</f>
        <v/>
      </c>
      <c r="AI542" s="11">
        <f>IF(ROUNDUP(X542/20,0)&gt;ROUNDUP(X541/20,0),"Lần " &amp; ROUNDUP(X542/20,0),"")</f>
        <v/>
      </c>
      <c r="AJ542" s="11">
        <f>IF(ROUNDUP(Y542/20,0)&gt;ROUNDUP(Y541/20,0),"Lần " &amp; ROUNDUP(Y542/20,0),"")</f>
        <v/>
      </c>
      <c r="AK542" s="11">
        <f>IF(ROUNDUP(Z542/20,0)&gt;ROUNDUP(Z541/20,0),"Lần " &amp; ROUNDUP(Z542/20,0),"")</f>
        <v/>
      </c>
      <c r="AL542" s="6" t="n"/>
      <c r="AN542" t="inlineStr">
        <is>
          <t>Coc</t>
        </is>
      </c>
      <c r="AO542" t="n">
        <v>13</v>
      </c>
    </row>
    <row r="543" ht="19" customHeight="1">
      <c r="A543" s="6" t="n">
        <v>517</v>
      </c>
      <c r="B543" s="7" t="inlineStr">
        <is>
          <t>Cọc khoan nhồi C7 Trụ T1 (D1.2m, L=40.0m)</t>
        </is>
      </c>
      <c r="C543" s="7" t="inlineStr">
        <is>
          <t>Cọc trụ T1 L=40m (tr.68)</t>
        </is>
      </c>
      <c r="D543" s="18" t="inlineStr">
        <is>
          <t>P1D</t>
        </is>
      </c>
      <c r="E543" s="19" t="n">
        <v>10</v>
      </c>
      <c r="F543" s="6" t="inlineStr">
        <is>
          <t>CB240-T</t>
        </is>
      </c>
      <c r="G543" s="7" t="inlineStr"/>
      <c r="H543" s="20" t="n">
        <v>19.721</v>
      </c>
      <c r="I543" s="21" t="n">
        <v>1</v>
      </c>
      <c r="J543" s="22" t="n">
        <v>0.617</v>
      </c>
      <c r="K543" s="9">
        <f>ROUND(H543*I543*J543, 2)</f>
        <v/>
      </c>
      <c r="L543" s="23">
        <f>ROUND(K543/1000, 3)</f>
        <v/>
      </c>
      <c r="M543" s="8">
        <f>IF(AO543="","",IF(INDEX(Theo_Doi_Tan_Suat_Be_Tong!$C:$C,AO543)="","",INDEX(Theo_Doi_Tan_Suat_Be_Tong!$C:$C,AO543)-VLOOKUP(AN543,$AQ$2:$AR$7,2,FALSE)))</f>
        <v/>
      </c>
      <c r="N543" s="6" t="n"/>
      <c r="O543" s="24">
        <f>IF(ROUNDUP(P543/20,0)&gt;ROUNDUP(P542/20,0),"TN Ø10 (Lần " &amp; ROUNDUP(P543/20,0) &amp; ")","")</f>
        <v/>
      </c>
      <c r="P543" s="20">
        <f>ROUND(P542+IF(AND(E543&lt;=10,F543&lt;&gt;"ASTM A416"),L543,0),3)</f>
        <v/>
      </c>
      <c r="Q543" s="20">
        <f>ROUND(Q542+IF(AND(E543=12,F543&lt;&gt;"ASTM A416"),L543,0),3)</f>
        <v/>
      </c>
      <c r="R543" s="20">
        <f>ROUND(R542+IF(AND(E543=14,F543&lt;&gt;"ASTM A416"),L543,0),3)</f>
        <v/>
      </c>
      <c r="S543" s="20">
        <f>ROUND(S542+IF(AND(E543=16,F543&lt;&gt;"ASTM A416"),L543,0),3)</f>
        <v/>
      </c>
      <c r="T543" s="20">
        <f>ROUND(T542+IF(AND(E543=18,F543&lt;&gt;"ASTM A416"),L543,0),3)</f>
        <v/>
      </c>
      <c r="U543" s="20">
        <f>ROUND(U542+IF(AND(E543=20,F543&lt;&gt;"ASTM A416"),L543,0),3)</f>
        <v/>
      </c>
      <c r="V543" s="20">
        <f>ROUND(V542+IF(AND(E543=22,F543&lt;&gt;"ASTM A416"),L543,0),3)</f>
        <v/>
      </c>
      <c r="W543" s="20">
        <f>ROUND(W542+IF(AND(E543=25,F543&lt;&gt;"ASTM A416"),L543,0),3)</f>
        <v/>
      </c>
      <c r="X543" s="20">
        <f>ROUND(X542+IF(AND(E543=28,F543&lt;&gt;"ASTM A416"),L543,0),3)</f>
        <v/>
      </c>
      <c r="Y543" s="20">
        <f>ROUND(Y542+IF(AND(E543=32,F543&lt;&gt;"ASTM A416"),L543,0),3)</f>
        <v/>
      </c>
      <c r="Z543" s="20">
        <f>ROUND(Z542+IF(F543="ASTM A416",L543,0),3)</f>
        <v/>
      </c>
      <c r="AA543" s="11">
        <f>IF(ROUNDUP(P543/20,0)&gt;ROUNDUP(P542/20,0),"Lần " &amp; ROUNDUP(P543/20,0),"")</f>
        <v/>
      </c>
      <c r="AB543" s="11">
        <f>IF(ROUNDUP(Q543/20,0)&gt;ROUNDUP(Q542/20,0),"Lần " &amp; ROUNDUP(Q543/20,0),"")</f>
        <v/>
      </c>
      <c r="AC543" s="11">
        <f>IF(ROUNDUP(R543/20,0)&gt;ROUNDUP(R542/20,0),"Lần " &amp; ROUNDUP(R543/20,0),"")</f>
        <v/>
      </c>
      <c r="AD543" s="11">
        <f>IF(ROUNDUP(S543/20,0)&gt;ROUNDUP(S542/20,0),"Lần " &amp; ROUNDUP(S543/20,0),"")</f>
        <v/>
      </c>
      <c r="AE543" s="11">
        <f>IF(ROUNDUP(T543/20,0)&gt;ROUNDUP(T542/20,0),"Lần " &amp; ROUNDUP(T543/20,0),"")</f>
        <v/>
      </c>
      <c r="AF543" s="11">
        <f>IF(ROUNDUP(U543/20,0)&gt;ROUNDUP(U542/20,0),"Lần " &amp; ROUNDUP(U543/20,0),"")</f>
        <v/>
      </c>
      <c r="AG543" s="11">
        <f>IF(ROUNDUP(V543/20,0)&gt;ROUNDUP(V542/20,0),"Lần " &amp; ROUNDUP(V543/20,0),"")</f>
        <v/>
      </c>
      <c r="AH543" s="11">
        <f>IF(ROUNDUP(W543/20,0)&gt;ROUNDUP(W542/20,0),"Lần " &amp; ROUNDUP(W543/20,0),"")</f>
        <v/>
      </c>
      <c r="AI543" s="11">
        <f>IF(ROUNDUP(X543/20,0)&gt;ROUNDUP(X542/20,0),"Lần " &amp; ROUNDUP(X543/20,0),"")</f>
        <v/>
      </c>
      <c r="AJ543" s="11">
        <f>IF(ROUNDUP(Y543/20,0)&gt;ROUNDUP(Y542/20,0),"Lần " &amp; ROUNDUP(Y543/20,0),"")</f>
        <v/>
      </c>
      <c r="AK543" s="11">
        <f>IF(ROUNDUP(Z543/20,0)&gt;ROUNDUP(Z542/20,0),"Lần " &amp; ROUNDUP(Z543/20,0),"")</f>
        <v/>
      </c>
      <c r="AL543" s="6" t="n"/>
      <c r="AN543" t="inlineStr">
        <is>
          <t>Coc</t>
        </is>
      </c>
      <c r="AO543" t="n">
        <v>13</v>
      </c>
    </row>
    <row r="544" ht="19" customHeight="1">
      <c r="A544" s="6" t="n">
        <v>518</v>
      </c>
      <c r="B544" s="7" t="inlineStr">
        <is>
          <t>Cọc khoan nhồi C7 Trụ T1 (D1.2m, L=40.0m)</t>
        </is>
      </c>
      <c r="C544" s="7" t="inlineStr">
        <is>
          <t>Cọc trụ T1 L=40m (tr.68)</t>
        </is>
      </c>
      <c r="D544" s="18" t="inlineStr">
        <is>
          <t>P2B</t>
        </is>
      </c>
      <c r="E544" s="19" t="n">
        <v>25</v>
      </c>
      <c r="F544" s="6" t="inlineStr">
        <is>
          <t>CB400-V</t>
        </is>
      </c>
      <c r="G544" s="7" t="inlineStr"/>
      <c r="H544" s="20" t="n">
        <v>2.985</v>
      </c>
      <c r="I544" s="21" t="n">
        <v>16</v>
      </c>
      <c r="J544" s="22" t="n">
        <v>3.853</v>
      </c>
      <c r="K544" s="9">
        <f>ROUND(H544*I544*J544, 2)</f>
        <v/>
      </c>
      <c r="L544" s="23">
        <f>ROUND(K544/1000, 3)</f>
        <v/>
      </c>
      <c r="M544" s="8">
        <f>IF(AO544="","",IF(INDEX(Theo_Doi_Tan_Suat_Be_Tong!$C:$C,AO544)="","",INDEX(Theo_Doi_Tan_Suat_Be_Tong!$C:$C,AO544)-VLOOKUP(AN544,$AQ$2:$AR$7,2,FALSE)))</f>
        <v/>
      </c>
      <c r="N544" s="6" t="n"/>
      <c r="O544" s="24">
        <f>IF(ROUNDUP(W544/20,0)&gt;ROUNDUP(W543/20,0),"TN Ø25 (Lần " &amp; ROUNDUP(W544/20,0) &amp; ")","")</f>
        <v/>
      </c>
      <c r="P544" s="20">
        <f>ROUND(P543+IF(AND(E544&lt;=10,F544&lt;&gt;"ASTM A416"),L544,0),3)</f>
        <v/>
      </c>
      <c r="Q544" s="20">
        <f>ROUND(Q543+IF(AND(E544=12,F544&lt;&gt;"ASTM A416"),L544,0),3)</f>
        <v/>
      </c>
      <c r="R544" s="20">
        <f>ROUND(R543+IF(AND(E544=14,F544&lt;&gt;"ASTM A416"),L544,0),3)</f>
        <v/>
      </c>
      <c r="S544" s="20">
        <f>ROUND(S543+IF(AND(E544=16,F544&lt;&gt;"ASTM A416"),L544,0),3)</f>
        <v/>
      </c>
      <c r="T544" s="20">
        <f>ROUND(T543+IF(AND(E544=18,F544&lt;&gt;"ASTM A416"),L544,0),3)</f>
        <v/>
      </c>
      <c r="U544" s="20">
        <f>ROUND(U543+IF(AND(E544=20,F544&lt;&gt;"ASTM A416"),L544,0),3)</f>
        <v/>
      </c>
      <c r="V544" s="20">
        <f>ROUND(V543+IF(AND(E544=22,F544&lt;&gt;"ASTM A416"),L544,0),3)</f>
        <v/>
      </c>
      <c r="W544" s="20">
        <f>ROUND(W543+IF(AND(E544=25,F544&lt;&gt;"ASTM A416"),L544,0),3)</f>
        <v/>
      </c>
      <c r="X544" s="20">
        <f>ROUND(X543+IF(AND(E544=28,F544&lt;&gt;"ASTM A416"),L544,0),3)</f>
        <v/>
      </c>
      <c r="Y544" s="20">
        <f>ROUND(Y543+IF(AND(E544=32,F544&lt;&gt;"ASTM A416"),L544,0),3)</f>
        <v/>
      </c>
      <c r="Z544" s="20">
        <f>ROUND(Z543+IF(F544="ASTM A416",L544,0),3)</f>
        <v/>
      </c>
      <c r="AA544" s="11">
        <f>IF(ROUNDUP(P544/20,0)&gt;ROUNDUP(P543/20,0),"Lần " &amp; ROUNDUP(P544/20,0),"")</f>
        <v/>
      </c>
      <c r="AB544" s="11">
        <f>IF(ROUNDUP(Q544/20,0)&gt;ROUNDUP(Q543/20,0),"Lần " &amp; ROUNDUP(Q544/20,0),"")</f>
        <v/>
      </c>
      <c r="AC544" s="11">
        <f>IF(ROUNDUP(R544/20,0)&gt;ROUNDUP(R543/20,0),"Lần " &amp; ROUNDUP(R544/20,0),"")</f>
        <v/>
      </c>
      <c r="AD544" s="11">
        <f>IF(ROUNDUP(S544/20,0)&gt;ROUNDUP(S543/20,0),"Lần " &amp; ROUNDUP(S544/20,0),"")</f>
        <v/>
      </c>
      <c r="AE544" s="11">
        <f>IF(ROUNDUP(T544/20,0)&gt;ROUNDUP(T543/20,0),"Lần " &amp; ROUNDUP(T544/20,0),"")</f>
        <v/>
      </c>
      <c r="AF544" s="11">
        <f>IF(ROUNDUP(U544/20,0)&gt;ROUNDUP(U543/20,0),"Lần " &amp; ROUNDUP(U544/20,0),"")</f>
        <v/>
      </c>
      <c r="AG544" s="11">
        <f>IF(ROUNDUP(V544/20,0)&gt;ROUNDUP(V543/20,0),"Lần " &amp; ROUNDUP(V544/20,0),"")</f>
        <v/>
      </c>
      <c r="AH544" s="11">
        <f>IF(ROUNDUP(W544/20,0)&gt;ROUNDUP(W543/20,0),"Lần " &amp; ROUNDUP(W544/20,0),"")</f>
        <v/>
      </c>
      <c r="AI544" s="11">
        <f>IF(ROUNDUP(X544/20,0)&gt;ROUNDUP(X543/20,0),"Lần " &amp; ROUNDUP(X544/20,0),"")</f>
        <v/>
      </c>
      <c r="AJ544" s="11">
        <f>IF(ROUNDUP(Y544/20,0)&gt;ROUNDUP(Y543/20,0),"Lần " &amp; ROUNDUP(Y544/20,0),"")</f>
        <v/>
      </c>
      <c r="AK544" s="11">
        <f>IF(ROUNDUP(Z544/20,0)&gt;ROUNDUP(Z543/20,0),"Lần " &amp; ROUNDUP(Z544/20,0),"")</f>
        <v/>
      </c>
      <c r="AL544" s="6" t="n"/>
      <c r="AN544" t="inlineStr">
        <is>
          <t>Coc</t>
        </is>
      </c>
      <c r="AO544" t="n">
        <v>13</v>
      </c>
    </row>
    <row r="545" ht="19" customHeight="1">
      <c r="A545" s="6" t="n">
        <v>519</v>
      </c>
      <c r="B545" s="7" t="inlineStr">
        <is>
          <t>Cọc khoan nhồi C7 Trụ T1 (D1.2m, L=40.0m)</t>
        </is>
      </c>
      <c r="C545" s="7" t="inlineStr">
        <is>
          <t>Cọc trụ T1 L=40m (tr.68)</t>
        </is>
      </c>
      <c r="D545" s="18" t="inlineStr">
        <is>
          <t>P3</t>
        </is>
      </c>
      <c r="E545" s="19" t="n">
        <v>25</v>
      </c>
      <c r="F545" s="6" t="inlineStr">
        <is>
          <t>CB400-V</t>
        </is>
      </c>
      <c r="G545" s="7" t="inlineStr"/>
      <c r="H545" s="20" t="n">
        <v>10.7</v>
      </c>
      <c r="I545" s="21" t="n">
        <v>12</v>
      </c>
      <c r="J545" s="22" t="n">
        <v>3.853</v>
      </c>
      <c r="K545" s="9">
        <f>ROUND(H545*I545*J545, 2)</f>
        <v/>
      </c>
      <c r="L545" s="23">
        <f>ROUND(K545/1000, 3)</f>
        <v/>
      </c>
      <c r="M545" s="8">
        <f>IF(AO545="","",IF(INDEX(Theo_Doi_Tan_Suat_Be_Tong!$C:$C,AO545)="","",INDEX(Theo_Doi_Tan_Suat_Be_Tong!$C:$C,AO545)-VLOOKUP(AN545,$AQ$2:$AR$7,2,FALSE)))</f>
        <v/>
      </c>
      <c r="N545" s="6" t="n"/>
      <c r="O545" s="24">
        <f>IF(ROUNDUP(W545/20,0)&gt;ROUNDUP(W544/20,0),"TN Ø25 (Lần " &amp; ROUNDUP(W545/20,0) &amp; ")","")</f>
        <v/>
      </c>
      <c r="P545" s="20">
        <f>ROUND(P544+IF(AND(E545&lt;=10,F545&lt;&gt;"ASTM A416"),L545,0),3)</f>
        <v/>
      </c>
      <c r="Q545" s="20">
        <f>ROUND(Q544+IF(AND(E545=12,F545&lt;&gt;"ASTM A416"),L545,0),3)</f>
        <v/>
      </c>
      <c r="R545" s="20">
        <f>ROUND(R544+IF(AND(E545=14,F545&lt;&gt;"ASTM A416"),L545,0),3)</f>
        <v/>
      </c>
      <c r="S545" s="20">
        <f>ROUND(S544+IF(AND(E545=16,F545&lt;&gt;"ASTM A416"),L545,0),3)</f>
        <v/>
      </c>
      <c r="T545" s="20">
        <f>ROUND(T544+IF(AND(E545=18,F545&lt;&gt;"ASTM A416"),L545,0),3)</f>
        <v/>
      </c>
      <c r="U545" s="20">
        <f>ROUND(U544+IF(AND(E545=20,F545&lt;&gt;"ASTM A416"),L545,0),3)</f>
        <v/>
      </c>
      <c r="V545" s="20">
        <f>ROUND(V544+IF(AND(E545=22,F545&lt;&gt;"ASTM A416"),L545,0),3)</f>
        <v/>
      </c>
      <c r="W545" s="20">
        <f>ROUND(W544+IF(AND(E545=25,F545&lt;&gt;"ASTM A416"),L545,0),3)</f>
        <v/>
      </c>
      <c r="X545" s="20">
        <f>ROUND(X544+IF(AND(E545=28,F545&lt;&gt;"ASTM A416"),L545,0),3)</f>
        <v/>
      </c>
      <c r="Y545" s="20">
        <f>ROUND(Y544+IF(AND(E545=32,F545&lt;&gt;"ASTM A416"),L545,0),3)</f>
        <v/>
      </c>
      <c r="Z545" s="20">
        <f>ROUND(Z544+IF(F545="ASTM A416",L545,0),3)</f>
        <v/>
      </c>
      <c r="AA545" s="11">
        <f>IF(ROUNDUP(P545/20,0)&gt;ROUNDUP(P544/20,0),"Lần " &amp; ROUNDUP(P545/20,0),"")</f>
        <v/>
      </c>
      <c r="AB545" s="11">
        <f>IF(ROUNDUP(Q545/20,0)&gt;ROUNDUP(Q544/20,0),"Lần " &amp; ROUNDUP(Q545/20,0),"")</f>
        <v/>
      </c>
      <c r="AC545" s="11">
        <f>IF(ROUNDUP(R545/20,0)&gt;ROUNDUP(R544/20,0),"Lần " &amp; ROUNDUP(R545/20,0),"")</f>
        <v/>
      </c>
      <c r="AD545" s="11">
        <f>IF(ROUNDUP(S545/20,0)&gt;ROUNDUP(S544/20,0),"Lần " &amp; ROUNDUP(S545/20,0),"")</f>
        <v/>
      </c>
      <c r="AE545" s="11">
        <f>IF(ROUNDUP(T545/20,0)&gt;ROUNDUP(T544/20,0),"Lần " &amp; ROUNDUP(T545/20,0),"")</f>
        <v/>
      </c>
      <c r="AF545" s="11">
        <f>IF(ROUNDUP(U545/20,0)&gt;ROUNDUP(U544/20,0),"Lần " &amp; ROUNDUP(U545/20,0),"")</f>
        <v/>
      </c>
      <c r="AG545" s="11">
        <f>IF(ROUNDUP(V545/20,0)&gt;ROUNDUP(V544/20,0),"Lần " &amp; ROUNDUP(V545/20,0),"")</f>
        <v/>
      </c>
      <c r="AH545" s="11">
        <f>IF(ROUNDUP(W545/20,0)&gt;ROUNDUP(W544/20,0),"Lần " &amp; ROUNDUP(W545/20,0),"")</f>
        <v/>
      </c>
      <c r="AI545" s="11">
        <f>IF(ROUNDUP(X545/20,0)&gt;ROUNDUP(X544/20,0),"Lần " &amp; ROUNDUP(X545/20,0),"")</f>
        <v/>
      </c>
      <c r="AJ545" s="11">
        <f>IF(ROUNDUP(Y545/20,0)&gt;ROUNDUP(Y544/20,0),"Lần " &amp; ROUNDUP(Y545/20,0),"")</f>
        <v/>
      </c>
      <c r="AK545" s="11">
        <f>IF(ROUNDUP(Z545/20,0)&gt;ROUNDUP(Z544/20,0),"Lần " &amp; ROUNDUP(Z545/20,0),"")</f>
        <v/>
      </c>
      <c r="AL545" s="6" t="n"/>
      <c r="AN545" t="inlineStr">
        <is>
          <t>Coc</t>
        </is>
      </c>
      <c r="AO545" t="n">
        <v>13</v>
      </c>
    </row>
    <row r="546" ht="19" customHeight="1">
      <c r="A546" s="6" t="n">
        <v>520</v>
      </c>
      <c r="B546" s="7" t="inlineStr">
        <is>
          <t>Cọc khoan nhồi C7 Trụ T1 (D1.2m, L=40.0m)</t>
        </is>
      </c>
      <c r="C546" s="7" t="inlineStr">
        <is>
          <t>Cọc trụ T1 L=40m (tr.68)</t>
        </is>
      </c>
      <c r="D546" s="18" t="inlineStr">
        <is>
          <t>P4</t>
        </is>
      </c>
      <c r="E546" s="19" t="n">
        <v>25</v>
      </c>
      <c r="F546" s="6" t="inlineStr">
        <is>
          <t>CB400-V</t>
        </is>
      </c>
      <c r="G546" s="7" t="inlineStr"/>
      <c r="H546" s="20" t="n">
        <v>11.7</v>
      </c>
      <c r="I546" s="21" t="n">
        <v>60</v>
      </c>
      <c r="J546" s="22" t="n">
        <v>3.853</v>
      </c>
      <c r="K546" s="9">
        <f>ROUND(H546*I546*J546, 2)</f>
        <v/>
      </c>
      <c r="L546" s="23">
        <f>ROUND(K546/1000, 3)</f>
        <v/>
      </c>
      <c r="M546" s="8">
        <f>IF(AO546="","",IF(INDEX(Theo_Doi_Tan_Suat_Be_Tong!$C:$C,AO546)="","",INDEX(Theo_Doi_Tan_Suat_Be_Tong!$C:$C,AO546)-VLOOKUP(AN546,$AQ$2:$AR$7,2,FALSE)))</f>
        <v/>
      </c>
      <c r="N546" s="6" t="n"/>
      <c r="O546" s="24">
        <f>IF(ROUNDUP(W546/20,0)&gt;ROUNDUP(W545/20,0),"TN Ø25 (Lần " &amp; ROUNDUP(W546/20,0) &amp; ")","")</f>
        <v/>
      </c>
      <c r="P546" s="20">
        <f>ROUND(P545+IF(AND(E546&lt;=10,F546&lt;&gt;"ASTM A416"),L546,0),3)</f>
        <v/>
      </c>
      <c r="Q546" s="20">
        <f>ROUND(Q545+IF(AND(E546=12,F546&lt;&gt;"ASTM A416"),L546,0),3)</f>
        <v/>
      </c>
      <c r="R546" s="20">
        <f>ROUND(R545+IF(AND(E546=14,F546&lt;&gt;"ASTM A416"),L546,0),3)</f>
        <v/>
      </c>
      <c r="S546" s="20">
        <f>ROUND(S545+IF(AND(E546=16,F546&lt;&gt;"ASTM A416"),L546,0),3)</f>
        <v/>
      </c>
      <c r="T546" s="20">
        <f>ROUND(T545+IF(AND(E546=18,F546&lt;&gt;"ASTM A416"),L546,0),3)</f>
        <v/>
      </c>
      <c r="U546" s="20">
        <f>ROUND(U545+IF(AND(E546=20,F546&lt;&gt;"ASTM A416"),L546,0),3)</f>
        <v/>
      </c>
      <c r="V546" s="20">
        <f>ROUND(V545+IF(AND(E546=22,F546&lt;&gt;"ASTM A416"),L546,0),3)</f>
        <v/>
      </c>
      <c r="W546" s="20">
        <f>ROUND(W545+IF(AND(E546=25,F546&lt;&gt;"ASTM A416"),L546,0),3)</f>
        <v/>
      </c>
      <c r="X546" s="20">
        <f>ROUND(X545+IF(AND(E546=28,F546&lt;&gt;"ASTM A416"),L546,0),3)</f>
        <v/>
      </c>
      <c r="Y546" s="20">
        <f>ROUND(Y545+IF(AND(E546=32,F546&lt;&gt;"ASTM A416"),L546,0),3)</f>
        <v/>
      </c>
      <c r="Z546" s="20">
        <f>ROUND(Z545+IF(F546="ASTM A416",L546,0),3)</f>
        <v/>
      </c>
      <c r="AA546" s="11">
        <f>IF(ROUNDUP(P546/20,0)&gt;ROUNDUP(P545/20,0),"Lần " &amp; ROUNDUP(P546/20,0),"")</f>
        <v/>
      </c>
      <c r="AB546" s="11">
        <f>IF(ROUNDUP(Q546/20,0)&gt;ROUNDUP(Q545/20,0),"Lần " &amp; ROUNDUP(Q546/20,0),"")</f>
        <v/>
      </c>
      <c r="AC546" s="11">
        <f>IF(ROUNDUP(R546/20,0)&gt;ROUNDUP(R545/20,0),"Lần " &amp; ROUNDUP(R546/20,0),"")</f>
        <v/>
      </c>
      <c r="AD546" s="11">
        <f>IF(ROUNDUP(S546/20,0)&gt;ROUNDUP(S545/20,0),"Lần " &amp; ROUNDUP(S546/20,0),"")</f>
        <v/>
      </c>
      <c r="AE546" s="11">
        <f>IF(ROUNDUP(T546/20,0)&gt;ROUNDUP(T545/20,0),"Lần " &amp; ROUNDUP(T546/20,0),"")</f>
        <v/>
      </c>
      <c r="AF546" s="11">
        <f>IF(ROUNDUP(U546/20,0)&gt;ROUNDUP(U545/20,0),"Lần " &amp; ROUNDUP(U546/20,0),"")</f>
        <v/>
      </c>
      <c r="AG546" s="11">
        <f>IF(ROUNDUP(V546/20,0)&gt;ROUNDUP(V545/20,0),"Lần " &amp; ROUNDUP(V546/20,0),"")</f>
        <v/>
      </c>
      <c r="AH546" s="11">
        <f>IF(ROUNDUP(W546/20,0)&gt;ROUNDUP(W545/20,0),"Lần " &amp; ROUNDUP(W546/20,0),"")</f>
        <v/>
      </c>
      <c r="AI546" s="11">
        <f>IF(ROUNDUP(X546/20,0)&gt;ROUNDUP(X545/20,0),"Lần " &amp; ROUNDUP(X546/20,0),"")</f>
        <v/>
      </c>
      <c r="AJ546" s="11">
        <f>IF(ROUNDUP(Y546/20,0)&gt;ROUNDUP(Y545/20,0),"Lần " &amp; ROUNDUP(Y546/20,0),"")</f>
        <v/>
      </c>
      <c r="AK546" s="11">
        <f>IF(ROUNDUP(Z546/20,0)&gt;ROUNDUP(Z545/20,0),"Lần " &amp; ROUNDUP(Z546/20,0),"")</f>
        <v/>
      </c>
      <c r="AL546" s="6" t="n"/>
      <c r="AN546" t="inlineStr">
        <is>
          <t>Coc</t>
        </is>
      </c>
      <c r="AO546" t="n">
        <v>13</v>
      </c>
    </row>
    <row r="547" ht="19" customHeight="1">
      <c r="A547" s="6" t="n">
        <v>521</v>
      </c>
      <c r="B547" s="7" t="inlineStr">
        <is>
          <t>Cọc khoan nhồi C7 Trụ T1 (D1.2m, L=40.0m)</t>
        </is>
      </c>
      <c r="C547" s="7" t="inlineStr">
        <is>
          <t>Cọc trụ T1 L=40m (tr.68)</t>
        </is>
      </c>
      <c r="D547" s="18" t="inlineStr">
        <is>
          <t>P6</t>
        </is>
      </c>
      <c r="E547" s="19" t="n">
        <v>25</v>
      </c>
      <c r="F547" s="6" t="inlineStr">
        <is>
          <t>CB400-V</t>
        </is>
      </c>
      <c r="G547" s="7" t="inlineStr"/>
      <c r="H547" s="20" t="n">
        <v>9.032999999999999</v>
      </c>
      <c r="I547" s="21" t="n">
        <v>12</v>
      </c>
      <c r="J547" s="22" t="n">
        <v>3.853</v>
      </c>
      <c r="K547" s="9">
        <f>ROUND(H547*I547*J547, 2)</f>
        <v/>
      </c>
      <c r="L547" s="23">
        <f>ROUND(K547/1000, 3)</f>
        <v/>
      </c>
      <c r="M547" s="8">
        <f>IF(AO547="","",IF(INDEX(Theo_Doi_Tan_Suat_Be_Tong!$C:$C,AO547)="","",INDEX(Theo_Doi_Tan_Suat_Be_Tong!$C:$C,AO547)-VLOOKUP(AN547,$AQ$2:$AR$7,2,FALSE)))</f>
        <v/>
      </c>
      <c r="N547" s="6" t="n"/>
      <c r="O547" s="24">
        <f>IF(ROUNDUP(W547/20,0)&gt;ROUNDUP(W546/20,0),"TN Ø25 (Lần " &amp; ROUNDUP(W547/20,0) &amp; ")","")</f>
        <v/>
      </c>
      <c r="P547" s="20">
        <f>ROUND(P546+IF(AND(E547&lt;=10,F547&lt;&gt;"ASTM A416"),L547,0),3)</f>
        <v/>
      </c>
      <c r="Q547" s="20">
        <f>ROUND(Q546+IF(AND(E547=12,F547&lt;&gt;"ASTM A416"),L547,0),3)</f>
        <v/>
      </c>
      <c r="R547" s="20">
        <f>ROUND(R546+IF(AND(E547=14,F547&lt;&gt;"ASTM A416"),L547,0),3)</f>
        <v/>
      </c>
      <c r="S547" s="20">
        <f>ROUND(S546+IF(AND(E547=16,F547&lt;&gt;"ASTM A416"),L547,0),3)</f>
        <v/>
      </c>
      <c r="T547" s="20">
        <f>ROUND(T546+IF(AND(E547=18,F547&lt;&gt;"ASTM A416"),L547,0),3)</f>
        <v/>
      </c>
      <c r="U547" s="20">
        <f>ROUND(U546+IF(AND(E547=20,F547&lt;&gt;"ASTM A416"),L547,0),3)</f>
        <v/>
      </c>
      <c r="V547" s="20">
        <f>ROUND(V546+IF(AND(E547=22,F547&lt;&gt;"ASTM A416"),L547,0),3)</f>
        <v/>
      </c>
      <c r="W547" s="20">
        <f>ROUND(W546+IF(AND(E547=25,F547&lt;&gt;"ASTM A416"),L547,0),3)</f>
        <v/>
      </c>
      <c r="X547" s="20">
        <f>ROUND(X546+IF(AND(E547=28,F547&lt;&gt;"ASTM A416"),L547,0),3)</f>
        <v/>
      </c>
      <c r="Y547" s="20">
        <f>ROUND(Y546+IF(AND(E547=32,F547&lt;&gt;"ASTM A416"),L547,0),3)</f>
        <v/>
      </c>
      <c r="Z547" s="20">
        <f>ROUND(Z546+IF(F547="ASTM A416",L547,0),3)</f>
        <v/>
      </c>
      <c r="AA547" s="11">
        <f>IF(ROUNDUP(P547/20,0)&gt;ROUNDUP(P546/20,0),"Lần " &amp; ROUNDUP(P547/20,0),"")</f>
        <v/>
      </c>
      <c r="AB547" s="11">
        <f>IF(ROUNDUP(Q547/20,0)&gt;ROUNDUP(Q546/20,0),"Lần " &amp; ROUNDUP(Q547/20,0),"")</f>
        <v/>
      </c>
      <c r="AC547" s="11">
        <f>IF(ROUNDUP(R547/20,0)&gt;ROUNDUP(R546/20,0),"Lần " &amp; ROUNDUP(R547/20,0),"")</f>
        <v/>
      </c>
      <c r="AD547" s="11">
        <f>IF(ROUNDUP(S547/20,0)&gt;ROUNDUP(S546/20,0),"Lần " &amp; ROUNDUP(S547/20,0),"")</f>
        <v/>
      </c>
      <c r="AE547" s="11">
        <f>IF(ROUNDUP(T547/20,0)&gt;ROUNDUP(T546/20,0),"Lần " &amp; ROUNDUP(T547/20,0),"")</f>
        <v/>
      </c>
      <c r="AF547" s="11">
        <f>IF(ROUNDUP(U547/20,0)&gt;ROUNDUP(U546/20,0),"Lần " &amp; ROUNDUP(U547/20,0),"")</f>
        <v/>
      </c>
      <c r="AG547" s="11">
        <f>IF(ROUNDUP(V547/20,0)&gt;ROUNDUP(V546/20,0),"Lần " &amp; ROUNDUP(V547/20,0),"")</f>
        <v/>
      </c>
      <c r="AH547" s="11">
        <f>IF(ROUNDUP(W547/20,0)&gt;ROUNDUP(W546/20,0),"Lần " &amp; ROUNDUP(W547/20,0),"")</f>
        <v/>
      </c>
      <c r="AI547" s="11">
        <f>IF(ROUNDUP(X547/20,0)&gt;ROUNDUP(X546/20,0),"Lần " &amp; ROUNDUP(X547/20,0),"")</f>
        <v/>
      </c>
      <c r="AJ547" s="11">
        <f>IF(ROUNDUP(Y547/20,0)&gt;ROUNDUP(Y546/20,0),"Lần " &amp; ROUNDUP(Y547/20,0),"")</f>
        <v/>
      </c>
      <c r="AK547" s="11">
        <f>IF(ROUNDUP(Z547/20,0)&gt;ROUNDUP(Z546/20,0),"Lần " &amp; ROUNDUP(Z547/20,0),"")</f>
        <v/>
      </c>
      <c r="AL547" s="6" t="n"/>
      <c r="AN547" t="inlineStr">
        <is>
          <t>Coc</t>
        </is>
      </c>
      <c r="AO547" t="n">
        <v>13</v>
      </c>
    </row>
    <row r="548" ht="19" customHeight="1">
      <c r="A548" s="6" t="n">
        <v>522</v>
      </c>
      <c r="B548" s="7" t="inlineStr">
        <is>
          <t>Cọc khoan nhồi C7 Trụ T1 (D1.2m, L=40.0m)</t>
        </is>
      </c>
      <c r="C548" s="7" t="inlineStr">
        <is>
          <t>Cọc trụ T1 L=40m (tr.68)</t>
        </is>
      </c>
      <c r="D548" s="18" t="inlineStr">
        <is>
          <t>P7</t>
        </is>
      </c>
      <c r="E548" s="19" t="n">
        <v>25</v>
      </c>
      <c r="F548" s="6" t="inlineStr">
        <is>
          <t>CB400-V</t>
        </is>
      </c>
      <c r="G548" s="7" t="inlineStr"/>
      <c r="H548" s="20" t="n">
        <v>10.033</v>
      </c>
      <c r="I548" s="21" t="n">
        <v>12</v>
      </c>
      <c r="J548" s="22" t="n">
        <v>3.853</v>
      </c>
      <c r="K548" s="9">
        <f>ROUND(H548*I548*J548, 2)</f>
        <v/>
      </c>
      <c r="L548" s="23">
        <f>ROUND(K548/1000, 3)</f>
        <v/>
      </c>
      <c r="M548" s="8">
        <f>IF(AO548="","",IF(INDEX(Theo_Doi_Tan_Suat_Be_Tong!$C:$C,AO548)="","",INDEX(Theo_Doi_Tan_Suat_Be_Tong!$C:$C,AO548)-VLOOKUP(AN548,$AQ$2:$AR$7,2,FALSE)))</f>
        <v/>
      </c>
      <c r="N548" s="6" t="n"/>
      <c r="O548" s="24">
        <f>IF(ROUNDUP(W548/20,0)&gt;ROUNDUP(W547/20,0),"TN Ø25 (Lần " &amp; ROUNDUP(W548/20,0) &amp; ")","")</f>
        <v/>
      </c>
      <c r="P548" s="20">
        <f>ROUND(P547+IF(AND(E548&lt;=10,F548&lt;&gt;"ASTM A416"),L548,0),3)</f>
        <v/>
      </c>
      <c r="Q548" s="20">
        <f>ROUND(Q547+IF(AND(E548=12,F548&lt;&gt;"ASTM A416"),L548,0),3)</f>
        <v/>
      </c>
      <c r="R548" s="20">
        <f>ROUND(R547+IF(AND(E548=14,F548&lt;&gt;"ASTM A416"),L548,0),3)</f>
        <v/>
      </c>
      <c r="S548" s="20">
        <f>ROUND(S547+IF(AND(E548=16,F548&lt;&gt;"ASTM A416"),L548,0),3)</f>
        <v/>
      </c>
      <c r="T548" s="20">
        <f>ROUND(T547+IF(AND(E548=18,F548&lt;&gt;"ASTM A416"),L548,0),3)</f>
        <v/>
      </c>
      <c r="U548" s="20">
        <f>ROUND(U547+IF(AND(E548=20,F548&lt;&gt;"ASTM A416"),L548,0),3)</f>
        <v/>
      </c>
      <c r="V548" s="20">
        <f>ROUND(V547+IF(AND(E548=22,F548&lt;&gt;"ASTM A416"),L548,0),3)</f>
        <v/>
      </c>
      <c r="W548" s="20">
        <f>ROUND(W547+IF(AND(E548=25,F548&lt;&gt;"ASTM A416"),L548,0),3)</f>
        <v/>
      </c>
      <c r="X548" s="20">
        <f>ROUND(X547+IF(AND(E548=28,F548&lt;&gt;"ASTM A416"),L548,0),3)</f>
        <v/>
      </c>
      <c r="Y548" s="20">
        <f>ROUND(Y547+IF(AND(E548=32,F548&lt;&gt;"ASTM A416"),L548,0),3)</f>
        <v/>
      </c>
      <c r="Z548" s="20">
        <f>ROUND(Z547+IF(F548="ASTM A416",L548,0),3)</f>
        <v/>
      </c>
      <c r="AA548" s="11">
        <f>IF(ROUNDUP(P548/20,0)&gt;ROUNDUP(P547/20,0),"Lần " &amp; ROUNDUP(P548/20,0),"")</f>
        <v/>
      </c>
      <c r="AB548" s="11">
        <f>IF(ROUNDUP(Q548/20,0)&gt;ROUNDUP(Q547/20,0),"Lần " &amp; ROUNDUP(Q548/20,0),"")</f>
        <v/>
      </c>
      <c r="AC548" s="11">
        <f>IF(ROUNDUP(R548/20,0)&gt;ROUNDUP(R547/20,0),"Lần " &amp; ROUNDUP(R548/20,0),"")</f>
        <v/>
      </c>
      <c r="AD548" s="11">
        <f>IF(ROUNDUP(S548/20,0)&gt;ROUNDUP(S547/20,0),"Lần " &amp; ROUNDUP(S548/20,0),"")</f>
        <v/>
      </c>
      <c r="AE548" s="11">
        <f>IF(ROUNDUP(T548/20,0)&gt;ROUNDUP(T547/20,0),"Lần " &amp; ROUNDUP(T548/20,0),"")</f>
        <v/>
      </c>
      <c r="AF548" s="11">
        <f>IF(ROUNDUP(U548/20,0)&gt;ROUNDUP(U547/20,0),"Lần " &amp; ROUNDUP(U548/20,0),"")</f>
        <v/>
      </c>
      <c r="AG548" s="11">
        <f>IF(ROUNDUP(V548/20,0)&gt;ROUNDUP(V547/20,0),"Lần " &amp; ROUNDUP(V548/20,0),"")</f>
        <v/>
      </c>
      <c r="AH548" s="11">
        <f>IF(ROUNDUP(W548/20,0)&gt;ROUNDUP(W547/20,0),"Lần " &amp; ROUNDUP(W548/20,0),"")</f>
        <v/>
      </c>
      <c r="AI548" s="11">
        <f>IF(ROUNDUP(X548/20,0)&gt;ROUNDUP(X547/20,0),"Lần " &amp; ROUNDUP(X548/20,0),"")</f>
        <v/>
      </c>
      <c r="AJ548" s="11">
        <f>IF(ROUNDUP(Y548/20,0)&gt;ROUNDUP(Y547/20,0),"Lần " &amp; ROUNDUP(Y548/20,0),"")</f>
        <v/>
      </c>
      <c r="AK548" s="11">
        <f>IF(ROUNDUP(Z548/20,0)&gt;ROUNDUP(Z547/20,0),"Lần " &amp; ROUNDUP(Z548/20,0),"")</f>
        <v/>
      </c>
      <c r="AL548" s="6" t="n"/>
      <c r="AN548" t="inlineStr">
        <is>
          <t>Coc</t>
        </is>
      </c>
      <c r="AO548" t="n">
        <v>13</v>
      </c>
    </row>
    <row r="549" ht="19" customHeight="1">
      <c r="A549" s="6" t="n">
        <v>523</v>
      </c>
      <c r="B549" s="7" t="inlineStr">
        <is>
          <t>Cọc khoan nhồi C7 Trụ T1 (D1.2m, L=40.0m)</t>
        </is>
      </c>
      <c r="C549" s="7" t="inlineStr">
        <is>
          <t>Cọc trụ T1 L=40m (tr.68)</t>
        </is>
      </c>
      <c r="D549" s="18" t="inlineStr">
        <is>
          <t>P8</t>
        </is>
      </c>
      <c r="E549" s="19" t="n">
        <v>12</v>
      </c>
      <c r="F549" s="6" t="inlineStr">
        <is>
          <t>CB400-V</t>
        </is>
      </c>
      <c r="G549" s="7" t="inlineStr"/>
      <c r="H549" s="20" t="n">
        <v>0.647</v>
      </c>
      <c r="I549" s="21" t="n">
        <v>16</v>
      </c>
      <c r="J549" s="22" t="n">
        <v>0.888</v>
      </c>
      <c r="K549" s="9">
        <f>ROUND(H549*I549*J549, 2)</f>
        <v/>
      </c>
      <c r="L549" s="23">
        <f>ROUND(K549/1000, 3)</f>
        <v/>
      </c>
      <c r="M549" s="8">
        <f>IF(AO549="","",IF(INDEX(Theo_Doi_Tan_Suat_Be_Tong!$C:$C,AO549)="","",INDEX(Theo_Doi_Tan_Suat_Be_Tong!$C:$C,AO549)-VLOOKUP(AN549,$AQ$2:$AR$7,2,FALSE)))</f>
        <v/>
      </c>
      <c r="N549" s="6" t="n"/>
      <c r="O549" s="24">
        <f>IF(ROUNDUP(Q549/20,0)&gt;ROUNDUP(Q548/20,0),"TN Ø12 (Lần " &amp; ROUNDUP(Q549/20,0) &amp; ")","")</f>
        <v/>
      </c>
      <c r="P549" s="20">
        <f>ROUND(P548+IF(AND(E549&lt;=10,F549&lt;&gt;"ASTM A416"),L549,0),3)</f>
        <v/>
      </c>
      <c r="Q549" s="20">
        <f>ROUND(Q548+IF(AND(E549=12,F549&lt;&gt;"ASTM A416"),L549,0),3)</f>
        <v/>
      </c>
      <c r="R549" s="20">
        <f>ROUND(R548+IF(AND(E549=14,F549&lt;&gt;"ASTM A416"),L549,0),3)</f>
        <v/>
      </c>
      <c r="S549" s="20">
        <f>ROUND(S548+IF(AND(E549=16,F549&lt;&gt;"ASTM A416"),L549,0),3)</f>
        <v/>
      </c>
      <c r="T549" s="20">
        <f>ROUND(T548+IF(AND(E549=18,F549&lt;&gt;"ASTM A416"),L549,0),3)</f>
        <v/>
      </c>
      <c r="U549" s="20">
        <f>ROUND(U548+IF(AND(E549=20,F549&lt;&gt;"ASTM A416"),L549,0),3)</f>
        <v/>
      </c>
      <c r="V549" s="20">
        <f>ROUND(V548+IF(AND(E549=22,F549&lt;&gt;"ASTM A416"),L549,0),3)</f>
        <v/>
      </c>
      <c r="W549" s="20">
        <f>ROUND(W548+IF(AND(E549=25,F549&lt;&gt;"ASTM A416"),L549,0),3)</f>
        <v/>
      </c>
      <c r="X549" s="20">
        <f>ROUND(X548+IF(AND(E549=28,F549&lt;&gt;"ASTM A416"),L549,0),3)</f>
        <v/>
      </c>
      <c r="Y549" s="20">
        <f>ROUND(Y548+IF(AND(E549=32,F549&lt;&gt;"ASTM A416"),L549,0),3)</f>
        <v/>
      </c>
      <c r="Z549" s="20">
        <f>ROUND(Z548+IF(F549="ASTM A416",L549,0),3)</f>
        <v/>
      </c>
      <c r="AA549" s="11">
        <f>IF(ROUNDUP(P549/20,0)&gt;ROUNDUP(P548/20,0),"Lần " &amp; ROUNDUP(P549/20,0),"")</f>
        <v/>
      </c>
      <c r="AB549" s="11">
        <f>IF(ROUNDUP(Q549/20,0)&gt;ROUNDUP(Q548/20,0),"Lần " &amp; ROUNDUP(Q549/20,0),"")</f>
        <v/>
      </c>
      <c r="AC549" s="11">
        <f>IF(ROUNDUP(R549/20,0)&gt;ROUNDUP(R548/20,0),"Lần " &amp; ROUNDUP(R549/20,0),"")</f>
        <v/>
      </c>
      <c r="AD549" s="11">
        <f>IF(ROUNDUP(S549/20,0)&gt;ROUNDUP(S548/20,0),"Lần " &amp; ROUNDUP(S549/20,0),"")</f>
        <v/>
      </c>
      <c r="AE549" s="11">
        <f>IF(ROUNDUP(T549/20,0)&gt;ROUNDUP(T548/20,0),"Lần " &amp; ROUNDUP(T549/20,0),"")</f>
        <v/>
      </c>
      <c r="AF549" s="11">
        <f>IF(ROUNDUP(U549/20,0)&gt;ROUNDUP(U548/20,0),"Lần " &amp; ROUNDUP(U549/20,0),"")</f>
        <v/>
      </c>
      <c r="AG549" s="11">
        <f>IF(ROUNDUP(V549/20,0)&gt;ROUNDUP(V548/20,0),"Lần " &amp; ROUNDUP(V549/20,0),"")</f>
        <v/>
      </c>
      <c r="AH549" s="11">
        <f>IF(ROUNDUP(W549/20,0)&gt;ROUNDUP(W548/20,0),"Lần " &amp; ROUNDUP(W549/20,0),"")</f>
        <v/>
      </c>
      <c r="AI549" s="11">
        <f>IF(ROUNDUP(X549/20,0)&gt;ROUNDUP(X548/20,0),"Lần " &amp; ROUNDUP(X549/20,0),"")</f>
        <v/>
      </c>
      <c r="AJ549" s="11">
        <f>IF(ROUNDUP(Y549/20,0)&gt;ROUNDUP(Y548/20,0),"Lần " &amp; ROUNDUP(Y549/20,0),"")</f>
        <v/>
      </c>
      <c r="AK549" s="11">
        <f>IF(ROUNDUP(Z549/20,0)&gt;ROUNDUP(Z548/20,0),"Lần " &amp; ROUNDUP(Z549/20,0),"")</f>
        <v/>
      </c>
      <c r="AL549" s="6" t="n"/>
      <c r="AN549" t="inlineStr">
        <is>
          <t>Coc</t>
        </is>
      </c>
      <c r="AO549" t="n">
        <v>13</v>
      </c>
    </row>
    <row r="550" ht="19" customHeight="1">
      <c r="A550" s="6" t="n">
        <v>524</v>
      </c>
      <c r="B550" s="7" t="inlineStr">
        <is>
          <t>Cọc khoan nhồi C7 Trụ T1 (D1.2m, L=40.0m)</t>
        </is>
      </c>
      <c r="C550" s="7" t="inlineStr">
        <is>
          <t>Cọc trụ T1 L=40m (tr.68)</t>
        </is>
      </c>
      <c r="D550" s="18" t="inlineStr">
        <is>
          <t>P9</t>
        </is>
      </c>
      <c r="E550" s="19" t="n">
        <v>12</v>
      </c>
      <c r="F550" s="6" t="inlineStr">
        <is>
          <t>CB400-V</t>
        </is>
      </c>
      <c r="G550" s="7" t="inlineStr"/>
      <c r="H550" s="20" t="n">
        <v>0.379</v>
      </c>
      <c r="I550" s="21" t="n">
        <v>48</v>
      </c>
      <c r="J550" s="22" t="n">
        <v>0.888</v>
      </c>
      <c r="K550" s="9">
        <f>ROUND(H550*I550*J550, 2)</f>
        <v/>
      </c>
      <c r="L550" s="23">
        <f>ROUND(K550/1000, 3)</f>
        <v/>
      </c>
      <c r="M550" s="8">
        <f>IF(AO550="","",IF(INDEX(Theo_Doi_Tan_Suat_Be_Tong!$C:$C,AO550)="","",INDEX(Theo_Doi_Tan_Suat_Be_Tong!$C:$C,AO550)-VLOOKUP(AN550,$AQ$2:$AR$7,2,FALSE)))</f>
        <v/>
      </c>
      <c r="N550" s="6" t="n"/>
      <c r="O550" s="24">
        <f>IF(ROUNDUP(Q550/20,0)&gt;ROUNDUP(Q549/20,0),"TN Ø12 (Lần " &amp; ROUNDUP(Q550/20,0) &amp; ")","")</f>
        <v/>
      </c>
      <c r="P550" s="20">
        <f>ROUND(P549+IF(AND(E550&lt;=10,F550&lt;&gt;"ASTM A416"),L550,0),3)</f>
        <v/>
      </c>
      <c r="Q550" s="20">
        <f>ROUND(Q549+IF(AND(E550=12,F550&lt;&gt;"ASTM A416"),L550,0),3)</f>
        <v/>
      </c>
      <c r="R550" s="20">
        <f>ROUND(R549+IF(AND(E550=14,F550&lt;&gt;"ASTM A416"),L550,0),3)</f>
        <v/>
      </c>
      <c r="S550" s="20">
        <f>ROUND(S549+IF(AND(E550=16,F550&lt;&gt;"ASTM A416"),L550,0),3)</f>
        <v/>
      </c>
      <c r="T550" s="20">
        <f>ROUND(T549+IF(AND(E550=18,F550&lt;&gt;"ASTM A416"),L550,0),3)</f>
        <v/>
      </c>
      <c r="U550" s="20">
        <f>ROUND(U549+IF(AND(E550=20,F550&lt;&gt;"ASTM A416"),L550,0),3)</f>
        <v/>
      </c>
      <c r="V550" s="20">
        <f>ROUND(V549+IF(AND(E550=22,F550&lt;&gt;"ASTM A416"),L550,0),3)</f>
        <v/>
      </c>
      <c r="W550" s="20">
        <f>ROUND(W549+IF(AND(E550=25,F550&lt;&gt;"ASTM A416"),L550,0),3)</f>
        <v/>
      </c>
      <c r="X550" s="20">
        <f>ROUND(X549+IF(AND(E550=28,F550&lt;&gt;"ASTM A416"),L550,0),3)</f>
        <v/>
      </c>
      <c r="Y550" s="20">
        <f>ROUND(Y549+IF(AND(E550=32,F550&lt;&gt;"ASTM A416"),L550,0),3)</f>
        <v/>
      </c>
      <c r="Z550" s="20">
        <f>ROUND(Z549+IF(F550="ASTM A416",L550,0),3)</f>
        <v/>
      </c>
      <c r="AA550" s="11">
        <f>IF(ROUNDUP(P550/20,0)&gt;ROUNDUP(P549/20,0),"Lần " &amp; ROUNDUP(P550/20,0),"")</f>
        <v/>
      </c>
      <c r="AB550" s="11">
        <f>IF(ROUNDUP(Q550/20,0)&gt;ROUNDUP(Q549/20,0),"Lần " &amp; ROUNDUP(Q550/20,0),"")</f>
        <v/>
      </c>
      <c r="AC550" s="11">
        <f>IF(ROUNDUP(R550/20,0)&gt;ROUNDUP(R549/20,0),"Lần " &amp; ROUNDUP(R550/20,0),"")</f>
        <v/>
      </c>
      <c r="AD550" s="11">
        <f>IF(ROUNDUP(S550/20,0)&gt;ROUNDUP(S549/20,0),"Lần " &amp; ROUNDUP(S550/20,0),"")</f>
        <v/>
      </c>
      <c r="AE550" s="11">
        <f>IF(ROUNDUP(T550/20,0)&gt;ROUNDUP(T549/20,0),"Lần " &amp; ROUNDUP(T550/20,0),"")</f>
        <v/>
      </c>
      <c r="AF550" s="11">
        <f>IF(ROUNDUP(U550/20,0)&gt;ROUNDUP(U549/20,0),"Lần " &amp; ROUNDUP(U550/20,0),"")</f>
        <v/>
      </c>
      <c r="AG550" s="11">
        <f>IF(ROUNDUP(V550/20,0)&gt;ROUNDUP(V549/20,0),"Lần " &amp; ROUNDUP(V550/20,0),"")</f>
        <v/>
      </c>
      <c r="AH550" s="11">
        <f>IF(ROUNDUP(W550/20,0)&gt;ROUNDUP(W549/20,0),"Lần " &amp; ROUNDUP(W550/20,0),"")</f>
        <v/>
      </c>
      <c r="AI550" s="11">
        <f>IF(ROUNDUP(X550/20,0)&gt;ROUNDUP(X549/20,0),"Lần " &amp; ROUNDUP(X550/20,0),"")</f>
        <v/>
      </c>
      <c r="AJ550" s="11">
        <f>IF(ROUNDUP(Y550/20,0)&gt;ROUNDUP(Y549/20,0),"Lần " &amp; ROUNDUP(Y550/20,0),"")</f>
        <v/>
      </c>
      <c r="AK550" s="11">
        <f>IF(ROUNDUP(Z550/20,0)&gt;ROUNDUP(Z549/20,0),"Lần " &amp; ROUNDUP(Z550/20,0),"")</f>
        <v/>
      </c>
      <c r="AL550" s="6" t="n"/>
      <c r="AN550" t="inlineStr">
        <is>
          <t>Coc</t>
        </is>
      </c>
      <c r="AO550" t="n">
        <v>13</v>
      </c>
    </row>
    <row r="551" ht="19" customHeight="1">
      <c r="A551" s="6" t="n">
        <v>525</v>
      </c>
      <c r="B551" s="7" t="inlineStr">
        <is>
          <t>Cọc khoan nhồi C7 Trụ T1 (D1.2m, L=40.0m)</t>
        </is>
      </c>
      <c r="C551" s="7" t="inlineStr">
        <is>
          <t>Cọc trụ T1 L=40m (tr.68)</t>
        </is>
      </c>
      <c r="D551" s="18" t="inlineStr">
        <is>
          <t>P10</t>
        </is>
      </c>
      <c r="E551" s="19" t="n">
        <v>20</v>
      </c>
      <c r="F551" s="6" t="inlineStr">
        <is>
          <t>CB400-V</t>
        </is>
      </c>
      <c r="G551" s="7" t="inlineStr"/>
      <c r="H551" s="20" t="n">
        <v>2.057</v>
      </c>
      <c r="I551" s="21" t="n">
        <v>1</v>
      </c>
      <c r="J551" s="22" t="n">
        <v>2.466</v>
      </c>
      <c r="K551" s="9">
        <f>ROUND(H551*I551*J551, 2)</f>
        <v/>
      </c>
      <c r="L551" s="23">
        <f>ROUND(K551/1000, 3)</f>
        <v/>
      </c>
      <c r="M551" s="8">
        <f>IF(AO551="","",IF(INDEX(Theo_Doi_Tan_Suat_Be_Tong!$C:$C,AO551)="","",INDEX(Theo_Doi_Tan_Suat_Be_Tong!$C:$C,AO551)-VLOOKUP(AN551,$AQ$2:$AR$7,2,FALSE)))</f>
        <v/>
      </c>
      <c r="N551" s="6" t="n"/>
      <c r="O551" s="24">
        <f>IF(ROUNDUP(U551/20,0)&gt;ROUNDUP(U550/20,0),"TN Ø20 (Lần " &amp; ROUNDUP(U551/20,0) &amp; ")","")</f>
        <v/>
      </c>
      <c r="P551" s="20">
        <f>ROUND(P550+IF(AND(E551&lt;=10,F551&lt;&gt;"ASTM A416"),L551,0),3)</f>
        <v/>
      </c>
      <c r="Q551" s="20">
        <f>ROUND(Q550+IF(AND(E551=12,F551&lt;&gt;"ASTM A416"),L551,0),3)</f>
        <v/>
      </c>
      <c r="R551" s="20">
        <f>ROUND(R550+IF(AND(E551=14,F551&lt;&gt;"ASTM A416"),L551,0),3)</f>
        <v/>
      </c>
      <c r="S551" s="20">
        <f>ROUND(S550+IF(AND(E551=16,F551&lt;&gt;"ASTM A416"),L551,0),3)</f>
        <v/>
      </c>
      <c r="T551" s="20">
        <f>ROUND(T550+IF(AND(E551=18,F551&lt;&gt;"ASTM A416"),L551,0),3)</f>
        <v/>
      </c>
      <c r="U551" s="20">
        <f>ROUND(U550+IF(AND(E551=20,F551&lt;&gt;"ASTM A416"),L551,0),3)</f>
        <v/>
      </c>
      <c r="V551" s="20">
        <f>ROUND(V550+IF(AND(E551=22,F551&lt;&gt;"ASTM A416"),L551,0),3)</f>
        <v/>
      </c>
      <c r="W551" s="20">
        <f>ROUND(W550+IF(AND(E551=25,F551&lt;&gt;"ASTM A416"),L551,0),3)</f>
        <v/>
      </c>
      <c r="X551" s="20">
        <f>ROUND(X550+IF(AND(E551=28,F551&lt;&gt;"ASTM A416"),L551,0),3)</f>
        <v/>
      </c>
      <c r="Y551" s="20">
        <f>ROUND(Y550+IF(AND(E551=32,F551&lt;&gt;"ASTM A416"),L551,0),3)</f>
        <v/>
      </c>
      <c r="Z551" s="20">
        <f>ROUND(Z550+IF(F551="ASTM A416",L551,0),3)</f>
        <v/>
      </c>
      <c r="AA551" s="11">
        <f>IF(ROUNDUP(P551/20,0)&gt;ROUNDUP(P550/20,0),"Lần " &amp; ROUNDUP(P551/20,0),"")</f>
        <v/>
      </c>
      <c r="AB551" s="11">
        <f>IF(ROUNDUP(Q551/20,0)&gt;ROUNDUP(Q550/20,0),"Lần " &amp; ROUNDUP(Q551/20,0),"")</f>
        <v/>
      </c>
      <c r="AC551" s="11">
        <f>IF(ROUNDUP(R551/20,0)&gt;ROUNDUP(R550/20,0),"Lần " &amp; ROUNDUP(R551/20,0),"")</f>
        <v/>
      </c>
      <c r="AD551" s="11">
        <f>IF(ROUNDUP(S551/20,0)&gt;ROUNDUP(S550/20,0),"Lần " &amp; ROUNDUP(S551/20,0),"")</f>
        <v/>
      </c>
      <c r="AE551" s="11">
        <f>IF(ROUNDUP(T551/20,0)&gt;ROUNDUP(T550/20,0),"Lần " &amp; ROUNDUP(T551/20,0),"")</f>
        <v/>
      </c>
      <c r="AF551" s="11">
        <f>IF(ROUNDUP(U551/20,0)&gt;ROUNDUP(U550/20,0),"Lần " &amp; ROUNDUP(U551/20,0),"")</f>
        <v/>
      </c>
      <c r="AG551" s="11">
        <f>IF(ROUNDUP(V551/20,0)&gt;ROUNDUP(V550/20,0),"Lần " &amp; ROUNDUP(V551/20,0),"")</f>
        <v/>
      </c>
      <c r="AH551" s="11">
        <f>IF(ROUNDUP(W551/20,0)&gt;ROUNDUP(W550/20,0),"Lần " &amp; ROUNDUP(W551/20,0),"")</f>
        <v/>
      </c>
      <c r="AI551" s="11">
        <f>IF(ROUNDUP(X551/20,0)&gt;ROUNDUP(X550/20,0),"Lần " &amp; ROUNDUP(X551/20,0),"")</f>
        <v/>
      </c>
      <c r="AJ551" s="11">
        <f>IF(ROUNDUP(Y551/20,0)&gt;ROUNDUP(Y550/20,0),"Lần " &amp; ROUNDUP(Y551/20,0),"")</f>
        <v/>
      </c>
      <c r="AK551" s="11">
        <f>IF(ROUNDUP(Z551/20,0)&gt;ROUNDUP(Z550/20,0),"Lần " &amp; ROUNDUP(Z551/20,0),"")</f>
        <v/>
      </c>
      <c r="AL551" s="6" t="n"/>
      <c r="AN551" t="inlineStr">
        <is>
          <t>Coc</t>
        </is>
      </c>
      <c r="AO551" t="n">
        <v>13</v>
      </c>
    </row>
    <row r="552" ht="19" customHeight="1">
      <c r="A552" s="6" t="n">
        <v>526</v>
      </c>
      <c r="B552" s="7" t="inlineStr">
        <is>
          <t>Cọc khoan nhồi C7 Trụ T1 (D1.2m, L=40.0m)</t>
        </is>
      </c>
      <c r="C552" s="7" t="inlineStr">
        <is>
          <t>Cọc trụ T1 L=40m (tr.68)</t>
        </is>
      </c>
      <c r="D552" s="18" t="inlineStr">
        <is>
          <t>P12</t>
        </is>
      </c>
      <c r="E552" s="19" t="n">
        <v>20</v>
      </c>
      <c r="F552" s="6" t="inlineStr">
        <is>
          <t>CB400-V</t>
        </is>
      </c>
      <c r="G552" s="7" t="inlineStr"/>
      <c r="H552" s="20" t="n">
        <v>0.583</v>
      </c>
      <c r="I552" s="21" t="n">
        <v>64</v>
      </c>
      <c r="J552" s="22" t="n">
        <v>2.466</v>
      </c>
      <c r="K552" s="9">
        <f>ROUND(H552*I552*J552, 2)</f>
        <v/>
      </c>
      <c r="L552" s="23">
        <f>ROUND(K552/1000, 3)</f>
        <v/>
      </c>
      <c r="M552" s="8">
        <f>IF(AO552="","",IF(INDEX(Theo_Doi_Tan_Suat_Be_Tong!$C:$C,AO552)="","",INDEX(Theo_Doi_Tan_Suat_Be_Tong!$C:$C,AO552)-VLOOKUP(AN552,$AQ$2:$AR$7,2,FALSE)))</f>
        <v/>
      </c>
      <c r="N552" s="6" t="n"/>
      <c r="O552" s="24">
        <f>IF(ROUNDUP(U552/20,0)&gt;ROUNDUP(U551/20,0),"TN Ø20 (Lần " &amp; ROUNDUP(U552/20,0) &amp; ")","")</f>
        <v/>
      </c>
      <c r="P552" s="20">
        <f>ROUND(P551+IF(AND(E552&lt;=10,F552&lt;&gt;"ASTM A416"),L552,0),3)</f>
        <v/>
      </c>
      <c r="Q552" s="20">
        <f>ROUND(Q551+IF(AND(E552=12,F552&lt;&gt;"ASTM A416"),L552,0),3)</f>
        <v/>
      </c>
      <c r="R552" s="20">
        <f>ROUND(R551+IF(AND(E552=14,F552&lt;&gt;"ASTM A416"),L552,0),3)</f>
        <v/>
      </c>
      <c r="S552" s="20">
        <f>ROUND(S551+IF(AND(E552=16,F552&lt;&gt;"ASTM A416"),L552,0),3)</f>
        <v/>
      </c>
      <c r="T552" s="20">
        <f>ROUND(T551+IF(AND(E552=18,F552&lt;&gt;"ASTM A416"),L552,0),3)</f>
        <v/>
      </c>
      <c r="U552" s="20">
        <f>ROUND(U551+IF(AND(E552=20,F552&lt;&gt;"ASTM A416"),L552,0),3)</f>
        <v/>
      </c>
      <c r="V552" s="20">
        <f>ROUND(V551+IF(AND(E552=22,F552&lt;&gt;"ASTM A416"),L552,0),3)</f>
        <v/>
      </c>
      <c r="W552" s="20">
        <f>ROUND(W551+IF(AND(E552=25,F552&lt;&gt;"ASTM A416"),L552,0),3)</f>
        <v/>
      </c>
      <c r="X552" s="20">
        <f>ROUND(X551+IF(AND(E552=28,F552&lt;&gt;"ASTM A416"),L552,0),3)</f>
        <v/>
      </c>
      <c r="Y552" s="20">
        <f>ROUND(Y551+IF(AND(E552=32,F552&lt;&gt;"ASTM A416"),L552,0),3)</f>
        <v/>
      </c>
      <c r="Z552" s="20">
        <f>ROUND(Z551+IF(F552="ASTM A416",L552,0),3)</f>
        <v/>
      </c>
      <c r="AA552" s="11">
        <f>IF(ROUNDUP(P552/20,0)&gt;ROUNDUP(P551/20,0),"Lần " &amp; ROUNDUP(P552/20,0),"")</f>
        <v/>
      </c>
      <c r="AB552" s="11">
        <f>IF(ROUNDUP(Q552/20,0)&gt;ROUNDUP(Q551/20,0),"Lần " &amp; ROUNDUP(Q552/20,0),"")</f>
        <v/>
      </c>
      <c r="AC552" s="11">
        <f>IF(ROUNDUP(R552/20,0)&gt;ROUNDUP(R551/20,0),"Lần " &amp; ROUNDUP(R552/20,0),"")</f>
        <v/>
      </c>
      <c r="AD552" s="11">
        <f>IF(ROUNDUP(S552/20,0)&gt;ROUNDUP(S551/20,0),"Lần " &amp; ROUNDUP(S552/20,0),"")</f>
        <v/>
      </c>
      <c r="AE552" s="11">
        <f>IF(ROUNDUP(T552/20,0)&gt;ROUNDUP(T551/20,0),"Lần " &amp; ROUNDUP(T552/20,0),"")</f>
        <v/>
      </c>
      <c r="AF552" s="11">
        <f>IF(ROUNDUP(U552/20,0)&gt;ROUNDUP(U551/20,0),"Lần " &amp; ROUNDUP(U552/20,0),"")</f>
        <v/>
      </c>
      <c r="AG552" s="11">
        <f>IF(ROUNDUP(V552/20,0)&gt;ROUNDUP(V551/20,0),"Lần " &amp; ROUNDUP(V552/20,0),"")</f>
        <v/>
      </c>
      <c r="AH552" s="11">
        <f>IF(ROUNDUP(W552/20,0)&gt;ROUNDUP(W551/20,0),"Lần " &amp; ROUNDUP(W552/20,0),"")</f>
        <v/>
      </c>
      <c r="AI552" s="11">
        <f>IF(ROUNDUP(X552/20,0)&gt;ROUNDUP(X551/20,0),"Lần " &amp; ROUNDUP(X552/20,0),"")</f>
        <v/>
      </c>
      <c r="AJ552" s="11">
        <f>IF(ROUNDUP(Y552/20,0)&gt;ROUNDUP(Y551/20,0),"Lần " &amp; ROUNDUP(Y552/20,0),"")</f>
        <v/>
      </c>
      <c r="AK552" s="11">
        <f>IF(ROUNDUP(Z552/20,0)&gt;ROUNDUP(Z551/20,0),"Lần " &amp; ROUNDUP(Z552/20,0),"")</f>
        <v/>
      </c>
      <c r="AL552" s="6" t="n"/>
      <c r="AN552" t="inlineStr">
        <is>
          <t>Coc</t>
        </is>
      </c>
      <c r="AO552" t="n">
        <v>13</v>
      </c>
    </row>
    <row r="553" ht="19" customHeight="1">
      <c r="A553" s="6" t="n">
        <v>527</v>
      </c>
      <c r="B553" s="7" t="inlineStr">
        <is>
          <t>Cọc khoan nhồi C7 Trụ T1 (D1.2m, L=40.0m)</t>
        </is>
      </c>
      <c r="C553" s="7" t="inlineStr">
        <is>
          <t>Cọc trụ T1 L=40m (tr.68)</t>
        </is>
      </c>
      <c r="D553" s="18" t="inlineStr">
        <is>
          <t>P11</t>
        </is>
      </c>
      <c r="E553" s="19" t="n">
        <v>16</v>
      </c>
      <c r="F553" s="6" t="inlineStr">
        <is>
          <t>CB400-V</t>
        </is>
      </c>
      <c r="G553" s="7" t="inlineStr"/>
      <c r="H553" s="20" t="n">
        <v>2.604</v>
      </c>
      <c r="I553" s="21" t="n">
        <v>4</v>
      </c>
      <c r="J553" s="22" t="n">
        <v>1.578</v>
      </c>
      <c r="K553" s="9">
        <f>ROUND(H553*I553*J553, 2)</f>
        <v/>
      </c>
      <c r="L553" s="23">
        <f>ROUND(K553/1000, 3)</f>
        <v/>
      </c>
      <c r="M553" s="8">
        <f>IF(AO553="","",IF(INDEX(Theo_Doi_Tan_Suat_Be_Tong!$C:$C,AO553)="","",INDEX(Theo_Doi_Tan_Suat_Be_Tong!$C:$C,AO553)-VLOOKUP(AN553,$AQ$2:$AR$7,2,FALSE)))</f>
        <v/>
      </c>
      <c r="N553" s="6" t="n"/>
      <c r="O553" s="24">
        <f>IF(ROUNDUP(S553/20,0)&gt;ROUNDUP(S552/20,0),"TN Ø16 (Lần " &amp; ROUNDUP(S553/20,0) &amp; ")","")</f>
        <v/>
      </c>
      <c r="P553" s="20">
        <f>ROUND(P552+IF(AND(E553&lt;=10,F553&lt;&gt;"ASTM A416"),L553,0),3)</f>
        <v/>
      </c>
      <c r="Q553" s="20">
        <f>ROUND(Q552+IF(AND(E553=12,F553&lt;&gt;"ASTM A416"),L553,0),3)</f>
        <v/>
      </c>
      <c r="R553" s="20">
        <f>ROUND(R552+IF(AND(E553=14,F553&lt;&gt;"ASTM A416"),L553,0),3)</f>
        <v/>
      </c>
      <c r="S553" s="20">
        <f>ROUND(S552+IF(AND(E553=16,F553&lt;&gt;"ASTM A416"),L553,0),3)</f>
        <v/>
      </c>
      <c r="T553" s="20">
        <f>ROUND(T552+IF(AND(E553=18,F553&lt;&gt;"ASTM A416"),L553,0),3)</f>
        <v/>
      </c>
      <c r="U553" s="20">
        <f>ROUND(U552+IF(AND(E553=20,F553&lt;&gt;"ASTM A416"),L553,0),3)</f>
        <v/>
      </c>
      <c r="V553" s="20">
        <f>ROUND(V552+IF(AND(E553=22,F553&lt;&gt;"ASTM A416"),L553,0),3)</f>
        <v/>
      </c>
      <c r="W553" s="20">
        <f>ROUND(W552+IF(AND(E553=25,F553&lt;&gt;"ASTM A416"),L553,0),3)</f>
        <v/>
      </c>
      <c r="X553" s="20">
        <f>ROUND(X552+IF(AND(E553=28,F553&lt;&gt;"ASTM A416"),L553,0),3)</f>
        <v/>
      </c>
      <c r="Y553" s="20">
        <f>ROUND(Y552+IF(AND(E553=32,F553&lt;&gt;"ASTM A416"),L553,0),3)</f>
        <v/>
      </c>
      <c r="Z553" s="20">
        <f>ROUND(Z552+IF(F553="ASTM A416",L553,0),3)</f>
        <v/>
      </c>
      <c r="AA553" s="11">
        <f>IF(ROUNDUP(P553/20,0)&gt;ROUNDUP(P552/20,0),"Lần " &amp; ROUNDUP(P553/20,0),"")</f>
        <v/>
      </c>
      <c r="AB553" s="11">
        <f>IF(ROUNDUP(Q553/20,0)&gt;ROUNDUP(Q552/20,0),"Lần " &amp; ROUNDUP(Q553/20,0),"")</f>
        <v/>
      </c>
      <c r="AC553" s="11">
        <f>IF(ROUNDUP(R553/20,0)&gt;ROUNDUP(R552/20,0),"Lần " &amp; ROUNDUP(R553/20,0),"")</f>
        <v/>
      </c>
      <c r="AD553" s="11">
        <f>IF(ROUNDUP(S553/20,0)&gt;ROUNDUP(S552/20,0),"Lần " &amp; ROUNDUP(S553/20,0),"")</f>
        <v/>
      </c>
      <c r="AE553" s="11">
        <f>IF(ROUNDUP(T553/20,0)&gt;ROUNDUP(T552/20,0),"Lần " &amp; ROUNDUP(T553/20,0),"")</f>
        <v/>
      </c>
      <c r="AF553" s="11">
        <f>IF(ROUNDUP(U553/20,0)&gt;ROUNDUP(U552/20,0),"Lần " &amp; ROUNDUP(U553/20,0),"")</f>
        <v/>
      </c>
      <c r="AG553" s="11">
        <f>IF(ROUNDUP(V553/20,0)&gt;ROUNDUP(V552/20,0),"Lần " &amp; ROUNDUP(V553/20,0),"")</f>
        <v/>
      </c>
      <c r="AH553" s="11">
        <f>IF(ROUNDUP(W553/20,0)&gt;ROUNDUP(W552/20,0),"Lần " &amp; ROUNDUP(W553/20,0),"")</f>
        <v/>
      </c>
      <c r="AI553" s="11">
        <f>IF(ROUNDUP(X553/20,0)&gt;ROUNDUP(X552/20,0),"Lần " &amp; ROUNDUP(X553/20,0),"")</f>
        <v/>
      </c>
      <c r="AJ553" s="11">
        <f>IF(ROUNDUP(Y553/20,0)&gt;ROUNDUP(Y552/20,0),"Lần " &amp; ROUNDUP(Y553/20,0),"")</f>
        <v/>
      </c>
      <c r="AK553" s="11">
        <f>IF(ROUNDUP(Z553/20,0)&gt;ROUNDUP(Z552/20,0),"Lần " &amp; ROUNDUP(Z553/20,0),"")</f>
        <v/>
      </c>
      <c r="AL553" s="6" t="n"/>
      <c r="AN553" t="inlineStr">
        <is>
          <t>Coc</t>
        </is>
      </c>
      <c r="AO553" t="n">
        <v>13</v>
      </c>
    </row>
    <row r="554" ht="19" customHeight="1">
      <c r="A554" s="17" t="inlineStr">
        <is>
          <t>--- CỌC KHOAN NHỒI C8 TRỤ T1 (D1.2M, L=40.0M) ---</t>
        </is>
      </c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  <c r="AG554" s="35" t="n"/>
      <c r="AH554" s="35" t="n"/>
      <c r="AI554" s="35" t="n"/>
      <c r="AJ554" s="35" t="n"/>
      <c r="AK554" s="35" t="n"/>
      <c r="AL554" s="34" t="n"/>
    </row>
    <row r="555" ht="19" customHeight="1">
      <c r="A555" s="6" t="n">
        <v>528</v>
      </c>
      <c r="B555" s="7" t="inlineStr">
        <is>
          <t>Cọc khoan nhồi C8 Trụ T1 (D1.2m, L=40.0m)</t>
        </is>
      </c>
      <c r="C555" s="7" t="inlineStr">
        <is>
          <t>Cọc trụ T1 L=40m (tr.68)</t>
        </is>
      </c>
      <c r="D555" s="18" t="inlineStr">
        <is>
          <t>P1</t>
        </is>
      </c>
      <c r="E555" s="19" t="n">
        <v>10</v>
      </c>
      <c r="F555" s="6" t="inlineStr">
        <is>
          <t>CB240-T</t>
        </is>
      </c>
      <c r="G555" s="7" t="inlineStr"/>
      <c r="H555" s="20" t="n">
        <v>96.604</v>
      </c>
      <c r="I555" s="21" t="n">
        <v>1</v>
      </c>
      <c r="J555" s="22" t="n">
        <v>0.617</v>
      </c>
      <c r="K555" s="9">
        <f>ROUND(H555*I555*J555, 2)</f>
        <v/>
      </c>
      <c r="L555" s="23">
        <f>ROUND(K555/1000, 3)</f>
        <v/>
      </c>
      <c r="M555" s="8">
        <f>IF(AO555="","",IF(INDEX(Theo_Doi_Tan_Suat_Be_Tong!$C:$C,AO555)="","",INDEX(Theo_Doi_Tan_Suat_Be_Tong!$C:$C,AO555)-VLOOKUP(AN555,$AQ$2:$AR$7,2,FALSE)))</f>
        <v/>
      </c>
      <c r="N555" s="6" t="n"/>
      <c r="O555" s="24">
        <f>IF(ROUNDUP(P555/20,0)&gt;ROUNDUP(P553/20,0),"TN Ø10 (Lần " &amp; ROUNDUP(P555/20,0) &amp; ")","")</f>
        <v/>
      </c>
      <c r="P555" s="20">
        <f>ROUND(P553+IF(AND(E555&lt;=10,F555&lt;&gt;"ASTM A416"),L555,0),3)</f>
        <v/>
      </c>
      <c r="Q555" s="20">
        <f>ROUND(Q553+IF(AND(E555=12,F555&lt;&gt;"ASTM A416"),L555,0),3)</f>
        <v/>
      </c>
      <c r="R555" s="20">
        <f>ROUND(R553+IF(AND(E555=14,F555&lt;&gt;"ASTM A416"),L555,0),3)</f>
        <v/>
      </c>
      <c r="S555" s="20">
        <f>ROUND(S553+IF(AND(E555=16,F555&lt;&gt;"ASTM A416"),L555,0),3)</f>
        <v/>
      </c>
      <c r="T555" s="20">
        <f>ROUND(T553+IF(AND(E555=18,F555&lt;&gt;"ASTM A416"),L555,0),3)</f>
        <v/>
      </c>
      <c r="U555" s="20">
        <f>ROUND(U553+IF(AND(E555=20,F555&lt;&gt;"ASTM A416"),L555,0),3)</f>
        <v/>
      </c>
      <c r="V555" s="20">
        <f>ROUND(V553+IF(AND(E555=22,F555&lt;&gt;"ASTM A416"),L555,0),3)</f>
        <v/>
      </c>
      <c r="W555" s="20">
        <f>ROUND(W553+IF(AND(E555=25,F555&lt;&gt;"ASTM A416"),L555,0),3)</f>
        <v/>
      </c>
      <c r="X555" s="20">
        <f>ROUND(X553+IF(AND(E555=28,F555&lt;&gt;"ASTM A416"),L555,0),3)</f>
        <v/>
      </c>
      <c r="Y555" s="20">
        <f>ROUND(Y553+IF(AND(E555=32,F555&lt;&gt;"ASTM A416"),L555,0),3)</f>
        <v/>
      </c>
      <c r="Z555" s="20">
        <f>ROUND(Z553+IF(F555="ASTM A416",L555,0),3)</f>
        <v/>
      </c>
      <c r="AA555" s="11">
        <f>IF(ROUNDUP(P555/20,0)&gt;ROUNDUP(P553/20,0),"Lần " &amp; ROUNDUP(P555/20,0),"")</f>
        <v/>
      </c>
      <c r="AB555" s="11">
        <f>IF(ROUNDUP(Q555/20,0)&gt;ROUNDUP(Q553/20,0),"Lần " &amp; ROUNDUP(Q555/20,0),"")</f>
        <v/>
      </c>
      <c r="AC555" s="11">
        <f>IF(ROUNDUP(R555/20,0)&gt;ROUNDUP(R553/20,0),"Lần " &amp; ROUNDUP(R555/20,0),"")</f>
        <v/>
      </c>
      <c r="AD555" s="11">
        <f>IF(ROUNDUP(S555/20,0)&gt;ROUNDUP(S553/20,0),"Lần " &amp; ROUNDUP(S555/20,0),"")</f>
        <v/>
      </c>
      <c r="AE555" s="11">
        <f>IF(ROUNDUP(T555/20,0)&gt;ROUNDUP(T553/20,0),"Lần " &amp; ROUNDUP(T555/20,0),"")</f>
        <v/>
      </c>
      <c r="AF555" s="11">
        <f>IF(ROUNDUP(U555/20,0)&gt;ROUNDUP(U553/20,0),"Lần " &amp; ROUNDUP(U555/20,0),"")</f>
        <v/>
      </c>
      <c r="AG555" s="11">
        <f>IF(ROUNDUP(V555/20,0)&gt;ROUNDUP(V553/20,0),"Lần " &amp; ROUNDUP(V555/20,0),"")</f>
        <v/>
      </c>
      <c r="AH555" s="11">
        <f>IF(ROUNDUP(W555/20,0)&gt;ROUNDUP(W553/20,0),"Lần " &amp; ROUNDUP(W555/20,0),"")</f>
        <v/>
      </c>
      <c r="AI555" s="11">
        <f>IF(ROUNDUP(X555/20,0)&gt;ROUNDUP(X553/20,0),"Lần " &amp; ROUNDUP(X555/20,0),"")</f>
        <v/>
      </c>
      <c r="AJ555" s="11">
        <f>IF(ROUNDUP(Y555/20,0)&gt;ROUNDUP(Y553/20,0),"Lần " &amp; ROUNDUP(Y555/20,0),"")</f>
        <v/>
      </c>
      <c r="AK555" s="11">
        <f>IF(ROUNDUP(Z555/20,0)&gt;ROUNDUP(Z553/20,0),"Lần " &amp; ROUNDUP(Z555/20,0),"")</f>
        <v/>
      </c>
      <c r="AL555" s="6" t="n"/>
      <c r="AN555" t="inlineStr">
        <is>
          <t>Coc</t>
        </is>
      </c>
      <c r="AO555" t="n">
        <v>14</v>
      </c>
    </row>
    <row r="556" ht="19" customHeight="1">
      <c r="A556" s="6" t="n">
        <v>529</v>
      </c>
      <c r="B556" s="7" t="inlineStr">
        <is>
          <t>Cọc khoan nhồi C8 Trụ T1 (D1.2m, L=40.0m)</t>
        </is>
      </c>
      <c r="C556" s="7" t="inlineStr">
        <is>
          <t>Cọc trụ T1 L=40m (tr.68)</t>
        </is>
      </c>
      <c r="D556" s="18" t="inlineStr">
        <is>
          <t>P1A</t>
        </is>
      </c>
      <c r="E556" s="19" t="n">
        <v>10</v>
      </c>
      <c r="F556" s="6" t="inlineStr">
        <is>
          <t>CB240-T</t>
        </is>
      </c>
      <c r="G556" s="7" t="inlineStr"/>
      <c r="H556" s="20" t="n">
        <v>389.636</v>
      </c>
      <c r="I556" s="21" t="n">
        <v>1</v>
      </c>
      <c r="J556" s="22" t="n">
        <v>0.617</v>
      </c>
      <c r="K556" s="9">
        <f>ROUND(H556*I556*J556, 2)</f>
        <v/>
      </c>
      <c r="L556" s="23">
        <f>ROUND(K556/1000, 3)</f>
        <v/>
      </c>
      <c r="M556" s="8">
        <f>IF(AO556="","",IF(INDEX(Theo_Doi_Tan_Suat_Be_Tong!$C:$C,AO556)="","",INDEX(Theo_Doi_Tan_Suat_Be_Tong!$C:$C,AO556)-VLOOKUP(AN556,$AQ$2:$AR$7,2,FALSE)))</f>
        <v/>
      </c>
      <c r="N556" s="6" t="n"/>
      <c r="O556" s="24">
        <f>IF(ROUNDUP(P556/20,0)&gt;ROUNDUP(P555/20,0),"TN Ø10 (Lần " &amp; ROUNDUP(P556/20,0) &amp; ")","")</f>
        <v/>
      </c>
      <c r="P556" s="20">
        <f>ROUND(P555+IF(AND(E556&lt;=10,F556&lt;&gt;"ASTM A416"),L556,0),3)</f>
        <v/>
      </c>
      <c r="Q556" s="20">
        <f>ROUND(Q555+IF(AND(E556=12,F556&lt;&gt;"ASTM A416"),L556,0),3)</f>
        <v/>
      </c>
      <c r="R556" s="20">
        <f>ROUND(R555+IF(AND(E556=14,F556&lt;&gt;"ASTM A416"),L556,0),3)</f>
        <v/>
      </c>
      <c r="S556" s="20">
        <f>ROUND(S555+IF(AND(E556=16,F556&lt;&gt;"ASTM A416"),L556,0),3)</f>
        <v/>
      </c>
      <c r="T556" s="20">
        <f>ROUND(T555+IF(AND(E556=18,F556&lt;&gt;"ASTM A416"),L556,0),3)</f>
        <v/>
      </c>
      <c r="U556" s="20">
        <f>ROUND(U555+IF(AND(E556=20,F556&lt;&gt;"ASTM A416"),L556,0),3)</f>
        <v/>
      </c>
      <c r="V556" s="20">
        <f>ROUND(V555+IF(AND(E556=22,F556&lt;&gt;"ASTM A416"),L556,0),3)</f>
        <v/>
      </c>
      <c r="W556" s="20">
        <f>ROUND(W555+IF(AND(E556=25,F556&lt;&gt;"ASTM A416"),L556,0),3)</f>
        <v/>
      </c>
      <c r="X556" s="20">
        <f>ROUND(X555+IF(AND(E556=28,F556&lt;&gt;"ASTM A416"),L556,0),3)</f>
        <v/>
      </c>
      <c r="Y556" s="20">
        <f>ROUND(Y555+IF(AND(E556=32,F556&lt;&gt;"ASTM A416"),L556,0),3)</f>
        <v/>
      </c>
      <c r="Z556" s="20">
        <f>ROUND(Z555+IF(F556="ASTM A416",L556,0),3)</f>
        <v/>
      </c>
      <c r="AA556" s="11">
        <f>IF(ROUNDUP(P556/20,0)&gt;ROUNDUP(P555/20,0),"Lần " &amp; ROUNDUP(P556/20,0),"")</f>
        <v/>
      </c>
      <c r="AB556" s="11">
        <f>IF(ROUNDUP(Q556/20,0)&gt;ROUNDUP(Q555/20,0),"Lần " &amp; ROUNDUP(Q556/20,0),"")</f>
        <v/>
      </c>
      <c r="AC556" s="11">
        <f>IF(ROUNDUP(R556/20,0)&gt;ROUNDUP(R555/20,0),"Lần " &amp; ROUNDUP(R556/20,0),"")</f>
        <v/>
      </c>
      <c r="AD556" s="11">
        <f>IF(ROUNDUP(S556/20,0)&gt;ROUNDUP(S555/20,0),"Lần " &amp; ROUNDUP(S556/20,0),"")</f>
        <v/>
      </c>
      <c r="AE556" s="11">
        <f>IF(ROUNDUP(T556/20,0)&gt;ROUNDUP(T555/20,0),"Lần " &amp; ROUNDUP(T556/20,0),"")</f>
        <v/>
      </c>
      <c r="AF556" s="11">
        <f>IF(ROUNDUP(U556/20,0)&gt;ROUNDUP(U555/20,0),"Lần " &amp; ROUNDUP(U556/20,0),"")</f>
        <v/>
      </c>
      <c r="AG556" s="11">
        <f>IF(ROUNDUP(V556/20,0)&gt;ROUNDUP(V555/20,0),"Lần " &amp; ROUNDUP(V556/20,0),"")</f>
        <v/>
      </c>
      <c r="AH556" s="11">
        <f>IF(ROUNDUP(W556/20,0)&gt;ROUNDUP(W555/20,0),"Lần " &amp; ROUNDUP(W556/20,0),"")</f>
        <v/>
      </c>
      <c r="AI556" s="11">
        <f>IF(ROUNDUP(X556/20,0)&gt;ROUNDUP(X555/20,0),"Lần " &amp; ROUNDUP(X556/20,0),"")</f>
        <v/>
      </c>
      <c r="AJ556" s="11">
        <f>IF(ROUNDUP(Y556/20,0)&gt;ROUNDUP(Y555/20,0),"Lần " &amp; ROUNDUP(Y556/20,0),"")</f>
        <v/>
      </c>
      <c r="AK556" s="11">
        <f>IF(ROUNDUP(Z556/20,0)&gt;ROUNDUP(Z555/20,0),"Lần " &amp; ROUNDUP(Z556/20,0),"")</f>
        <v/>
      </c>
      <c r="AL556" s="6" t="n"/>
      <c r="AN556" t="inlineStr">
        <is>
          <t>Coc</t>
        </is>
      </c>
      <c r="AO556" t="n">
        <v>14</v>
      </c>
    </row>
    <row r="557" ht="19" customHeight="1">
      <c r="A557" s="6" t="n">
        <v>530</v>
      </c>
      <c r="B557" s="7" t="inlineStr">
        <is>
          <t>Cọc khoan nhồi C8 Trụ T1 (D1.2m, L=40.0m)</t>
        </is>
      </c>
      <c r="C557" s="7" t="inlineStr">
        <is>
          <t>Cọc trụ T1 L=40m (tr.68)</t>
        </is>
      </c>
      <c r="D557" s="18" t="inlineStr">
        <is>
          <t>P1B</t>
        </is>
      </c>
      <c r="E557" s="19" t="n">
        <v>10</v>
      </c>
      <c r="F557" s="6" t="inlineStr">
        <is>
          <t>CB240-T</t>
        </is>
      </c>
      <c r="G557" s="7" t="inlineStr"/>
      <c r="H557" s="20" t="n">
        <v>206.981</v>
      </c>
      <c r="I557" s="21" t="n">
        <v>1</v>
      </c>
      <c r="J557" s="22" t="n">
        <v>0.617</v>
      </c>
      <c r="K557" s="9">
        <f>ROUND(H557*I557*J557, 2)</f>
        <v/>
      </c>
      <c r="L557" s="23">
        <f>ROUND(K557/1000, 3)</f>
        <v/>
      </c>
      <c r="M557" s="8">
        <f>IF(AO557="","",IF(INDEX(Theo_Doi_Tan_Suat_Be_Tong!$C:$C,AO557)="","",INDEX(Theo_Doi_Tan_Suat_Be_Tong!$C:$C,AO557)-VLOOKUP(AN557,$AQ$2:$AR$7,2,FALSE)))</f>
        <v/>
      </c>
      <c r="N557" s="6" t="n"/>
      <c r="O557" s="24">
        <f>IF(ROUNDUP(P557/20,0)&gt;ROUNDUP(P556/20,0),"TN Ø10 (Lần " &amp; ROUNDUP(P557/20,0) &amp; ")","")</f>
        <v/>
      </c>
      <c r="P557" s="20">
        <f>ROUND(P556+IF(AND(E557&lt;=10,F557&lt;&gt;"ASTM A416"),L557,0),3)</f>
        <v/>
      </c>
      <c r="Q557" s="20">
        <f>ROUND(Q556+IF(AND(E557=12,F557&lt;&gt;"ASTM A416"),L557,0),3)</f>
        <v/>
      </c>
      <c r="R557" s="20">
        <f>ROUND(R556+IF(AND(E557=14,F557&lt;&gt;"ASTM A416"),L557,0),3)</f>
        <v/>
      </c>
      <c r="S557" s="20">
        <f>ROUND(S556+IF(AND(E557=16,F557&lt;&gt;"ASTM A416"),L557,0),3)</f>
        <v/>
      </c>
      <c r="T557" s="20">
        <f>ROUND(T556+IF(AND(E557=18,F557&lt;&gt;"ASTM A416"),L557,0),3)</f>
        <v/>
      </c>
      <c r="U557" s="20">
        <f>ROUND(U556+IF(AND(E557=20,F557&lt;&gt;"ASTM A416"),L557,0),3)</f>
        <v/>
      </c>
      <c r="V557" s="20">
        <f>ROUND(V556+IF(AND(E557=22,F557&lt;&gt;"ASTM A416"),L557,0),3)</f>
        <v/>
      </c>
      <c r="W557" s="20">
        <f>ROUND(W556+IF(AND(E557=25,F557&lt;&gt;"ASTM A416"),L557,0),3)</f>
        <v/>
      </c>
      <c r="X557" s="20">
        <f>ROUND(X556+IF(AND(E557=28,F557&lt;&gt;"ASTM A416"),L557,0),3)</f>
        <v/>
      </c>
      <c r="Y557" s="20">
        <f>ROUND(Y556+IF(AND(E557=32,F557&lt;&gt;"ASTM A416"),L557,0),3)</f>
        <v/>
      </c>
      <c r="Z557" s="20">
        <f>ROUND(Z556+IF(F557="ASTM A416",L557,0),3)</f>
        <v/>
      </c>
      <c r="AA557" s="11">
        <f>IF(ROUNDUP(P557/20,0)&gt;ROUNDUP(P556/20,0),"Lần " &amp; ROUNDUP(P557/20,0),"")</f>
        <v/>
      </c>
      <c r="AB557" s="11">
        <f>IF(ROUNDUP(Q557/20,0)&gt;ROUNDUP(Q556/20,0),"Lần " &amp; ROUNDUP(Q557/20,0),"")</f>
        <v/>
      </c>
      <c r="AC557" s="11">
        <f>IF(ROUNDUP(R557/20,0)&gt;ROUNDUP(R556/20,0),"Lần " &amp; ROUNDUP(R557/20,0),"")</f>
        <v/>
      </c>
      <c r="AD557" s="11">
        <f>IF(ROUNDUP(S557/20,0)&gt;ROUNDUP(S556/20,0),"Lần " &amp; ROUNDUP(S557/20,0),"")</f>
        <v/>
      </c>
      <c r="AE557" s="11">
        <f>IF(ROUNDUP(T557/20,0)&gt;ROUNDUP(T556/20,0),"Lần " &amp; ROUNDUP(T557/20,0),"")</f>
        <v/>
      </c>
      <c r="AF557" s="11">
        <f>IF(ROUNDUP(U557/20,0)&gt;ROUNDUP(U556/20,0),"Lần " &amp; ROUNDUP(U557/20,0),"")</f>
        <v/>
      </c>
      <c r="AG557" s="11">
        <f>IF(ROUNDUP(V557/20,0)&gt;ROUNDUP(V556/20,0),"Lần " &amp; ROUNDUP(V557/20,0),"")</f>
        <v/>
      </c>
      <c r="AH557" s="11">
        <f>IF(ROUNDUP(W557/20,0)&gt;ROUNDUP(W556/20,0),"Lần " &amp; ROUNDUP(W557/20,0),"")</f>
        <v/>
      </c>
      <c r="AI557" s="11">
        <f>IF(ROUNDUP(X557/20,0)&gt;ROUNDUP(X556/20,0),"Lần " &amp; ROUNDUP(X557/20,0),"")</f>
        <v/>
      </c>
      <c r="AJ557" s="11">
        <f>IF(ROUNDUP(Y557/20,0)&gt;ROUNDUP(Y556/20,0),"Lần " &amp; ROUNDUP(Y557/20,0),"")</f>
        <v/>
      </c>
      <c r="AK557" s="11">
        <f>IF(ROUNDUP(Z557/20,0)&gt;ROUNDUP(Z556/20,0),"Lần " &amp; ROUNDUP(Z557/20,0),"")</f>
        <v/>
      </c>
      <c r="AL557" s="6" t="n"/>
      <c r="AN557" t="inlineStr">
        <is>
          <t>Coc</t>
        </is>
      </c>
      <c r="AO557" t="n">
        <v>14</v>
      </c>
    </row>
    <row r="558" ht="19" customHeight="1">
      <c r="A558" s="6" t="n">
        <v>531</v>
      </c>
      <c r="B558" s="7" t="inlineStr">
        <is>
          <t>Cọc khoan nhồi C8 Trụ T1 (D1.2m, L=40.0m)</t>
        </is>
      </c>
      <c r="C558" s="7" t="inlineStr">
        <is>
          <t>Cọc trụ T1 L=40m (tr.68)</t>
        </is>
      </c>
      <c r="D558" s="18" t="inlineStr">
        <is>
          <t>P1C</t>
        </is>
      </c>
      <c r="E558" s="19" t="n">
        <v>10</v>
      </c>
      <c r="F558" s="6" t="inlineStr">
        <is>
          <t>CB240-T</t>
        </is>
      </c>
      <c r="G558" s="7" t="inlineStr"/>
      <c r="H558" s="20" t="n">
        <v>3.592</v>
      </c>
      <c r="I558" s="21" t="n">
        <v>2</v>
      </c>
      <c r="J558" s="22" t="n">
        <v>0.617</v>
      </c>
      <c r="K558" s="9">
        <f>ROUND(H558*I558*J558, 2)</f>
        <v/>
      </c>
      <c r="L558" s="23">
        <f>ROUND(K558/1000, 3)</f>
        <v/>
      </c>
      <c r="M558" s="8">
        <f>IF(AO558="","",IF(INDEX(Theo_Doi_Tan_Suat_Be_Tong!$C:$C,AO558)="","",INDEX(Theo_Doi_Tan_Suat_Be_Tong!$C:$C,AO558)-VLOOKUP(AN558,$AQ$2:$AR$7,2,FALSE)))</f>
        <v/>
      </c>
      <c r="N558" s="6" t="n"/>
      <c r="O558" s="24">
        <f>IF(ROUNDUP(P558/20,0)&gt;ROUNDUP(P557/20,0),"TN Ø10 (Lần " &amp; ROUNDUP(P558/20,0) &amp; ")","")</f>
        <v/>
      </c>
      <c r="P558" s="20">
        <f>ROUND(P557+IF(AND(E558&lt;=10,F558&lt;&gt;"ASTM A416"),L558,0),3)</f>
        <v/>
      </c>
      <c r="Q558" s="20">
        <f>ROUND(Q557+IF(AND(E558=12,F558&lt;&gt;"ASTM A416"),L558,0),3)</f>
        <v/>
      </c>
      <c r="R558" s="20">
        <f>ROUND(R557+IF(AND(E558=14,F558&lt;&gt;"ASTM A416"),L558,0),3)</f>
        <v/>
      </c>
      <c r="S558" s="20">
        <f>ROUND(S557+IF(AND(E558=16,F558&lt;&gt;"ASTM A416"),L558,0),3)</f>
        <v/>
      </c>
      <c r="T558" s="20">
        <f>ROUND(T557+IF(AND(E558=18,F558&lt;&gt;"ASTM A416"),L558,0),3)</f>
        <v/>
      </c>
      <c r="U558" s="20">
        <f>ROUND(U557+IF(AND(E558=20,F558&lt;&gt;"ASTM A416"),L558,0),3)</f>
        <v/>
      </c>
      <c r="V558" s="20">
        <f>ROUND(V557+IF(AND(E558=22,F558&lt;&gt;"ASTM A416"),L558,0),3)</f>
        <v/>
      </c>
      <c r="W558" s="20">
        <f>ROUND(W557+IF(AND(E558=25,F558&lt;&gt;"ASTM A416"),L558,0),3)</f>
        <v/>
      </c>
      <c r="X558" s="20">
        <f>ROUND(X557+IF(AND(E558=28,F558&lt;&gt;"ASTM A416"),L558,0),3)</f>
        <v/>
      </c>
      <c r="Y558" s="20">
        <f>ROUND(Y557+IF(AND(E558=32,F558&lt;&gt;"ASTM A416"),L558,0),3)</f>
        <v/>
      </c>
      <c r="Z558" s="20">
        <f>ROUND(Z557+IF(F558="ASTM A416",L558,0),3)</f>
        <v/>
      </c>
      <c r="AA558" s="11">
        <f>IF(ROUNDUP(P558/20,0)&gt;ROUNDUP(P557/20,0),"Lần " &amp; ROUNDUP(P558/20,0),"")</f>
        <v/>
      </c>
      <c r="AB558" s="11">
        <f>IF(ROUNDUP(Q558/20,0)&gt;ROUNDUP(Q557/20,0),"Lần " &amp; ROUNDUP(Q558/20,0),"")</f>
        <v/>
      </c>
      <c r="AC558" s="11">
        <f>IF(ROUNDUP(R558/20,0)&gt;ROUNDUP(R557/20,0),"Lần " &amp; ROUNDUP(R558/20,0),"")</f>
        <v/>
      </c>
      <c r="AD558" s="11">
        <f>IF(ROUNDUP(S558/20,0)&gt;ROUNDUP(S557/20,0),"Lần " &amp; ROUNDUP(S558/20,0),"")</f>
        <v/>
      </c>
      <c r="AE558" s="11">
        <f>IF(ROUNDUP(T558/20,0)&gt;ROUNDUP(T557/20,0),"Lần " &amp; ROUNDUP(T558/20,0),"")</f>
        <v/>
      </c>
      <c r="AF558" s="11">
        <f>IF(ROUNDUP(U558/20,0)&gt;ROUNDUP(U557/20,0),"Lần " &amp; ROUNDUP(U558/20,0),"")</f>
        <v/>
      </c>
      <c r="AG558" s="11">
        <f>IF(ROUNDUP(V558/20,0)&gt;ROUNDUP(V557/20,0),"Lần " &amp; ROUNDUP(V558/20,0),"")</f>
        <v/>
      </c>
      <c r="AH558" s="11">
        <f>IF(ROUNDUP(W558/20,0)&gt;ROUNDUP(W557/20,0),"Lần " &amp; ROUNDUP(W558/20,0),"")</f>
        <v/>
      </c>
      <c r="AI558" s="11">
        <f>IF(ROUNDUP(X558/20,0)&gt;ROUNDUP(X557/20,0),"Lần " &amp; ROUNDUP(X558/20,0),"")</f>
        <v/>
      </c>
      <c r="AJ558" s="11">
        <f>IF(ROUNDUP(Y558/20,0)&gt;ROUNDUP(Y557/20,0),"Lần " &amp; ROUNDUP(Y558/20,0),"")</f>
        <v/>
      </c>
      <c r="AK558" s="11">
        <f>IF(ROUNDUP(Z558/20,0)&gt;ROUNDUP(Z557/20,0),"Lần " &amp; ROUNDUP(Z558/20,0),"")</f>
        <v/>
      </c>
      <c r="AL558" s="6" t="n"/>
      <c r="AN558" t="inlineStr">
        <is>
          <t>Coc</t>
        </is>
      </c>
      <c r="AO558" t="n">
        <v>14</v>
      </c>
    </row>
    <row r="559" ht="19" customHeight="1">
      <c r="A559" s="6" t="n">
        <v>532</v>
      </c>
      <c r="B559" s="7" t="inlineStr">
        <is>
          <t>Cọc khoan nhồi C8 Trụ T1 (D1.2m, L=40.0m)</t>
        </is>
      </c>
      <c r="C559" s="7" t="inlineStr">
        <is>
          <t>Cọc trụ T1 L=40m (tr.68)</t>
        </is>
      </c>
      <c r="D559" s="18" t="inlineStr">
        <is>
          <t>P1D</t>
        </is>
      </c>
      <c r="E559" s="19" t="n">
        <v>10</v>
      </c>
      <c r="F559" s="6" t="inlineStr">
        <is>
          <t>CB240-T</t>
        </is>
      </c>
      <c r="G559" s="7" t="inlineStr"/>
      <c r="H559" s="20" t="n">
        <v>19.721</v>
      </c>
      <c r="I559" s="21" t="n">
        <v>1</v>
      </c>
      <c r="J559" s="22" t="n">
        <v>0.617</v>
      </c>
      <c r="K559" s="9">
        <f>ROUND(H559*I559*J559, 2)</f>
        <v/>
      </c>
      <c r="L559" s="23">
        <f>ROUND(K559/1000, 3)</f>
        <v/>
      </c>
      <c r="M559" s="8">
        <f>IF(AO559="","",IF(INDEX(Theo_Doi_Tan_Suat_Be_Tong!$C:$C,AO559)="","",INDEX(Theo_Doi_Tan_Suat_Be_Tong!$C:$C,AO559)-VLOOKUP(AN559,$AQ$2:$AR$7,2,FALSE)))</f>
        <v/>
      </c>
      <c r="N559" s="6" t="n"/>
      <c r="O559" s="24">
        <f>IF(ROUNDUP(P559/20,0)&gt;ROUNDUP(P558/20,0),"TN Ø10 (Lần " &amp; ROUNDUP(P559/20,0) &amp; ")","")</f>
        <v/>
      </c>
      <c r="P559" s="20">
        <f>ROUND(P558+IF(AND(E559&lt;=10,F559&lt;&gt;"ASTM A416"),L559,0),3)</f>
        <v/>
      </c>
      <c r="Q559" s="20">
        <f>ROUND(Q558+IF(AND(E559=12,F559&lt;&gt;"ASTM A416"),L559,0),3)</f>
        <v/>
      </c>
      <c r="R559" s="20">
        <f>ROUND(R558+IF(AND(E559=14,F559&lt;&gt;"ASTM A416"),L559,0),3)</f>
        <v/>
      </c>
      <c r="S559" s="20">
        <f>ROUND(S558+IF(AND(E559=16,F559&lt;&gt;"ASTM A416"),L559,0),3)</f>
        <v/>
      </c>
      <c r="T559" s="20">
        <f>ROUND(T558+IF(AND(E559=18,F559&lt;&gt;"ASTM A416"),L559,0),3)</f>
        <v/>
      </c>
      <c r="U559" s="20">
        <f>ROUND(U558+IF(AND(E559=20,F559&lt;&gt;"ASTM A416"),L559,0),3)</f>
        <v/>
      </c>
      <c r="V559" s="20">
        <f>ROUND(V558+IF(AND(E559=22,F559&lt;&gt;"ASTM A416"),L559,0),3)</f>
        <v/>
      </c>
      <c r="W559" s="20">
        <f>ROUND(W558+IF(AND(E559=25,F559&lt;&gt;"ASTM A416"),L559,0),3)</f>
        <v/>
      </c>
      <c r="X559" s="20">
        <f>ROUND(X558+IF(AND(E559=28,F559&lt;&gt;"ASTM A416"),L559,0),3)</f>
        <v/>
      </c>
      <c r="Y559" s="20">
        <f>ROUND(Y558+IF(AND(E559=32,F559&lt;&gt;"ASTM A416"),L559,0),3)</f>
        <v/>
      </c>
      <c r="Z559" s="20">
        <f>ROUND(Z558+IF(F559="ASTM A416",L559,0),3)</f>
        <v/>
      </c>
      <c r="AA559" s="11">
        <f>IF(ROUNDUP(P559/20,0)&gt;ROUNDUP(P558/20,0),"Lần " &amp; ROUNDUP(P559/20,0),"")</f>
        <v/>
      </c>
      <c r="AB559" s="11">
        <f>IF(ROUNDUP(Q559/20,0)&gt;ROUNDUP(Q558/20,0),"Lần " &amp; ROUNDUP(Q559/20,0),"")</f>
        <v/>
      </c>
      <c r="AC559" s="11">
        <f>IF(ROUNDUP(R559/20,0)&gt;ROUNDUP(R558/20,0),"Lần " &amp; ROUNDUP(R559/20,0),"")</f>
        <v/>
      </c>
      <c r="AD559" s="11">
        <f>IF(ROUNDUP(S559/20,0)&gt;ROUNDUP(S558/20,0),"Lần " &amp; ROUNDUP(S559/20,0),"")</f>
        <v/>
      </c>
      <c r="AE559" s="11">
        <f>IF(ROUNDUP(T559/20,0)&gt;ROUNDUP(T558/20,0),"Lần " &amp; ROUNDUP(T559/20,0),"")</f>
        <v/>
      </c>
      <c r="AF559" s="11">
        <f>IF(ROUNDUP(U559/20,0)&gt;ROUNDUP(U558/20,0),"Lần " &amp; ROUNDUP(U559/20,0),"")</f>
        <v/>
      </c>
      <c r="AG559" s="11">
        <f>IF(ROUNDUP(V559/20,0)&gt;ROUNDUP(V558/20,0),"Lần " &amp; ROUNDUP(V559/20,0),"")</f>
        <v/>
      </c>
      <c r="AH559" s="11">
        <f>IF(ROUNDUP(W559/20,0)&gt;ROUNDUP(W558/20,0),"Lần " &amp; ROUNDUP(W559/20,0),"")</f>
        <v/>
      </c>
      <c r="AI559" s="11">
        <f>IF(ROUNDUP(X559/20,0)&gt;ROUNDUP(X558/20,0),"Lần " &amp; ROUNDUP(X559/20,0),"")</f>
        <v/>
      </c>
      <c r="AJ559" s="11">
        <f>IF(ROUNDUP(Y559/20,0)&gt;ROUNDUP(Y558/20,0),"Lần " &amp; ROUNDUP(Y559/20,0),"")</f>
        <v/>
      </c>
      <c r="AK559" s="11">
        <f>IF(ROUNDUP(Z559/20,0)&gt;ROUNDUP(Z558/20,0),"Lần " &amp; ROUNDUP(Z559/20,0),"")</f>
        <v/>
      </c>
      <c r="AL559" s="6" t="n"/>
      <c r="AN559" t="inlineStr">
        <is>
          <t>Coc</t>
        </is>
      </c>
      <c r="AO559" t="n">
        <v>14</v>
      </c>
    </row>
    <row r="560" ht="19" customHeight="1">
      <c r="A560" s="6" t="n">
        <v>533</v>
      </c>
      <c r="B560" s="7" t="inlineStr">
        <is>
          <t>Cọc khoan nhồi C8 Trụ T1 (D1.2m, L=40.0m)</t>
        </is>
      </c>
      <c r="C560" s="7" t="inlineStr">
        <is>
          <t>Cọc trụ T1 L=40m (tr.68)</t>
        </is>
      </c>
      <c r="D560" s="18" t="inlineStr">
        <is>
          <t>P2B</t>
        </is>
      </c>
      <c r="E560" s="19" t="n">
        <v>25</v>
      </c>
      <c r="F560" s="6" t="inlineStr">
        <is>
          <t>CB400-V</t>
        </is>
      </c>
      <c r="G560" s="7" t="inlineStr"/>
      <c r="H560" s="20" t="n">
        <v>2.985</v>
      </c>
      <c r="I560" s="21" t="n">
        <v>16</v>
      </c>
      <c r="J560" s="22" t="n">
        <v>3.853</v>
      </c>
      <c r="K560" s="9">
        <f>ROUND(H560*I560*J560, 2)</f>
        <v/>
      </c>
      <c r="L560" s="23">
        <f>ROUND(K560/1000, 3)</f>
        <v/>
      </c>
      <c r="M560" s="8">
        <f>IF(AO560="","",IF(INDEX(Theo_Doi_Tan_Suat_Be_Tong!$C:$C,AO560)="","",INDEX(Theo_Doi_Tan_Suat_Be_Tong!$C:$C,AO560)-VLOOKUP(AN560,$AQ$2:$AR$7,2,FALSE)))</f>
        <v/>
      </c>
      <c r="N560" s="6" t="n"/>
      <c r="O560" s="24">
        <f>IF(ROUNDUP(W560/20,0)&gt;ROUNDUP(W559/20,0),"TN Ø25 (Lần " &amp; ROUNDUP(W560/20,0) &amp; ")","")</f>
        <v/>
      </c>
      <c r="P560" s="20">
        <f>ROUND(P559+IF(AND(E560&lt;=10,F560&lt;&gt;"ASTM A416"),L560,0),3)</f>
        <v/>
      </c>
      <c r="Q560" s="20">
        <f>ROUND(Q559+IF(AND(E560=12,F560&lt;&gt;"ASTM A416"),L560,0),3)</f>
        <v/>
      </c>
      <c r="R560" s="20">
        <f>ROUND(R559+IF(AND(E560=14,F560&lt;&gt;"ASTM A416"),L560,0),3)</f>
        <v/>
      </c>
      <c r="S560" s="20">
        <f>ROUND(S559+IF(AND(E560=16,F560&lt;&gt;"ASTM A416"),L560,0),3)</f>
        <v/>
      </c>
      <c r="T560" s="20">
        <f>ROUND(T559+IF(AND(E560=18,F560&lt;&gt;"ASTM A416"),L560,0),3)</f>
        <v/>
      </c>
      <c r="U560" s="20">
        <f>ROUND(U559+IF(AND(E560=20,F560&lt;&gt;"ASTM A416"),L560,0),3)</f>
        <v/>
      </c>
      <c r="V560" s="20">
        <f>ROUND(V559+IF(AND(E560=22,F560&lt;&gt;"ASTM A416"),L560,0),3)</f>
        <v/>
      </c>
      <c r="W560" s="20">
        <f>ROUND(W559+IF(AND(E560=25,F560&lt;&gt;"ASTM A416"),L560,0),3)</f>
        <v/>
      </c>
      <c r="X560" s="20">
        <f>ROUND(X559+IF(AND(E560=28,F560&lt;&gt;"ASTM A416"),L560,0),3)</f>
        <v/>
      </c>
      <c r="Y560" s="20">
        <f>ROUND(Y559+IF(AND(E560=32,F560&lt;&gt;"ASTM A416"),L560,0),3)</f>
        <v/>
      </c>
      <c r="Z560" s="20">
        <f>ROUND(Z559+IF(F560="ASTM A416",L560,0),3)</f>
        <v/>
      </c>
      <c r="AA560" s="11">
        <f>IF(ROUNDUP(P560/20,0)&gt;ROUNDUP(P559/20,0),"Lần " &amp; ROUNDUP(P560/20,0),"")</f>
        <v/>
      </c>
      <c r="AB560" s="11">
        <f>IF(ROUNDUP(Q560/20,0)&gt;ROUNDUP(Q559/20,0),"Lần " &amp; ROUNDUP(Q560/20,0),"")</f>
        <v/>
      </c>
      <c r="AC560" s="11">
        <f>IF(ROUNDUP(R560/20,0)&gt;ROUNDUP(R559/20,0),"Lần " &amp; ROUNDUP(R560/20,0),"")</f>
        <v/>
      </c>
      <c r="AD560" s="11">
        <f>IF(ROUNDUP(S560/20,0)&gt;ROUNDUP(S559/20,0),"Lần " &amp; ROUNDUP(S560/20,0),"")</f>
        <v/>
      </c>
      <c r="AE560" s="11">
        <f>IF(ROUNDUP(T560/20,0)&gt;ROUNDUP(T559/20,0),"Lần " &amp; ROUNDUP(T560/20,0),"")</f>
        <v/>
      </c>
      <c r="AF560" s="11">
        <f>IF(ROUNDUP(U560/20,0)&gt;ROUNDUP(U559/20,0),"Lần " &amp; ROUNDUP(U560/20,0),"")</f>
        <v/>
      </c>
      <c r="AG560" s="11">
        <f>IF(ROUNDUP(V560/20,0)&gt;ROUNDUP(V559/20,0),"Lần " &amp; ROUNDUP(V560/20,0),"")</f>
        <v/>
      </c>
      <c r="AH560" s="11">
        <f>IF(ROUNDUP(W560/20,0)&gt;ROUNDUP(W559/20,0),"Lần " &amp; ROUNDUP(W560/20,0),"")</f>
        <v/>
      </c>
      <c r="AI560" s="11">
        <f>IF(ROUNDUP(X560/20,0)&gt;ROUNDUP(X559/20,0),"Lần " &amp; ROUNDUP(X560/20,0),"")</f>
        <v/>
      </c>
      <c r="AJ560" s="11">
        <f>IF(ROUNDUP(Y560/20,0)&gt;ROUNDUP(Y559/20,0),"Lần " &amp; ROUNDUP(Y560/20,0),"")</f>
        <v/>
      </c>
      <c r="AK560" s="11">
        <f>IF(ROUNDUP(Z560/20,0)&gt;ROUNDUP(Z559/20,0),"Lần " &amp; ROUNDUP(Z560/20,0),"")</f>
        <v/>
      </c>
      <c r="AL560" s="6" t="n"/>
      <c r="AN560" t="inlineStr">
        <is>
          <t>Coc</t>
        </is>
      </c>
      <c r="AO560" t="n">
        <v>14</v>
      </c>
    </row>
    <row r="561" ht="19" customHeight="1">
      <c r="A561" s="6" t="n">
        <v>534</v>
      </c>
      <c r="B561" s="7" t="inlineStr">
        <is>
          <t>Cọc khoan nhồi C8 Trụ T1 (D1.2m, L=40.0m)</t>
        </is>
      </c>
      <c r="C561" s="7" t="inlineStr">
        <is>
          <t>Cọc trụ T1 L=40m (tr.68)</t>
        </is>
      </c>
      <c r="D561" s="18" t="inlineStr">
        <is>
          <t>P3</t>
        </is>
      </c>
      <c r="E561" s="19" t="n">
        <v>25</v>
      </c>
      <c r="F561" s="6" t="inlineStr">
        <is>
          <t>CB400-V</t>
        </is>
      </c>
      <c r="G561" s="7" t="inlineStr"/>
      <c r="H561" s="20" t="n">
        <v>10.7</v>
      </c>
      <c r="I561" s="21" t="n">
        <v>12</v>
      </c>
      <c r="J561" s="22" t="n">
        <v>3.853</v>
      </c>
      <c r="K561" s="9">
        <f>ROUND(H561*I561*J561, 2)</f>
        <v/>
      </c>
      <c r="L561" s="23">
        <f>ROUND(K561/1000, 3)</f>
        <v/>
      </c>
      <c r="M561" s="8">
        <f>IF(AO561="","",IF(INDEX(Theo_Doi_Tan_Suat_Be_Tong!$C:$C,AO561)="","",INDEX(Theo_Doi_Tan_Suat_Be_Tong!$C:$C,AO561)-VLOOKUP(AN561,$AQ$2:$AR$7,2,FALSE)))</f>
        <v/>
      </c>
      <c r="N561" s="6" t="n"/>
      <c r="O561" s="24">
        <f>IF(ROUNDUP(W561/20,0)&gt;ROUNDUP(W560/20,0),"TN Ø25 (Lần " &amp; ROUNDUP(W561/20,0) &amp; ")","")</f>
        <v/>
      </c>
      <c r="P561" s="20">
        <f>ROUND(P560+IF(AND(E561&lt;=10,F561&lt;&gt;"ASTM A416"),L561,0),3)</f>
        <v/>
      </c>
      <c r="Q561" s="20">
        <f>ROUND(Q560+IF(AND(E561=12,F561&lt;&gt;"ASTM A416"),L561,0),3)</f>
        <v/>
      </c>
      <c r="R561" s="20">
        <f>ROUND(R560+IF(AND(E561=14,F561&lt;&gt;"ASTM A416"),L561,0),3)</f>
        <v/>
      </c>
      <c r="S561" s="20">
        <f>ROUND(S560+IF(AND(E561=16,F561&lt;&gt;"ASTM A416"),L561,0),3)</f>
        <v/>
      </c>
      <c r="T561" s="20">
        <f>ROUND(T560+IF(AND(E561=18,F561&lt;&gt;"ASTM A416"),L561,0),3)</f>
        <v/>
      </c>
      <c r="U561" s="20">
        <f>ROUND(U560+IF(AND(E561=20,F561&lt;&gt;"ASTM A416"),L561,0),3)</f>
        <v/>
      </c>
      <c r="V561" s="20">
        <f>ROUND(V560+IF(AND(E561=22,F561&lt;&gt;"ASTM A416"),L561,0),3)</f>
        <v/>
      </c>
      <c r="W561" s="20">
        <f>ROUND(W560+IF(AND(E561=25,F561&lt;&gt;"ASTM A416"),L561,0),3)</f>
        <v/>
      </c>
      <c r="X561" s="20">
        <f>ROUND(X560+IF(AND(E561=28,F561&lt;&gt;"ASTM A416"),L561,0),3)</f>
        <v/>
      </c>
      <c r="Y561" s="20">
        <f>ROUND(Y560+IF(AND(E561=32,F561&lt;&gt;"ASTM A416"),L561,0),3)</f>
        <v/>
      </c>
      <c r="Z561" s="20">
        <f>ROUND(Z560+IF(F561="ASTM A416",L561,0),3)</f>
        <v/>
      </c>
      <c r="AA561" s="11">
        <f>IF(ROUNDUP(P561/20,0)&gt;ROUNDUP(P560/20,0),"Lần " &amp; ROUNDUP(P561/20,0),"")</f>
        <v/>
      </c>
      <c r="AB561" s="11">
        <f>IF(ROUNDUP(Q561/20,0)&gt;ROUNDUP(Q560/20,0),"Lần " &amp; ROUNDUP(Q561/20,0),"")</f>
        <v/>
      </c>
      <c r="AC561" s="11">
        <f>IF(ROUNDUP(R561/20,0)&gt;ROUNDUP(R560/20,0),"Lần " &amp; ROUNDUP(R561/20,0),"")</f>
        <v/>
      </c>
      <c r="AD561" s="11">
        <f>IF(ROUNDUP(S561/20,0)&gt;ROUNDUP(S560/20,0),"Lần " &amp; ROUNDUP(S561/20,0),"")</f>
        <v/>
      </c>
      <c r="AE561" s="11">
        <f>IF(ROUNDUP(T561/20,0)&gt;ROUNDUP(T560/20,0),"Lần " &amp; ROUNDUP(T561/20,0),"")</f>
        <v/>
      </c>
      <c r="AF561" s="11">
        <f>IF(ROUNDUP(U561/20,0)&gt;ROUNDUP(U560/20,0),"Lần " &amp; ROUNDUP(U561/20,0),"")</f>
        <v/>
      </c>
      <c r="AG561" s="11">
        <f>IF(ROUNDUP(V561/20,0)&gt;ROUNDUP(V560/20,0),"Lần " &amp; ROUNDUP(V561/20,0),"")</f>
        <v/>
      </c>
      <c r="AH561" s="11">
        <f>IF(ROUNDUP(W561/20,0)&gt;ROUNDUP(W560/20,0),"Lần " &amp; ROUNDUP(W561/20,0),"")</f>
        <v/>
      </c>
      <c r="AI561" s="11">
        <f>IF(ROUNDUP(X561/20,0)&gt;ROUNDUP(X560/20,0),"Lần " &amp; ROUNDUP(X561/20,0),"")</f>
        <v/>
      </c>
      <c r="AJ561" s="11">
        <f>IF(ROUNDUP(Y561/20,0)&gt;ROUNDUP(Y560/20,0),"Lần " &amp; ROUNDUP(Y561/20,0),"")</f>
        <v/>
      </c>
      <c r="AK561" s="11">
        <f>IF(ROUNDUP(Z561/20,0)&gt;ROUNDUP(Z560/20,0),"Lần " &amp; ROUNDUP(Z561/20,0),"")</f>
        <v/>
      </c>
      <c r="AL561" s="6" t="n"/>
      <c r="AN561" t="inlineStr">
        <is>
          <t>Coc</t>
        </is>
      </c>
      <c r="AO561" t="n">
        <v>14</v>
      </c>
    </row>
    <row r="562" ht="19" customHeight="1">
      <c r="A562" s="6" t="n">
        <v>535</v>
      </c>
      <c r="B562" s="7" t="inlineStr">
        <is>
          <t>Cọc khoan nhồi C8 Trụ T1 (D1.2m, L=40.0m)</t>
        </is>
      </c>
      <c r="C562" s="7" t="inlineStr">
        <is>
          <t>Cọc trụ T1 L=40m (tr.68)</t>
        </is>
      </c>
      <c r="D562" s="18" t="inlineStr">
        <is>
          <t>P4</t>
        </is>
      </c>
      <c r="E562" s="19" t="n">
        <v>25</v>
      </c>
      <c r="F562" s="6" t="inlineStr">
        <is>
          <t>CB400-V</t>
        </is>
      </c>
      <c r="G562" s="7" t="inlineStr"/>
      <c r="H562" s="20" t="n">
        <v>11.7</v>
      </c>
      <c r="I562" s="21" t="n">
        <v>60</v>
      </c>
      <c r="J562" s="22" t="n">
        <v>3.853</v>
      </c>
      <c r="K562" s="9">
        <f>ROUND(H562*I562*J562, 2)</f>
        <v/>
      </c>
      <c r="L562" s="23">
        <f>ROUND(K562/1000, 3)</f>
        <v/>
      </c>
      <c r="M562" s="8">
        <f>IF(AO562="","",IF(INDEX(Theo_Doi_Tan_Suat_Be_Tong!$C:$C,AO562)="","",INDEX(Theo_Doi_Tan_Suat_Be_Tong!$C:$C,AO562)-VLOOKUP(AN562,$AQ$2:$AR$7,2,FALSE)))</f>
        <v/>
      </c>
      <c r="N562" s="6" t="n"/>
      <c r="O562" s="24">
        <f>IF(ROUNDUP(W562/20,0)&gt;ROUNDUP(W561/20,0),"TN Ø25 (Lần " &amp; ROUNDUP(W562/20,0) &amp; ")","")</f>
        <v/>
      </c>
      <c r="P562" s="20">
        <f>ROUND(P561+IF(AND(E562&lt;=10,F562&lt;&gt;"ASTM A416"),L562,0),3)</f>
        <v/>
      </c>
      <c r="Q562" s="20">
        <f>ROUND(Q561+IF(AND(E562=12,F562&lt;&gt;"ASTM A416"),L562,0),3)</f>
        <v/>
      </c>
      <c r="R562" s="20">
        <f>ROUND(R561+IF(AND(E562=14,F562&lt;&gt;"ASTM A416"),L562,0),3)</f>
        <v/>
      </c>
      <c r="S562" s="20">
        <f>ROUND(S561+IF(AND(E562=16,F562&lt;&gt;"ASTM A416"),L562,0),3)</f>
        <v/>
      </c>
      <c r="T562" s="20">
        <f>ROUND(T561+IF(AND(E562=18,F562&lt;&gt;"ASTM A416"),L562,0),3)</f>
        <v/>
      </c>
      <c r="U562" s="20">
        <f>ROUND(U561+IF(AND(E562=20,F562&lt;&gt;"ASTM A416"),L562,0),3)</f>
        <v/>
      </c>
      <c r="V562" s="20">
        <f>ROUND(V561+IF(AND(E562=22,F562&lt;&gt;"ASTM A416"),L562,0),3)</f>
        <v/>
      </c>
      <c r="W562" s="20">
        <f>ROUND(W561+IF(AND(E562=25,F562&lt;&gt;"ASTM A416"),L562,0),3)</f>
        <v/>
      </c>
      <c r="X562" s="20">
        <f>ROUND(X561+IF(AND(E562=28,F562&lt;&gt;"ASTM A416"),L562,0),3)</f>
        <v/>
      </c>
      <c r="Y562" s="20">
        <f>ROUND(Y561+IF(AND(E562=32,F562&lt;&gt;"ASTM A416"),L562,0),3)</f>
        <v/>
      </c>
      <c r="Z562" s="20">
        <f>ROUND(Z561+IF(F562="ASTM A416",L562,0),3)</f>
        <v/>
      </c>
      <c r="AA562" s="11">
        <f>IF(ROUNDUP(P562/20,0)&gt;ROUNDUP(P561/20,0),"Lần " &amp; ROUNDUP(P562/20,0),"")</f>
        <v/>
      </c>
      <c r="AB562" s="11">
        <f>IF(ROUNDUP(Q562/20,0)&gt;ROUNDUP(Q561/20,0),"Lần " &amp; ROUNDUP(Q562/20,0),"")</f>
        <v/>
      </c>
      <c r="AC562" s="11">
        <f>IF(ROUNDUP(R562/20,0)&gt;ROUNDUP(R561/20,0),"Lần " &amp; ROUNDUP(R562/20,0),"")</f>
        <v/>
      </c>
      <c r="AD562" s="11">
        <f>IF(ROUNDUP(S562/20,0)&gt;ROUNDUP(S561/20,0),"Lần " &amp; ROUNDUP(S562/20,0),"")</f>
        <v/>
      </c>
      <c r="AE562" s="11">
        <f>IF(ROUNDUP(T562/20,0)&gt;ROUNDUP(T561/20,0),"Lần " &amp; ROUNDUP(T562/20,0),"")</f>
        <v/>
      </c>
      <c r="AF562" s="11">
        <f>IF(ROUNDUP(U562/20,0)&gt;ROUNDUP(U561/20,0),"Lần " &amp; ROUNDUP(U562/20,0),"")</f>
        <v/>
      </c>
      <c r="AG562" s="11">
        <f>IF(ROUNDUP(V562/20,0)&gt;ROUNDUP(V561/20,0),"Lần " &amp; ROUNDUP(V562/20,0),"")</f>
        <v/>
      </c>
      <c r="AH562" s="11">
        <f>IF(ROUNDUP(W562/20,0)&gt;ROUNDUP(W561/20,0),"Lần " &amp; ROUNDUP(W562/20,0),"")</f>
        <v/>
      </c>
      <c r="AI562" s="11">
        <f>IF(ROUNDUP(X562/20,0)&gt;ROUNDUP(X561/20,0),"Lần " &amp; ROUNDUP(X562/20,0),"")</f>
        <v/>
      </c>
      <c r="AJ562" s="11">
        <f>IF(ROUNDUP(Y562/20,0)&gt;ROUNDUP(Y561/20,0),"Lần " &amp; ROUNDUP(Y562/20,0),"")</f>
        <v/>
      </c>
      <c r="AK562" s="11">
        <f>IF(ROUNDUP(Z562/20,0)&gt;ROUNDUP(Z561/20,0),"Lần " &amp; ROUNDUP(Z562/20,0),"")</f>
        <v/>
      </c>
      <c r="AL562" s="6" t="n"/>
      <c r="AN562" t="inlineStr">
        <is>
          <t>Coc</t>
        </is>
      </c>
      <c r="AO562" t="n">
        <v>14</v>
      </c>
    </row>
    <row r="563" ht="19" customHeight="1">
      <c r="A563" s="6" t="n">
        <v>536</v>
      </c>
      <c r="B563" s="7" t="inlineStr">
        <is>
          <t>Cọc khoan nhồi C8 Trụ T1 (D1.2m, L=40.0m)</t>
        </is>
      </c>
      <c r="C563" s="7" t="inlineStr">
        <is>
          <t>Cọc trụ T1 L=40m (tr.68)</t>
        </is>
      </c>
      <c r="D563" s="18" t="inlineStr">
        <is>
          <t>P6</t>
        </is>
      </c>
      <c r="E563" s="19" t="n">
        <v>25</v>
      </c>
      <c r="F563" s="6" t="inlineStr">
        <is>
          <t>CB400-V</t>
        </is>
      </c>
      <c r="G563" s="7" t="inlineStr"/>
      <c r="H563" s="20" t="n">
        <v>9.032999999999999</v>
      </c>
      <c r="I563" s="21" t="n">
        <v>12</v>
      </c>
      <c r="J563" s="22" t="n">
        <v>3.853</v>
      </c>
      <c r="K563" s="9">
        <f>ROUND(H563*I563*J563, 2)</f>
        <v/>
      </c>
      <c r="L563" s="23">
        <f>ROUND(K563/1000, 3)</f>
        <v/>
      </c>
      <c r="M563" s="8">
        <f>IF(AO563="","",IF(INDEX(Theo_Doi_Tan_Suat_Be_Tong!$C:$C,AO563)="","",INDEX(Theo_Doi_Tan_Suat_Be_Tong!$C:$C,AO563)-VLOOKUP(AN563,$AQ$2:$AR$7,2,FALSE)))</f>
        <v/>
      </c>
      <c r="N563" s="6" t="n"/>
      <c r="O563" s="24">
        <f>IF(ROUNDUP(W563/20,0)&gt;ROUNDUP(W562/20,0),"TN Ø25 (Lần " &amp; ROUNDUP(W563/20,0) &amp; ")","")</f>
        <v/>
      </c>
      <c r="P563" s="20">
        <f>ROUND(P562+IF(AND(E563&lt;=10,F563&lt;&gt;"ASTM A416"),L563,0),3)</f>
        <v/>
      </c>
      <c r="Q563" s="20">
        <f>ROUND(Q562+IF(AND(E563=12,F563&lt;&gt;"ASTM A416"),L563,0),3)</f>
        <v/>
      </c>
      <c r="R563" s="20">
        <f>ROUND(R562+IF(AND(E563=14,F563&lt;&gt;"ASTM A416"),L563,0),3)</f>
        <v/>
      </c>
      <c r="S563" s="20">
        <f>ROUND(S562+IF(AND(E563=16,F563&lt;&gt;"ASTM A416"),L563,0),3)</f>
        <v/>
      </c>
      <c r="T563" s="20">
        <f>ROUND(T562+IF(AND(E563=18,F563&lt;&gt;"ASTM A416"),L563,0),3)</f>
        <v/>
      </c>
      <c r="U563" s="20">
        <f>ROUND(U562+IF(AND(E563=20,F563&lt;&gt;"ASTM A416"),L563,0),3)</f>
        <v/>
      </c>
      <c r="V563" s="20">
        <f>ROUND(V562+IF(AND(E563=22,F563&lt;&gt;"ASTM A416"),L563,0),3)</f>
        <v/>
      </c>
      <c r="W563" s="20">
        <f>ROUND(W562+IF(AND(E563=25,F563&lt;&gt;"ASTM A416"),L563,0),3)</f>
        <v/>
      </c>
      <c r="X563" s="20">
        <f>ROUND(X562+IF(AND(E563=28,F563&lt;&gt;"ASTM A416"),L563,0),3)</f>
        <v/>
      </c>
      <c r="Y563" s="20">
        <f>ROUND(Y562+IF(AND(E563=32,F563&lt;&gt;"ASTM A416"),L563,0),3)</f>
        <v/>
      </c>
      <c r="Z563" s="20">
        <f>ROUND(Z562+IF(F563="ASTM A416",L563,0),3)</f>
        <v/>
      </c>
      <c r="AA563" s="11">
        <f>IF(ROUNDUP(P563/20,0)&gt;ROUNDUP(P562/20,0),"Lần " &amp; ROUNDUP(P563/20,0),"")</f>
        <v/>
      </c>
      <c r="AB563" s="11">
        <f>IF(ROUNDUP(Q563/20,0)&gt;ROUNDUP(Q562/20,0),"Lần " &amp; ROUNDUP(Q563/20,0),"")</f>
        <v/>
      </c>
      <c r="AC563" s="11">
        <f>IF(ROUNDUP(R563/20,0)&gt;ROUNDUP(R562/20,0),"Lần " &amp; ROUNDUP(R563/20,0),"")</f>
        <v/>
      </c>
      <c r="AD563" s="11">
        <f>IF(ROUNDUP(S563/20,0)&gt;ROUNDUP(S562/20,0),"Lần " &amp; ROUNDUP(S563/20,0),"")</f>
        <v/>
      </c>
      <c r="AE563" s="11">
        <f>IF(ROUNDUP(T563/20,0)&gt;ROUNDUP(T562/20,0),"Lần " &amp; ROUNDUP(T563/20,0),"")</f>
        <v/>
      </c>
      <c r="AF563" s="11">
        <f>IF(ROUNDUP(U563/20,0)&gt;ROUNDUP(U562/20,0),"Lần " &amp; ROUNDUP(U563/20,0),"")</f>
        <v/>
      </c>
      <c r="AG563" s="11">
        <f>IF(ROUNDUP(V563/20,0)&gt;ROUNDUP(V562/20,0),"Lần " &amp; ROUNDUP(V563/20,0),"")</f>
        <v/>
      </c>
      <c r="AH563" s="11">
        <f>IF(ROUNDUP(W563/20,0)&gt;ROUNDUP(W562/20,0),"Lần " &amp; ROUNDUP(W563/20,0),"")</f>
        <v/>
      </c>
      <c r="AI563" s="11">
        <f>IF(ROUNDUP(X563/20,0)&gt;ROUNDUP(X562/20,0),"Lần " &amp; ROUNDUP(X563/20,0),"")</f>
        <v/>
      </c>
      <c r="AJ563" s="11">
        <f>IF(ROUNDUP(Y563/20,0)&gt;ROUNDUP(Y562/20,0),"Lần " &amp; ROUNDUP(Y563/20,0),"")</f>
        <v/>
      </c>
      <c r="AK563" s="11">
        <f>IF(ROUNDUP(Z563/20,0)&gt;ROUNDUP(Z562/20,0),"Lần " &amp; ROUNDUP(Z563/20,0),"")</f>
        <v/>
      </c>
      <c r="AL563" s="6" t="n"/>
      <c r="AN563" t="inlineStr">
        <is>
          <t>Coc</t>
        </is>
      </c>
      <c r="AO563" t="n">
        <v>14</v>
      </c>
    </row>
    <row r="564" ht="19" customHeight="1">
      <c r="A564" s="6" t="n">
        <v>537</v>
      </c>
      <c r="B564" s="7" t="inlineStr">
        <is>
          <t>Cọc khoan nhồi C8 Trụ T1 (D1.2m, L=40.0m)</t>
        </is>
      </c>
      <c r="C564" s="7" t="inlineStr">
        <is>
          <t>Cọc trụ T1 L=40m (tr.68)</t>
        </is>
      </c>
      <c r="D564" s="18" t="inlineStr">
        <is>
          <t>P7</t>
        </is>
      </c>
      <c r="E564" s="19" t="n">
        <v>25</v>
      </c>
      <c r="F564" s="6" t="inlineStr">
        <is>
          <t>CB400-V</t>
        </is>
      </c>
      <c r="G564" s="7" t="inlineStr"/>
      <c r="H564" s="20" t="n">
        <v>10.033</v>
      </c>
      <c r="I564" s="21" t="n">
        <v>12</v>
      </c>
      <c r="J564" s="22" t="n">
        <v>3.853</v>
      </c>
      <c r="K564" s="9">
        <f>ROUND(H564*I564*J564, 2)</f>
        <v/>
      </c>
      <c r="L564" s="23">
        <f>ROUND(K564/1000, 3)</f>
        <v/>
      </c>
      <c r="M564" s="8">
        <f>IF(AO564="","",IF(INDEX(Theo_Doi_Tan_Suat_Be_Tong!$C:$C,AO564)="","",INDEX(Theo_Doi_Tan_Suat_Be_Tong!$C:$C,AO564)-VLOOKUP(AN564,$AQ$2:$AR$7,2,FALSE)))</f>
        <v/>
      </c>
      <c r="N564" s="6" t="n"/>
      <c r="O564" s="24">
        <f>IF(ROUNDUP(W564/20,0)&gt;ROUNDUP(W563/20,0),"TN Ø25 (Lần " &amp; ROUNDUP(W564/20,0) &amp; ")","")</f>
        <v/>
      </c>
      <c r="P564" s="20">
        <f>ROUND(P563+IF(AND(E564&lt;=10,F564&lt;&gt;"ASTM A416"),L564,0),3)</f>
        <v/>
      </c>
      <c r="Q564" s="20">
        <f>ROUND(Q563+IF(AND(E564=12,F564&lt;&gt;"ASTM A416"),L564,0),3)</f>
        <v/>
      </c>
      <c r="R564" s="20">
        <f>ROUND(R563+IF(AND(E564=14,F564&lt;&gt;"ASTM A416"),L564,0),3)</f>
        <v/>
      </c>
      <c r="S564" s="20">
        <f>ROUND(S563+IF(AND(E564=16,F564&lt;&gt;"ASTM A416"),L564,0),3)</f>
        <v/>
      </c>
      <c r="T564" s="20">
        <f>ROUND(T563+IF(AND(E564=18,F564&lt;&gt;"ASTM A416"),L564,0),3)</f>
        <v/>
      </c>
      <c r="U564" s="20">
        <f>ROUND(U563+IF(AND(E564=20,F564&lt;&gt;"ASTM A416"),L564,0),3)</f>
        <v/>
      </c>
      <c r="V564" s="20">
        <f>ROUND(V563+IF(AND(E564=22,F564&lt;&gt;"ASTM A416"),L564,0),3)</f>
        <v/>
      </c>
      <c r="W564" s="20">
        <f>ROUND(W563+IF(AND(E564=25,F564&lt;&gt;"ASTM A416"),L564,0),3)</f>
        <v/>
      </c>
      <c r="X564" s="20">
        <f>ROUND(X563+IF(AND(E564=28,F564&lt;&gt;"ASTM A416"),L564,0),3)</f>
        <v/>
      </c>
      <c r="Y564" s="20">
        <f>ROUND(Y563+IF(AND(E564=32,F564&lt;&gt;"ASTM A416"),L564,0),3)</f>
        <v/>
      </c>
      <c r="Z564" s="20">
        <f>ROUND(Z563+IF(F564="ASTM A416",L564,0),3)</f>
        <v/>
      </c>
      <c r="AA564" s="11">
        <f>IF(ROUNDUP(P564/20,0)&gt;ROUNDUP(P563/20,0),"Lần " &amp; ROUNDUP(P564/20,0),"")</f>
        <v/>
      </c>
      <c r="AB564" s="11">
        <f>IF(ROUNDUP(Q564/20,0)&gt;ROUNDUP(Q563/20,0),"Lần " &amp; ROUNDUP(Q564/20,0),"")</f>
        <v/>
      </c>
      <c r="AC564" s="11">
        <f>IF(ROUNDUP(R564/20,0)&gt;ROUNDUP(R563/20,0),"Lần " &amp; ROUNDUP(R564/20,0),"")</f>
        <v/>
      </c>
      <c r="AD564" s="11">
        <f>IF(ROUNDUP(S564/20,0)&gt;ROUNDUP(S563/20,0),"Lần " &amp; ROUNDUP(S564/20,0),"")</f>
        <v/>
      </c>
      <c r="AE564" s="11">
        <f>IF(ROUNDUP(T564/20,0)&gt;ROUNDUP(T563/20,0),"Lần " &amp; ROUNDUP(T564/20,0),"")</f>
        <v/>
      </c>
      <c r="AF564" s="11">
        <f>IF(ROUNDUP(U564/20,0)&gt;ROUNDUP(U563/20,0),"Lần " &amp; ROUNDUP(U564/20,0),"")</f>
        <v/>
      </c>
      <c r="AG564" s="11">
        <f>IF(ROUNDUP(V564/20,0)&gt;ROUNDUP(V563/20,0),"Lần " &amp; ROUNDUP(V564/20,0),"")</f>
        <v/>
      </c>
      <c r="AH564" s="11">
        <f>IF(ROUNDUP(W564/20,0)&gt;ROUNDUP(W563/20,0),"Lần " &amp; ROUNDUP(W564/20,0),"")</f>
        <v/>
      </c>
      <c r="AI564" s="11">
        <f>IF(ROUNDUP(X564/20,0)&gt;ROUNDUP(X563/20,0),"Lần " &amp; ROUNDUP(X564/20,0),"")</f>
        <v/>
      </c>
      <c r="AJ564" s="11">
        <f>IF(ROUNDUP(Y564/20,0)&gt;ROUNDUP(Y563/20,0),"Lần " &amp; ROUNDUP(Y564/20,0),"")</f>
        <v/>
      </c>
      <c r="AK564" s="11">
        <f>IF(ROUNDUP(Z564/20,0)&gt;ROUNDUP(Z563/20,0),"Lần " &amp; ROUNDUP(Z564/20,0),"")</f>
        <v/>
      </c>
      <c r="AL564" s="6" t="n"/>
      <c r="AN564" t="inlineStr">
        <is>
          <t>Coc</t>
        </is>
      </c>
      <c r="AO564" t="n">
        <v>14</v>
      </c>
    </row>
    <row r="565" ht="19" customHeight="1">
      <c r="A565" s="6" t="n">
        <v>538</v>
      </c>
      <c r="B565" s="7" t="inlineStr">
        <is>
          <t>Cọc khoan nhồi C8 Trụ T1 (D1.2m, L=40.0m)</t>
        </is>
      </c>
      <c r="C565" s="7" t="inlineStr">
        <is>
          <t>Cọc trụ T1 L=40m (tr.68)</t>
        </is>
      </c>
      <c r="D565" s="18" t="inlineStr">
        <is>
          <t>P8</t>
        </is>
      </c>
      <c r="E565" s="19" t="n">
        <v>12</v>
      </c>
      <c r="F565" s="6" t="inlineStr">
        <is>
          <t>CB400-V</t>
        </is>
      </c>
      <c r="G565" s="7" t="inlineStr"/>
      <c r="H565" s="20" t="n">
        <v>0.647</v>
      </c>
      <c r="I565" s="21" t="n">
        <v>16</v>
      </c>
      <c r="J565" s="22" t="n">
        <v>0.888</v>
      </c>
      <c r="K565" s="9">
        <f>ROUND(H565*I565*J565, 2)</f>
        <v/>
      </c>
      <c r="L565" s="23">
        <f>ROUND(K565/1000, 3)</f>
        <v/>
      </c>
      <c r="M565" s="8">
        <f>IF(AO565="","",IF(INDEX(Theo_Doi_Tan_Suat_Be_Tong!$C:$C,AO565)="","",INDEX(Theo_Doi_Tan_Suat_Be_Tong!$C:$C,AO565)-VLOOKUP(AN565,$AQ$2:$AR$7,2,FALSE)))</f>
        <v/>
      </c>
      <c r="N565" s="6" t="n"/>
      <c r="O565" s="24">
        <f>IF(ROUNDUP(Q565/20,0)&gt;ROUNDUP(Q564/20,0),"TN Ø12 (Lần " &amp; ROUNDUP(Q565/20,0) &amp; ")","")</f>
        <v/>
      </c>
      <c r="P565" s="20">
        <f>ROUND(P564+IF(AND(E565&lt;=10,F565&lt;&gt;"ASTM A416"),L565,0),3)</f>
        <v/>
      </c>
      <c r="Q565" s="20">
        <f>ROUND(Q564+IF(AND(E565=12,F565&lt;&gt;"ASTM A416"),L565,0),3)</f>
        <v/>
      </c>
      <c r="R565" s="20">
        <f>ROUND(R564+IF(AND(E565=14,F565&lt;&gt;"ASTM A416"),L565,0),3)</f>
        <v/>
      </c>
      <c r="S565" s="20">
        <f>ROUND(S564+IF(AND(E565=16,F565&lt;&gt;"ASTM A416"),L565,0),3)</f>
        <v/>
      </c>
      <c r="T565" s="20">
        <f>ROUND(T564+IF(AND(E565=18,F565&lt;&gt;"ASTM A416"),L565,0),3)</f>
        <v/>
      </c>
      <c r="U565" s="20">
        <f>ROUND(U564+IF(AND(E565=20,F565&lt;&gt;"ASTM A416"),L565,0),3)</f>
        <v/>
      </c>
      <c r="V565" s="20">
        <f>ROUND(V564+IF(AND(E565=22,F565&lt;&gt;"ASTM A416"),L565,0),3)</f>
        <v/>
      </c>
      <c r="W565" s="20">
        <f>ROUND(W564+IF(AND(E565=25,F565&lt;&gt;"ASTM A416"),L565,0),3)</f>
        <v/>
      </c>
      <c r="X565" s="20">
        <f>ROUND(X564+IF(AND(E565=28,F565&lt;&gt;"ASTM A416"),L565,0),3)</f>
        <v/>
      </c>
      <c r="Y565" s="20">
        <f>ROUND(Y564+IF(AND(E565=32,F565&lt;&gt;"ASTM A416"),L565,0),3)</f>
        <v/>
      </c>
      <c r="Z565" s="20">
        <f>ROUND(Z564+IF(F565="ASTM A416",L565,0),3)</f>
        <v/>
      </c>
      <c r="AA565" s="11">
        <f>IF(ROUNDUP(P565/20,0)&gt;ROUNDUP(P564/20,0),"Lần " &amp; ROUNDUP(P565/20,0),"")</f>
        <v/>
      </c>
      <c r="AB565" s="11">
        <f>IF(ROUNDUP(Q565/20,0)&gt;ROUNDUP(Q564/20,0),"Lần " &amp; ROUNDUP(Q565/20,0),"")</f>
        <v/>
      </c>
      <c r="AC565" s="11">
        <f>IF(ROUNDUP(R565/20,0)&gt;ROUNDUP(R564/20,0),"Lần " &amp; ROUNDUP(R565/20,0),"")</f>
        <v/>
      </c>
      <c r="AD565" s="11">
        <f>IF(ROUNDUP(S565/20,0)&gt;ROUNDUP(S564/20,0),"Lần " &amp; ROUNDUP(S565/20,0),"")</f>
        <v/>
      </c>
      <c r="AE565" s="11">
        <f>IF(ROUNDUP(T565/20,0)&gt;ROUNDUP(T564/20,0),"Lần " &amp; ROUNDUP(T565/20,0),"")</f>
        <v/>
      </c>
      <c r="AF565" s="11">
        <f>IF(ROUNDUP(U565/20,0)&gt;ROUNDUP(U564/20,0),"Lần " &amp; ROUNDUP(U565/20,0),"")</f>
        <v/>
      </c>
      <c r="AG565" s="11">
        <f>IF(ROUNDUP(V565/20,0)&gt;ROUNDUP(V564/20,0),"Lần " &amp; ROUNDUP(V565/20,0),"")</f>
        <v/>
      </c>
      <c r="AH565" s="11">
        <f>IF(ROUNDUP(W565/20,0)&gt;ROUNDUP(W564/20,0),"Lần " &amp; ROUNDUP(W565/20,0),"")</f>
        <v/>
      </c>
      <c r="AI565" s="11">
        <f>IF(ROUNDUP(X565/20,0)&gt;ROUNDUP(X564/20,0),"Lần " &amp; ROUNDUP(X565/20,0),"")</f>
        <v/>
      </c>
      <c r="AJ565" s="11">
        <f>IF(ROUNDUP(Y565/20,0)&gt;ROUNDUP(Y564/20,0),"Lần " &amp; ROUNDUP(Y565/20,0),"")</f>
        <v/>
      </c>
      <c r="AK565" s="11">
        <f>IF(ROUNDUP(Z565/20,0)&gt;ROUNDUP(Z564/20,0),"Lần " &amp; ROUNDUP(Z565/20,0),"")</f>
        <v/>
      </c>
      <c r="AL565" s="6" t="n"/>
      <c r="AN565" t="inlineStr">
        <is>
          <t>Coc</t>
        </is>
      </c>
      <c r="AO565" t="n">
        <v>14</v>
      </c>
    </row>
    <row r="566" ht="19" customHeight="1">
      <c r="A566" s="6" t="n">
        <v>539</v>
      </c>
      <c r="B566" s="7" t="inlineStr">
        <is>
          <t>Cọc khoan nhồi C8 Trụ T1 (D1.2m, L=40.0m)</t>
        </is>
      </c>
      <c r="C566" s="7" t="inlineStr">
        <is>
          <t>Cọc trụ T1 L=40m (tr.68)</t>
        </is>
      </c>
      <c r="D566" s="18" t="inlineStr">
        <is>
          <t>P9</t>
        </is>
      </c>
      <c r="E566" s="19" t="n">
        <v>12</v>
      </c>
      <c r="F566" s="6" t="inlineStr">
        <is>
          <t>CB400-V</t>
        </is>
      </c>
      <c r="G566" s="7" t="inlineStr"/>
      <c r="H566" s="20" t="n">
        <v>0.379</v>
      </c>
      <c r="I566" s="21" t="n">
        <v>48</v>
      </c>
      <c r="J566" s="22" t="n">
        <v>0.888</v>
      </c>
      <c r="K566" s="9">
        <f>ROUND(H566*I566*J566, 2)</f>
        <v/>
      </c>
      <c r="L566" s="23">
        <f>ROUND(K566/1000, 3)</f>
        <v/>
      </c>
      <c r="M566" s="8">
        <f>IF(AO566="","",IF(INDEX(Theo_Doi_Tan_Suat_Be_Tong!$C:$C,AO566)="","",INDEX(Theo_Doi_Tan_Suat_Be_Tong!$C:$C,AO566)-VLOOKUP(AN566,$AQ$2:$AR$7,2,FALSE)))</f>
        <v/>
      </c>
      <c r="N566" s="6" t="n"/>
      <c r="O566" s="24">
        <f>IF(ROUNDUP(Q566/20,0)&gt;ROUNDUP(Q565/20,0),"TN Ø12 (Lần " &amp; ROUNDUP(Q566/20,0) &amp; ")","")</f>
        <v/>
      </c>
      <c r="P566" s="20">
        <f>ROUND(P565+IF(AND(E566&lt;=10,F566&lt;&gt;"ASTM A416"),L566,0),3)</f>
        <v/>
      </c>
      <c r="Q566" s="20">
        <f>ROUND(Q565+IF(AND(E566=12,F566&lt;&gt;"ASTM A416"),L566,0),3)</f>
        <v/>
      </c>
      <c r="R566" s="20">
        <f>ROUND(R565+IF(AND(E566=14,F566&lt;&gt;"ASTM A416"),L566,0),3)</f>
        <v/>
      </c>
      <c r="S566" s="20">
        <f>ROUND(S565+IF(AND(E566=16,F566&lt;&gt;"ASTM A416"),L566,0),3)</f>
        <v/>
      </c>
      <c r="T566" s="20">
        <f>ROUND(T565+IF(AND(E566=18,F566&lt;&gt;"ASTM A416"),L566,0),3)</f>
        <v/>
      </c>
      <c r="U566" s="20">
        <f>ROUND(U565+IF(AND(E566=20,F566&lt;&gt;"ASTM A416"),L566,0),3)</f>
        <v/>
      </c>
      <c r="V566" s="20">
        <f>ROUND(V565+IF(AND(E566=22,F566&lt;&gt;"ASTM A416"),L566,0),3)</f>
        <v/>
      </c>
      <c r="W566" s="20">
        <f>ROUND(W565+IF(AND(E566=25,F566&lt;&gt;"ASTM A416"),L566,0),3)</f>
        <v/>
      </c>
      <c r="X566" s="20">
        <f>ROUND(X565+IF(AND(E566=28,F566&lt;&gt;"ASTM A416"),L566,0),3)</f>
        <v/>
      </c>
      <c r="Y566" s="20">
        <f>ROUND(Y565+IF(AND(E566=32,F566&lt;&gt;"ASTM A416"),L566,0),3)</f>
        <v/>
      </c>
      <c r="Z566" s="20">
        <f>ROUND(Z565+IF(F566="ASTM A416",L566,0),3)</f>
        <v/>
      </c>
      <c r="AA566" s="11">
        <f>IF(ROUNDUP(P566/20,0)&gt;ROUNDUP(P565/20,0),"Lần " &amp; ROUNDUP(P566/20,0),"")</f>
        <v/>
      </c>
      <c r="AB566" s="11">
        <f>IF(ROUNDUP(Q566/20,0)&gt;ROUNDUP(Q565/20,0),"Lần " &amp; ROUNDUP(Q566/20,0),"")</f>
        <v/>
      </c>
      <c r="AC566" s="11">
        <f>IF(ROUNDUP(R566/20,0)&gt;ROUNDUP(R565/20,0),"Lần " &amp; ROUNDUP(R566/20,0),"")</f>
        <v/>
      </c>
      <c r="AD566" s="11">
        <f>IF(ROUNDUP(S566/20,0)&gt;ROUNDUP(S565/20,0),"Lần " &amp; ROUNDUP(S566/20,0),"")</f>
        <v/>
      </c>
      <c r="AE566" s="11">
        <f>IF(ROUNDUP(T566/20,0)&gt;ROUNDUP(T565/20,0),"Lần " &amp; ROUNDUP(T566/20,0),"")</f>
        <v/>
      </c>
      <c r="AF566" s="11">
        <f>IF(ROUNDUP(U566/20,0)&gt;ROUNDUP(U565/20,0),"Lần " &amp; ROUNDUP(U566/20,0),"")</f>
        <v/>
      </c>
      <c r="AG566" s="11">
        <f>IF(ROUNDUP(V566/20,0)&gt;ROUNDUP(V565/20,0),"Lần " &amp; ROUNDUP(V566/20,0),"")</f>
        <v/>
      </c>
      <c r="AH566" s="11">
        <f>IF(ROUNDUP(W566/20,0)&gt;ROUNDUP(W565/20,0),"Lần " &amp; ROUNDUP(W566/20,0),"")</f>
        <v/>
      </c>
      <c r="AI566" s="11">
        <f>IF(ROUNDUP(X566/20,0)&gt;ROUNDUP(X565/20,0),"Lần " &amp; ROUNDUP(X566/20,0),"")</f>
        <v/>
      </c>
      <c r="AJ566" s="11">
        <f>IF(ROUNDUP(Y566/20,0)&gt;ROUNDUP(Y565/20,0),"Lần " &amp; ROUNDUP(Y566/20,0),"")</f>
        <v/>
      </c>
      <c r="AK566" s="11">
        <f>IF(ROUNDUP(Z566/20,0)&gt;ROUNDUP(Z565/20,0),"Lần " &amp; ROUNDUP(Z566/20,0),"")</f>
        <v/>
      </c>
      <c r="AL566" s="6" t="n"/>
      <c r="AN566" t="inlineStr">
        <is>
          <t>Coc</t>
        </is>
      </c>
      <c r="AO566" t="n">
        <v>14</v>
      </c>
    </row>
    <row r="567" ht="19" customHeight="1">
      <c r="A567" s="6" t="n">
        <v>540</v>
      </c>
      <c r="B567" s="7" t="inlineStr">
        <is>
          <t>Cọc khoan nhồi C8 Trụ T1 (D1.2m, L=40.0m)</t>
        </is>
      </c>
      <c r="C567" s="7" t="inlineStr">
        <is>
          <t>Cọc trụ T1 L=40m (tr.68)</t>
        </is>
      </c>
      <c r="D567" s="18" t="inlineStr">
        <is>
          <t>P10</t>
        </is>
      </c>
      <c r="E567" s="19" t="n">
        <v>20</v>
      </c>
      <c r="F567" s="6" t="inlineStr">
        <is>
          <t>CB400-V</t>
        </is>
      </c>
      <c r="G567" s="7" t="inlineStr"/>
      <c r="H567" s="20" t="n">
        <v>2.057</v>
      </c>
      <c r="I567" s="21" t="n">
        <v>1</v>
      </c>
      <c r="J567" s="22" t="n">
        <v>2.466</v>
      </c>
      <c r="K567" s="9">
        <f>ROUND(H567*I567*J567, 2)</f>
        <v/>
      </c>
      <c r="L567" s="23">
        <f>ROUND(K567/1000, 3)</f>
        <v/>
      </c>
      <c r="M567" s="8">
        <f>IF(AO567="","",IF(INDEX(Theo_Doi_Tan_Suat_Be_Tong!$C:$C,AO567)="","",INDEX(Theo_Doi_Tan_Suat_Be_Tong!$C:$C,AO567)-VLOOKUP(AN567,$AQ$2:$AR$7,2,FALSE)))</f>
        <v/>
      </c>
      <c r="N567" s="6" t="n"/>
      <c r="O567" s="24">
        <f>IF(ROUNDUP(U567/20,0)&gt;ROUNDUP(U566/20,0),"TN Ø20 (Lần " &amp; ROUNDUP(U567/20,0) &amp; ")","")</f>
        <v/>
      </c>
      <c r="P567" s="20">
        <f>ROUND(P566+IF(AND(E567&lt;=10,F567&lt;&gt;"ASTM A416"),L567,0),3)</f>
        <v/>
      </c>
      <c r="Q567" s="20">
        <f>ROUND(Q566+IF(AND(E567=12,F567&lt;&gt;"ASTM A416"),L567,0),3)</f>
        <v/>
      </c>
      <c r="R567" s="20">
        <f>ROUND(R566+IF(AND(E567=14,F567&lt;&gt;"ASTM A416"),L567,0),3)</f>
        <v/>
      </c>
      <c r="S567" s="20">
        <f>ROUND(S566+IF(AND(E567=16,F567&lt;&gt;"ASTM A416"),L567,0),3)</f>
        <v/>
      </c>
      <c r="T567" s="20">
        <f>ROUND(T566+IF(AND(E567=18,F567&lt;&gt;"ASTM A416"),L567,0),3)</f>
        <v/>
      </c>
      <c r="U567" s="20">
        <f>ROUND(U566+IF(AND(E567=20,F567&lt;&gt;"ASTM A416"),L567,0),3)</f>
        <v/>
      </c>
      <c r="V567" s="20">
        <f>ROUND(V566+IF(AND(E567=22,F567&lt;&gt;"ASTM A416"),L567,0),3)</f>
        <v/>
      </c>
      <c r="W567" s="20">
        <f>ROUND(W566+IF(AND(E567=25,F567&lt;&gt;"ASTM A416"),L567,0),3)</f>
        <v/>
      </c>
      <c r="X567" s="20">
        <f>ROUND(X566+IF(AND(E567=28,F567&lt;&gt;"ASTM A416"),L567,0),3)</f>
        <v/>
      </c>
      <c r="Y567" s="20">
        <f>ROUND(Y566+IF(AND(E567=32,F567&lt;&gt;"ASTM A416"),L567,0),3)</f>
        <v/>
      </c>
      <c r="Z567" s="20">
        <f>ROUND(Z566+IF(F567="ASTM A416",L567,0),3)</f>
        <v/>
      </c>
      <c r="AA567" s="11">
        <f>IF(ROUNDUP(P567/20,0)&gt;ROUNDUP(P566/20,0),"Lần " &amp; ROUNDUP(P567/20,0),"")</f>
        <v/>
      </c>
      <c r="AB567" s="11">
        <f>IF(ROUNDUP(Q567/20,0)&gt;ROUNDUP(Q566/20,0),"Lần " &amp; ROUNDUP(Q567/20,0),"")</f>
        <v/>
      </c>
      <c r="AC567" s="11">
        <f>IF(ROUNDUP(R567/20,0)&gt;ROUNDUP(R566/20,0),"Lần " &amp; ROUNDUP(R567/20,0),"")</f>
        <v/>
      </c>
      <c r="AD567" s="11">
        <f>IF(ROUNDUP(S567/20,0)&gt;ROUNDUP(S566/20,0),"Lần " &amp; ROUNDUP(S567/20,0),"")</f>
        <v/>
      </c>
      <c r="AE567" s="11">
        <f>IF(ROUNDUP(T567/20,0)&gt;ROUNDUP(T566/20,0),"Lần " &amp; ROUNDUP(T567/20,0),"")</f>
        <v/>
      </c>
      <c r="AF567" s="11">
        <f>IF(ROUNDUP(U567/20,0)&gt;ROUNDUP(U566/20,0),"Lần " &amp; ROUNDUP(U567/20,0),"")</f>
        <v/>
      </c>
      <c r="AG567" s="11">
        <f>IF(ROUNDUP(V567/20,0)&gt;ROUNDUP(V566/20,0),"Lần " &amp; ROUNDUP(V567/20,0),"")</f>
        <v/>
      </c>
      <c r="AH567" s="11">
        <f>IF(ROUNDUP(W567/20,0)&gt;ROUNDUP(W566/20,0),"Lần " &amp; ROUNDUP(W567/20,0),"")</f>
        <v/>
      </c>
      <c r="AI567" s="11">
        <f>IF(ROUNDUP(X567/20,0)&gt;ROUNDUP(X566/20,0),"Lần " &amp; ROUNDUP(X567/20,0),"")</f>
        <v/>
      </c>
      <c r="AJ567" s="11">
        <f>IF(ROUNDUP(Y567/20,0)&gt;ROUNDUP(Y566/20,0),"Lần " &amp; ROUNDUP(Y567/20,0),"")</f>
        <v/>
      </c>
      <c r="AK567" s="11">
        <f>IF(ROUNDUP(Z567/20,0)&gt;ROUNDUP(Z566/20,0),"Lần " &amp; ROUNDUP(Z567/20,0),"")</f>
        <v/>
      </c>
      <c r="AL567" s="6" t="n"/>
      <c r="AN567" t="inlineStr">
        <is>
          <t>Coc</t>
        </is>
      </c>
      <c r="AO567" t="n">
        <v>14</v>
      </c>
    </row>
    <row r="568" ht="19" customHeight="1">
      <c r="A568" s="6" t="n">
        <v>541</v>
      </c>
      <c r="B568" s="7" t="inlineStr">
        <is>
          <t>Cọc khoan nhồi C8 Trụ T1 (D1.2m, L=40.0m)</t>
        </is>
      </c>
      <c r="C568" s="7" t="inlineStr">
        <is>
          <t>Cọc trụ T1 L=40m (tr.68)</t>
        </is>
      </c>
      <c r="D568" s="18" t="inlineStr">
        <is>
          <t>P12</t>
        </is>
      </c>
      <c r="E568" s="19" t="n">
        <v>20</v>
      </c>
      <c r="F568" s="6" t="inlineStr">
        <is>
          <t>CB400-V</t>
        </is>
      </c>
      <c r="G568" s="7" t="inlineStr"/>
      <c r="H568" s="20" t="n">
        <v>0.583</v>
      </c>
      <c r="I568" s="21" t="n">
        <v>64</v>
      </c>
      <c r="J568" s="22" t="n">
        <v>2.466</v>
      </c>
      <c r="K568" s="9">
        <f>ROUND(H568*I568*J568, 2)</f>
        <v/>
      </c>
      <c r="L568" s="23">
        <f>ROUND(K568/1000, 3)</f>
        <v/>
      </c>
      <c r="M568" s="8">
        <f>IF(AO568="","",IF(INDEX(Theo_Doi_Tan_Suat_Be_Tong!$C:$C,AO568)="","",INDEX(Theo_Doi_Tan_Suat_Be_Tong!$C:$C,AO568)-VLOOKUP(AN568,$AQ$2:$AR$7,2,FALSE)))</f>
        <v/>
      </c>
      <c r="N568" s="6" t="n"/>
      <c r="O568" s="24">
        <f>IF(ROUNDUP(U568/20,0)&gt;ROUNDUP(U567/20,0),"TN Ø20 (Lần " &amp; ROUNDUP(U568/20,0) &amp; ")","")</f>
        <v/>
      </c>
      <c r="P568" s="20">
        <f>ROUND(P567+IF(AND(E568&lt;=10,F568&lt;&gt;"ASTM A416"),L568,0),3)</f>
        <v/>
      </c>
      <c r="Q568" s="20">
        <f>ROUND(Q567+IF(AND(E568=12,F568&lt;&gt;"ASTM A416"),L568,0),3)</f>
        <v/>
      </c>
      <c r="R568" s="20">
        <f>ROUND(R567+IF(AND(E568=14,F568&lt;&gt;"ASTM A416"),L568,0),3)</f>
        <v/>
      </c>
      <c r="S568" s="20">
        <f>ROUND(S567+IF(AND(E568=16,F568&lt;&gt;"ASTM A416"),L568,0),3)</f>
        <v/>
      </c>
      <c r="T568" s="20">
        <f>ROUND(T567+IF(AND(E568=18,F568&lt;&gt;"ASTM A416"),L568,0),3)</f>
        <v/>
      </c>
      <c r="U568" s="20">
        <f>ROUND(U567+IF(AND(E568=20,F568&lt;&gt;"ASTM A416"),L568,0),3)</f>
        <v/>
      </c>
      <c r="V568" s="20">
        <f>ROUND(V567+IF(AND(E568=22,F568&lt;&gt;"ASTM A416"),L568,0),3)</f>
        <v/>
      </c>
      <c r="W568" s="20">
        <f>ROUND(W567+IF(AND(E568=25,F568&lt;&gt;"ASTM A416"),L568,0),3)</f>
        <v/>
      </c>
      <c r="X568" s="20">
        <f>ROUND(X567+IF(AND(E568=28,F568&lt;&gt;"ASTM A416"),L568,0),3)</f>
        <v/>
      </c>
      <c r="Y568" s="20">
        <f>ROUND(Y567+IF(AND(E568=32,F568&lt;&gt;"ASTM A416"),L568,0),3)</f>
        <v/>
      </c>
      <c r="Z568" s="20">
        <f>ROUND(Z567+IF(F568="ASTM A416",L568,0),3)</f>
        <v/>
      </c>
      <c r="AA568" s="11">
        <f>IF(ROUNDUP(P568/20,0)&gt;ROUNDUP(P567/20,0),"Lần " &amp; ROUNDUP(P568/20,0),"")</f>
        <v/>
      </c>
      <c r="AB568" s="11">
        <f>IF(ROUNDUP(Q568/20,0)&gt;ROUNDUP(Q567/20,0),"Lần " &amp; ROUNDUP(Q568/20,0),"")</f>
        <v/>
      </c>
      <c r="AC568" s="11">
        <f>IF(ROUNDUP(R568/20,0)&gt;ROUNDUP(R567/20,0),"Lần " &amp; ROUNDUP(R568/20,0),"")</f>
        <v/>
      </c>
      <c r="AD568" s="11">
        <f>IF(ROUNDUP(S568/20,0)&gt;ROUNDUP(S567/20,0),"Lần " &amp; ROUNDUP(S568/20,0),"")</f>
        <v/>
      </c>
      <c r="AE568" s="11">
        <f>IF(ROUNDUP(T568/20,0)&gt;ROUNDUP(T567/20,0),"Lần " &amp; ROUNDUP(T568/20,0),"")</f>
        <v/>
      </c>
      <c r="AF568" s="11">
        <f>IF(ROUNDUP(U568/20,0)&gt;ROUNDUP(U567/20,0),"Lần " &amp; ROUNDUP(U568/20,0),"")</f>
        <v/>
      </c>
      <c r="AG568" s="11">
        <f>IF(ROUNDUP(V568/20,0)&gt;ROUNDUP(V567/20,0),"Lần " &amp; ROUNDUP(V568/20,0),"")</f>
        <v/>
      </c>
      <c r="AH568" s="11">
        <f>IF(ROUNDUP(W568/20,0)&gt;ROUNDUP(W567/20,0),"Lần " &amp; ROUNDUP(W568/20,0),"")</f>
        <v/>
      </c>
      <c r="AI568" s="11">
        <f>IF(ROUNDUP(X568/20,0)&gt;ROUNDUP(X567/20,0),"Lần " &amp; ROUNDUP(X568/20,0),"")</f>
        <v/>
      </c>
      <c r="AJ568" s="11">
        <f>IF(ROUNDUP(Y568/20,0)&gt;ROUNDUP(Y567/20,0),"Lần " &amp; ROUNDUP(Y568/20,0),"")</f>
        <v/>
      </c>
      <c r="AK568" s="11">
        <f>IF(ROUNDUP(Z568/20,0)&gt;ROUNDUP(Z567/20,0),"Lần " &amp; ROUNDUP(Z568/20,0),"")</f>
        <v/>
      </c>
      <c r="AL568" s="6" t="n"/>
      <c r="AN568" t="inlineStr">
        <is>
          <t>Coc</t>
        </is>
      </c>
      <c r="AO568" t="n">
        <v>14</v>
      </c>
    </row>
    <row r="569" ht="19" customHeight="1">
      <c r="A569" s="6" t="n">
        <v>542</v>
      </c>
      <c r="B569" s="7" t="inlineStr">
        <is>
          <t>Cọc khoan nhồi C8 Trụ T1 (D1.2m, L=40.0m)</t>
        </is>
      </c>
      <c r="C569" s="7" t="inlineStr">
        <is>
          <t>Cọc trụ T1 L=40m (tr.68)</t>
        </is>
      </c>
      <c r="D569" s="18" t="inlineStr">
        <is>
          <t>P11</t>
        </is>
      </c>
      <c r="E569" s="19" t="n">
        <v>16</v>
      </c>
      <c r="F569" s="6" t="inlineStr">
        <is>
          <t>CB400-V</t>
        </is>
      </c>
      <c r="G569" s="7" t="inlineStr"/>
      <c r="H569" s="20" t="n">
        <v>2.604</v>
      </c>
      <c r="I569" s="21" t="n">
        <v>4</v>
      </c>
      <c r="J569" s="22" t="n">
        <v>1.578</v>
      </c>
      <c r="K569" s="9">
        <f>ROUND(H569*I569*J569, 2)</f>
        <v/>
      </c>
      <c r="L569" s="23">
        <f>ROUND(K569/1000, 3)</f>
        <v/>
      </c>
      <c r="M569" s="8">
        <f>IF(AO569="","",IF(INDEX(Theo_Doi_Tan_Suat_Be_Tong!$C:$C,AO569)="","",INDEX(Theo_Doi_Tan_Suat_Be_Tong!$C:$C,AO569)-VLOOKUP(AN569,$AQ$2:$AR$7,2,FALSE)))</f>
        <v/>
      </c>
      <c r="N569" s="6" t="n"/>
      <c r="O569" s="24">
        <f>IF(ROUNDUP(S569/20,0)&gt;ROUNDUP(S568/20,0),"TN Ø16 (Lần " &amp; ROUNDUP(S569/20,0) &amp; ")","")</f>
        <v/>
      </c>
      <c r="P569" s="20">
        <f>ROUND(P568+IF(AND(E569&lt;=10,F569&lt;&gt;"ASTM A416"),L569,0),3)</f>
        <v/>
      </c>
      <c r="Q569" s="20">
        <f>ROUND(Q568+IF(AND(E569=12,F569&lt;&gt;"ASTM A416"),L569,0),3)</f>
        <v/>
      </c>
      <c r="R569" s="20">
        <f>ROUND(R568+IF(AND(E569=14,F569&lt;&gt;"ASTM A416"),L569,0),3)</f>
        <v/>
      </c>
      <c r="S569" s="20">
        <f>ROUND(S568+IF(AND(E569=16,F569&lt;&gt;"ASTM A416"),L569,0),3)</f>
        <v/>
      </c>
      <c r="T569" s="20">
        <f>ROUND(T568+IF(AND(E569=18,F569&lt;&gt;"ASTM A416"),L569,0),3)</f>
        <v/>
      </c>
      <c r="U569" s="20">
        <f>ROUND(U568+IF(AND(E569=20,F569&lt;&gt;"ASTM A416"),L569,0),3)</f>
        <v/>
      </c>
      <c r="V569" s="20">
        <f>ROUND(V568+IF(AND(E569=22,F569&lt;&gt;"ASTM A416"),L569,0),3)</f>
        <v/>
      </c>
      <c r="W569" s="20">
        <f>ROUND(W568+IF(AND(E569=25,F569&lt;&gt;"ASTM A416"),L569,0),3)</f>
        <v/>
      </c>
      <c r="X569" s="20">
        <f>ROUND(X568+IF(AND(E569=28,F569&lt;&gt;"ASTM A416"),L569,0),3)</f>
        <v/>
      </c>
      <c r="Y569" s="20">
        <f>ROUND(Y568+IF(AND(E569=32,F569&lt;&gt;"ASTM A416"),L569,0),3)</f>
        <v/>
      </c>
      <c r="Z569" s="20">
        <f>ROUND(Z568+IF(F569="ASTM A416",L569,0),3)</f>
        <v/>
      </c>
      <c r="AA569" s="11">
        <f>IF(ROUNDUP(P569/20,0)&gt;ROUNDUP(P568/20,0),"Lần " &amp; ROUNDUP(P569/20,0),"")</f>
        <v/>
      </c>
      <c r="AB569" s="11">
        <f>IF(ROUNDUP(Q569/20,0)&gt;ROUNDUP(Q568/20,0),"Lần " &amp; ROUNDUP(Q569/20,0),"")</f>
        <v/>
      </c>
      <c r="AC569" s="11">
        <f>IF(ROUNDUP(R569/20,0)&gt;ROUNDUP(R568/20,0),"Lần " &amp; ROUNDUP(R569/20,0),"")</f>
        <v/>
      </c>
      <c r="AD569" s="11">
        <f>IF(ROUNDUP(S569/20,0)&gt;ROUNDUP(S568/20,0),"Lần " &amp; ROUNDUP(S569/20,0),"")</f>
        <v/>
      </c>
      <c r="AE569" s="11">
        <f>IF(ROUNDUP(T569/20,0)&gt;ROUNDUP(T568/20,0),"Lần " &amp; ROUNDUP(T569/20,0),"")</f>
        <v/>
      </c>
      <c r="AF569" s="11">
        <f>IF(ROUNDUP(U569/20,0)&gt;ROUNDUP(U568/20,0),"Lần " &amp; ROUNDUP(U569/20,0),"")</f>
        <v/>
      </c>
      <c r="AG569" s="11">
        <f>IF(ROUNDUP(V569/20,0)&gt;ROUNDUP(V568/20,0),"Lần " &amp; ROUNDUP(V569/20,0),"")</f>
        <v/>
      </c>
      <c r="AH569" s="11">
        <f>IF(ROUNDUP(W569/20,0)&gt;ROUNDUP(W568/20,0),"Lần " &amp; ROUNDUP(W569/20,0),"")</f>
        <v/>
      </c>
      <c r="AI569" s="11">
        <f>IF(ROUNDUP(X569/20,0)&gt;ROUNDUP(X568/20,0),"Lần " &amp; ROUNDUP(X569/20,0),"")</f>
        <v/>
      </c>
      <c r="AJ569" s="11">
        <f>IF(ROUNDUP(Y569/20,0)&gt;ROUNDUP(Y568/20,0),"Lần " &amp; ROUNDUP(Y569/20,0),"")</f>
        <v/>
      </c>
      <c r="AK569" s="11">
        <f>IF(ROUNDUP(Z569/20,0)&gt;ROUNDUP(Z568/20,0),"Lần " &amp; ROUNDUP(Z569/20,0),"")</f>
        <v/>
      </c>
      <c r="AL569" s="6" t="n"/>
      <c r="AN569" t="inlineStr">
        <is>
          <t>Coc</t>
        </is>
      </c>
      <c r="AO569" t="n">
        <v>14</v>
      </c>
    </row>
    <row r="570" ht="19" customHeight="1">
      <c r="A570" s="17" t="inlineStr">
        <is>
          <t>--- CỌC KHOAN NHỒI C1 TRỤ T2 (D1.2M, L=30.0M) ---</t>
        </is>
      </c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  <c r="AG570" s="35" t="n"/>
      <c r="AH570" s="35" t="n"/>
      <c r="AI570" s="35" t="n"/>
      <c r="AJ570" s="35" t="n"/>
      <c r="AK570" s="35" t="n"/>
      <c r="AL570" s="34" t="n"/>
    </row>
    <row r="571" ht="19" customHeight="1">
      <c r="A571" s="6" t="n">
        <v>543</v>
      </c>
      <c r="B571" s="7" t="inlineStr">
        <is>
          <t>Cọc khoan nhồi C1 Trụ T2 (D1.2m, L=30.0m)</t>
        </is>
      </c>
      <c r="C571" s="7" t="inlineStr">
        <is>
          <t>Cọc trụ T2 L=30m (tr.70)</t>
        </is>
      </c>
      <c r="D571" s="18" t="inlineStr">
        <is>
          <t>P1</t>
        </is>
      </c>
      <c r="E571" s="19" t="n">
        <v>10</v>
      </c>
      <c r="F571" s="6" t="inlineStr">
        <is>
          <t>CB240-T</t>
        </is>
      </c>
      <c r="G571" s="7" t="inlineStr"/>
      <c r="H571" s="20" t="n">
        <v>96.604</v>
      </c>
      <c r="I571" s="21" t="n">
        <v>1</v>
      </c>
      <c r="J571" s="22" t="n">
        <v>0.617</v>
      </c>
      <c r="K571" s="9">
        <f>ROUND(H571*I571*J571, 2)</f>
        <v/>
      </c>
      <c r="L571" s="23">
        <f>ROUND(K571/1000, 3)</f>
        <v/>
      </c>
      <c r="M571" s="8">
        <f>IF(AO571="","",IF(INDEX(Theo_Doi_Tan_Suat_Be_Tong!$C:$C,AO571)="","",INDEX(Theo_Doi_Tan_Suat_Be_Tong!$C:$C,AO571)-VLOOKUP(AN571,$AQ$2:$AR$7,2,FALSE)))</f>
        <v/>
      </c>
      <c r="N571" s="6" t="n"/>
      <c r="O571" s="24">
        <f>IF(ROUNDUP(P571/20,0)&gt;ROUNDUP(P569/20,0),"TN Ø10 (Lần " &amp; ROUNDUP(P571/20,0) &amp; ")","")</f>
        <v/>
      </c>
      <c r="P571" s="20">
        <f>ROUND(P569+IF(AND(E571&lt;=10,F571&lt;&gt;"ASTM A416"),L571,0),3)</f>
        <v/>
      </c>
      <c r="Q571" s="20">
        <f>ROUND(Q569+IF(AND(E571=12,F571&lt;&gt;"ASTM A416"),L571,0),3)</f>
        <v/>
      </c>
      <c r="R571" s="20">
        <f>ROUND(R569+IF(AND(E571=14,F571&lt;&gt;"ASTM A416"),L571,0),3)</f>
        <v/>
      </c>
      <c r="S571" s="20">
        <f>ROUND(S569+IF(AND(E571=16,F571&lt;&gt;"ASTM A416"),L571,0),3)</f>
        <v/>
      </c>
      <c r="T571" s="20">
        <f>ROUND(T569+IF(AND(E571=18,F571&lt;&gt;"ASTM A416"),L571,0),3)</f>
        <v/>
      </c>
      <c r="U571" s="20">
        <f>ROUND(U569+IF(AND(E571=20,F571&lt;&gt;"ASTM A416"),L571,0),3)</f>
        <v/>
      </c>
      <c r="V571" s="20">
        <f>ROUND(V569+IF(AND(E571=22,F571&lt;&gt;"ASTM A416"),L571,0),3)</f>
        <v/>
      </c>
      <c r="W571" s="20">
        <f>ROUND(W569+IF(AND(E571=25,F571&lt;&gt;"ASTM A416"),L571,0),3)</f>
        <v/>
      </c>
      <c r="X571" s="20">
        <f>ROUND(X569+IF(AND(E571=28,F571&lt;&gt;"ASTM A416"),L571,0),3)</f>
        <v/>
      </c>
      <c r="Y571" s="20">
        <f>ROUND(Y569+IF(AND(E571=32,F571&lt;&gt;"ASTM A416"),L571,0),3)</f>
        <v/>
      </c>
      <c r="Z571" s="20">
        <f>ROUND(Z569+IF(F571="ASTM A416",L571,0),3)</f>
        <v/>
      </c>
      <c r="AA571" s="11">
        <f>IF(ROUNDUP(P571/20,0)&gt;ROUNDUP(P569/20,0),"Lần " &amp; ROUNDUP(P571/20,0),"")</f>
        <v/>
      </c>
      <c r="AB571" s="11">
        <f>IF(ROUNDUP(Q571/20,0)&gt;ROUNDUP(Q569/20,0),"Lần " &amp; ROUNDUP(Q571/20,0),"")</f>
        <v/>
      </c>
      <c r="AC571" s="11">
        <f>IF(ROUNDUP(R571/20,0)&gt;ROUNDUP(R569/20,0),"Lần " &amp; ROUNDUP(R571/20,0),"")</f>
        <v/>
      </c>
      <c r="AD571" s="11">
        <f>IF(ROUNDUP(S571/20,0)&gt;ROUNDUP(S569/20,0),"Lần " &amp; ROUNDUP(S571/20,0),"")</f>
        <v/>
      </c>
      <c r="AE571" s="11">
        <f>IF(ROUNDUP(T571/20,0)&gt;ROUNDUP(T569/20,0),"Lần " &amp; ROUNDUP(T571/20,0),"")</f>
        <v/>
      </c>
      <c r="AF571" s="11">
        <f>IF(ROUNDUP(U571/20,0)&gt;ROUNDUP(U569/20,0),"Lần " &amp; ROUNDUP(U571/20,0),"")</f>
        <v/>
      </c>
      <c r="AG571" s="11">
        <f>IF(ROUNDUP(V571/20,0)&gt;ROUNDUP(V569/20,0),"Lần " &amp; ROUNDUP(V571/20,0),"")</f>
        <v/>
      </c>
      <c r="AH571" s="11">
        <f>IF(ROUNDUP(W571/20,0)&gt;ROUNDUP(W569/20,0),"Lần " &amp; ROUNDUP(W571/20,0),"")</f>
        <v/>
      </c>
      <c r="AI571" s="11">
        <f>IF(ROUNDUP(X571/20,0)&gt;ROUNDUP(X569/20,0),"Lần " &amp; ROUNDUP(X571/20,0),"")</f>
        <v/>
      </c>
      <c r="AJ571" s="11">
        <f>IF(ROUNDUP(Y571/20,0)&gt;ROUNDUP(Y569/20,0),"Lần " &amp; ROUNDUP(Y571/20,0),"")</f>
        <v/>
      </c>
      <c r="AK571" s="11">
        <f>IF(ROUNDUP(Z571/20,0)&gt;ROUNDUP(Z569/20,0),"Lần " &amp; ROUNDUP(Z571/20,0),"")</f>
        <v/>
      </c>
      <c r="AL571" s="6" t="n"/>
      <c r="AN571" t="inlineStr">
        <is>
          <t>Coc</t>
        </is>
      </c>
      <c r="AO571" t="n">
        <v>15</v>
      </c>
    </row>
    <row r="572" ht="19" customHeight="1">
      <c r="A572" s="6" t="n">
        <v>544</v>
      </c>
      <c r="B572" s="7" t="inlineStr">
        <is>
          <t>Cọc khoan nhồi C1 Trụ T2 (D1.2m, L=30.0m)</t>
        </is>
      </c>
      <c r="C572" s="7" t="inlineStr">
        <is>
          <t>Cọc trụ T2 L=30m (tr.70)</t>
        </is>
      </c>
      <c r="D572" s="18" t="inlineStr">
        <is>
          <t>P1A</t>
        </is>
      </c>
      <c r="E572" s="19" t="n">
        <v>10</v>
      </c>
      <c r="F572" s="6" t="inlineStr">
        <is>
          <t>CB240-T</t>
        </is>
      </c>
      <c r="G572" s="7" t="inlineStr"/>
      <c r="H572" s="20" t="n">
        <v>389.636</v>
      </c>
      <c r="I572" s="21" t="n">
        <v>1</v>
      </c>
      <c r="J572" s="22" t="n">
        <v>0.617</v>
      </c>
      <c r="K572" s="9">
        <f>ROUND(H572*I572*J572, 2)</f>
        <v/>
      </c>
      <c r="L572" s="23">
        <f>ROUND(K572/1000, 3)</f>
        <v/>
      </c>
      <c r="M572" s="8">
        <f>IF(AO572="","",IF(INDEX(Theo_Doi_Tan_Suat_Be_Tong!$C:$C,AO572)="","",INDEX(Theo_Doi_Tan_Suat_Be_Tong!$C:$C,AO572)-VLOOKUP(AN572,$AQ$2:$AR$7,2,FALSE)))</f>
        <v/>
      </c>
      <c r="N572" s="6" t="n"/>
      <c r="O572" s="24">
        <f>IF(ROUNDUP(P572/20,0)&gt;ROUNDUP(P571/20,0),"TN Ø10 (Lần " &amp; ROUNDUP(P572/20,0) &amp; ")","")</f>
        <v/>
      </c>
      <c r="P572" s="20">
        <f>ROUND(P571+IF(AND(E572&lt;=10,F572&lt;&gt;"ASTM A416"),L572,0),3)</f>
        <v/>
      </c>
      <c r="Q572" s="20">
        <f>ROUND(Q571+IF(AND(E572=12,F572&lt;&gt;"ASTM A416"),L572,0),3)</f>
        <v/>
      </c>
      <c r="R572" s="20">
        <f>ROUND(R571+IF(AND(E572=14,F572&lt;&gt;"ASTM A416"),L572,0),3)</f>
        <v/>
      </c>
      <c r="S572" s="20">
        <f>ROUND(S571+IF(AND(E572=16,F572&lt;&gt;"ASTM A416"),L572,0),3)</f>
        <v/>
      </c>
      <c r="T572" s="20">
        <f>ROUND(T571+IF(AND(E572=18,F572&lt;&gt;"ASTM A416"),L572,0),3)</f>
        <v/>
      </c>
      <c r="U572" s="20">
        <f>ROUND(U571+IF(AND(E572=20,F572&lt;&gt;"ASTM A416"),L572,0),3)</f>
        <v/>
      </c>
      <c r="V572" s="20">
        <f>ROUND(V571+IF(AND(E572=22,F572&lt;&gt;"ASTM A416"),L572,0),3)</f>
        <v/>
      </c>
      <c r="W572" s="20">
        <f>ROUND(W571+IF(AND(E572=25,F572&lt;&gt;"ASTM A416"),L572,0),3)</f>
        <v/>
      </c>
      <c r="X572" s="20">
        <f>ROUND(X571+IF(AND(E572=28,F572&lt;&gt;"ASTM A416"),L572,0),3)</f>
        <v/>
      </c>
      <c r="Y572" s="20">
        <f>ROUND(Y571+IF(AND(E572=32,F572&lt;&gt;"ASTM A416"),L572,0),3)</f>
        <v/>
      </c>
      <c r="Z572" s="20">
        <f>ROUND(Z571+IF(F572="ASTM A416",L572,0),3)</f>
        <v/>
      </c>
      <c r="AA572" s="11">
        <f>IF(ROUNDUP(P572/20,0)&gt;ROUNDUP(P571/20,0),"Lần " &amp; ROUNDUP(P572/20,0),"")</f>
        <v/>
      </c>
      <c r="AB572" s="11">
        <f>IF(ROUNDUP(Q572/20,0)&gt;ROUNDUP(Q571/20,0),"Lần " &amp; ROUNDUP(Q572/20,0),"")</f>
        <v/>
      </c>
      <c r="AC572" s="11">
        <f>IF(ROUNDUP(R572/20,0)&gt;ROUNDUP(R571/20,0),"Lần " &amp; ROUNDUP(R572/20,0),"")</f>
        <v/>
      </c>
      <c r="AD572" s="11">
        <f>IF(ROUNDUP(S572/20,0)&gt;ROUNDUP(S571/20,0),"Lần " &amp; ROUNDUP(S572/20,0),"")</f>
        <v/>
      </c>
      <c r="AE572" s="11">
        <f>IF(ROUNDUP(T572/20,0)&gt;ROUNDUP(T571/20,0),"Lần " &amp; ROUNDUP(T572/20,0),"")</f>
        <v/>
      </c>
      <c r="AF572" s="11">
        <f>IF(ROUNDUP(U572/20,0)&gt;ROUNDUP(U571/20,0),"Lần " &amp; ROUNDUP(U572/20,0),"")</f>
        <v/>
      </c>
      <c r="AG572" s="11">
        <f>IF(ROUNDUP(V572/20,0)&gt;ROUNDUP(V571/20,0),"Lần " &amp; ROUNDUP(V572/20,0),"")</f>
        <v/>
      </c>
      <c r="AH572" s="11">
        <f>IF(ROUNDUP(W572/20,0)&gt;ROUNDUP(W571/20,0),"Lần " &amp; ROUNDUP(W572/20,0),"")</f>
        <v/>
      </c>
      <c r="AI572" s="11">
        <f>IF(ROUNDUP(X572/20,0)&gt;ROUNDUP(X571/20,0),"Lần " &amp; ROUNDUP(X572/20,0),"")</f>
        <v/>
      </c>
      <c r="AJ572" s="11">
        <f>IF(ROUNDUP(Y572/20,0)&gt;ROUNDUP(Y571/20,0),"Lần " &amp; ROUNDUP(Y572/20,0),"")</f>
        <v/>
      </c>
      <c r="AK572" s="11">
        <f>IF(ROUNDUP(Z572/20,0)&gt;ROUNDUP(Z571/20,0),"Lần " &amp; ROUNDUP(Z572/20,0),"")</f>
        <v/>
      </c>
      <c r="AL572" s="6" t="n"/>
      <c r="AN572" t="inlineStr">
        <is>
          <t>Coc</t>
        </is>
      </c>
      <c r="AO572" t="n">
        <v>15</v>
      </c>
    </row>
    <row r="573" ht="19" customHeight="1">
      <c r="A573" s="6" t="n">
        <v>545</v>
      </c>
      <c r="B573" s="7" t="inlineStr">
        <is>
          <t>Cọc khoan nhồi C1 Trụ T2 (D1.2m, L=30.0m)</t>
        </is>
      </c>
      <c r="C573" s="7" t="inlineStr">
        <is>
          <t>Cọc trụ T2 L=30m (tr.70)</t>
        </is>
      </c>
      <c r="D573" s="18" t="inlineStr">
        <is>
          <t>P1B</t>
        </is>
      </c>
      <c r="E573" s="19" t="n">
        <v>10</v>
      </c>
      <c r="F573" s="6" t="inlineStr">
        <is>
          <t>CB240-T</t>
        </is>
      </c>
      <c r="G573" s="7" t="inlineStr"/>
      <c r="H573" s="20" t="n">
        <v>100.256</v>
      </c>
      <c r="I573" s="21" t="n">
        <v>1</v>
      </c>
      <c r="J573" s="22" t="n">
        <v>0.617</v>
      </c>
      <c r="K573" s="9">
        <f>ROUND(H573*I573*J573, 2)</f>
        <v/>
      </c>
      <c r="L573" s="23">
        <f>ROUND(K573/1000, 3)</f>
        <v/>
      </c>
      <c r="M573" s="8">
        <f>IF(AO573="","",IF(INDEX(Theo_Doi_Tan_Suat_Be_Tong!$C:$C,AO573)="","",INDEX(Theo_Doi_Tan_Suat_Be_Tong!$C:$C,AO573)-VLOOKUP(AN573,$AQ$2:$AR$7,2,FALSE)))</f>
        <v/>
      </c>
      <c r="N573" s="6" t="n"/>
      <c r="O573" s="24">
        <f>IF(ROUNDUP(P573/20,0)&gt;ROUNDUP(P572/20,0),"TN Ø10 (Lần " &amp; ROUNDUP(P573/20,0) &amp; ")","")</f>
        <v/>
      </c>
      <c r="P573" s="20">
        <f>ROUND(P572+IF(AND(E573&lt;=10,F573&lt;&gt;"ASTM A416"),L573,0),3)</f>
        <v/>
      </c>
      <c r="Q573" s="20">
        <f>ROUND(Q572+IF(AND(E573=12,F573&lt;&gt;"ASTM A416"),L573,0),3)</f>
        <v/>
      </c>
      <c r="R573" s="20">
        <f>ROUND(R572+IF(AND(E573=14,F573&lt;&gt;"ASTM A416"),L573,0),3)</f>
        <v/>
      </c>
      <c r="S573" s="20">
        <f>ROUND(S572+IF(AND(E573=16,F573&lt;&gt;"ASTM A416"),L573,0),3)</f>
        <v/>
      </c>
      <c r="T573" s="20">
        <f>ROUND(T572+IF(AND(E573=18,F573&lt;&gt;"ASTM A416"),L573,0),3)</f>
        <v/>
      </c>
      <c r="U573" s="20">
        <f>ROUND(U572+IF(AND(E573=20,F573&lt;&gt;"ASTM A416"),L573,0),3)</f>
        <v/>
      </c>
      <c r="V573" s="20">
        <f>ROUND(V572+IF(AND(E573=22,F573&lt;&gt;"ASTM A416"),L573,0),3)</f>
        <v/>
      </c>
      <c r="W573" s="20">
        <f>ROUND(W572+IF(AND(E573=25,F573&lt;&gt;"ASTM A416"),L573,0),3)</f>
        <v/>
      </c>
      <c r="X573" s="20">
        <f>ROUND(X572+IF(AND(E573=28,F573&lt;&gt;"ASTM A416"),L573,0),3)</f>
        <v/>
      </c>
      <c r="Y573" s="20">
        <f>ROUND(Y572+IF(AND(E573=32,F573&lt;&gt;"ASTM A416"),L573,0),3)</f>
        <v/>
      </c>
      <c r="Z573" s="20">
        <f>ROUND(Z572+IF(F573="ASTM A416",L573,0),3)</f>
        <v/>
      </c>
      <c r="AA573" s="11">
        <f>IF(ROUNDUP(P573/20,0)&gt;ROUNDUP(P572/20,0),"Lần " &amp; ROUNDUP(P573/20,0),"")</f>
        <v/>
      </c>
      <c r="AB573" s="11">
        <f>IF(ROUNDUP(Q573/20,0)&gt;ROUNDUP(Q572/20,0),"Lần " &amp; ROUNDUP(Q573/20,0),"")</f>
        <v/>
      </c>
      <c r="AC573" s="11">
        <f>IF(ROUNDUP(R573/20,0)&gt;ROUNDUP(R572/20,0),"Lần " &amp; ROUNDUP(R573/20,0),"")</f>
        <v/>
      </c>
      <c r="AD573" s="11">
        <f>IF(ROUNDUP(S573/20,0)&gt;ROUNDUP(S572/20,0),"Lần " &amp; ROUNDUP(S573/20,0),"")</f>
        <v/>
      </c>
      <c r="AE573" s="11">
        <f>IF(ROUNDUP(T573/20,0)&gt;ROUNDUP(T572/20,0),"Lần " &amp; ROUNDUP(T573/20,0),"")</f>
        <v/>
      </c>
      <c r="AF573" s="11">
        <f>IF(ROUNDUP(U573/20,0)&gt;ROUNDUP(U572/20,0),"Lần " &amp; ROUNDUP(U573/20,0),"")</f>
        <v/>
      </c>
      <c r="AG573" s="11">
        <f>IF(ROUNDUP(V573/20,0)&gt;ROUNDUP(V572/20,0),"Lần " &amp; ROUNDUP(V573/20,0),"")</f>
        <v/>
      </c>
      <c r="AH573" s="11">
        <f>IF(ROUNDUP(W573/20,0)&gt;ROUNDUP(W572/20,0),"Lần " &amp; ROUNDUP(W573/20,0),"")</f>
        <v/>
      </c>
      <c r="AI573" s="11">
        <f>IF(ROUNDUP(X573/20,0)&gt;ROUNDUP(X572/20,0),"Lần " &amp; ROUNDUP(X573/20,0),"")</f>
        <v/>
      </c>
      <c r="AJ573" s="11">
        <f>IF(ROUNDUP(Y573/20,0)&gt;ROUNDUP(Y572/20,0),"Lần " &amp; ROUNDUP(Y573/20,0),"")</f>
        <v/>
      </c>
      <c r="AK573" s="11">
        <f>IF(ROUNDUP(Z573/20,0)&gt;ROUNDUP(Z572/20,0),"Lần " &amp; ROUNDUP(Z573/20,0),"")</f>
        <v/>
      </c>
      <c r="AL573" s="6" t="n"/>
      <c r="AN573" t="inlineStr">
        <is>
          <t>Coc</t>
        </is>
      </c>
      <c r="AO573" t="n">
        <v>15</v>
      </c>
    </row>
    <row r="574" ht="19" customHeight="1">
      <c r="A574" s="6" t="n">
        <v>546</v>
      </c>
      <c r="B574" s="7" t="inlineStr">
        <is>
          <t>Cọc khoan nhồi C1 Trụ T2 (D1.2m, L=30.0m)</t>
        </is>
      </c>
      <c r="C574" s="7" t="inlineStr">
        <is>
          <t>Cọc trụ T2 L=30m (tr.70)</t>
        </is>
      </c>
      <c r="D574" s="18" t="inlineStr">
        <is>
          <t>P1C</t>
        </is>
      </c>
      <c r="E574" s="19" t="n">
        <v>10</v>
      </c>
      <c r="F574" s="6" t="inlineStr">
        <is>
          <t>CB240-T</t>
        </is>
      </c>
      <c r="G574" s="7" t="inlineStr"/>
      <c r="H574" s="20" t="n">
        <v>3.592</v>
      </c>
      <c r="I574" s="21" t="n">
        <v>2</v>
      </c>
      <c r="J574" s="22" t="n">
        <v>0.617</v>
      </c>
      <c r="K574" s="9">
        <f>ROUND(H574*I574*J574, 2)</f>
        <v/>
      </c>
      <c r="L574" s="23">
        <f>ROUND(K574/1000, 3)</f>
        <v/>
      </c>
      <c r="M574" s="8">
        <f>IF(AO574="","",IF(INDEX(Theo_Doi_Tan_Suat_Be_Tong!$C:$C,AO574)="","",INDEX(Theo_Doi_Tan_Suat_Be_Tong!$C:$C,AO574)-VLOOKUP(AN574,$AQ$2:$AR$7,2,FALSE)))</f>
        <v/>
      </c>
      <c r="N574" s="6" t="n"/>
      <c r="O574" s="24">
        <f>IF(ROUNDUP(P574/20,0)&gt;ROUNDUP(P573/20,0),"TN Ø10 (Lần " &amp; ROUNDUP(P574/20,0) &amp; ")","")</f>
        <v/>
      </c>
      <c r="P574" s="20">
        <f>ROUND(P573+IF(AND(E574&lt;=10,F574&lt;&gt;"ASTM A416"),L574,0),3)</f>
        <v/>
      </c>
      <c r="Q574" s="20">
        <f>ROUND(Q573+IF(AND(E574=12,F574&lt;&gt;"ASTM A416"),L574,0),3)</f>
        <v/>
      </c>
      <c r="R574" s="20">
        <f>ROUND(R573+IF(AND(E574=14,F574&lt;&gt;"ASTM A416"),L574,0),3)</f>
        <v/>
      </c>
      <c r="S574" s="20">
        <f>ROUND(S573+IF(AND(E574=16,F574&lt;&gt;"ASTM A416"),L574,0),3)</f>
        <v/>
      </c>
      <c r="T574" s="20">
        <f>ROUND(T573+IF(AND(E574=18,F574&lt;&gt;"ASTM A416"),L574,0),3)</f>
        <v/>
      </c>
      <c r="U574" s="20">
        <f>ROUND(U573+IF(AND(E574=20,F574&lt;&gt;"ASTM A416"),L574,0),3)</f>
        <v/>
      </c>
      <c r="V574" s="20">
        <f>ROUND(V573+IF(AND(E574=22,F574&lt;&gt;"ASTM A416"),L574,0),3)</f>
        <v/>
      </c>
      <c r="W574" s="20">
        <f>ROUND(W573+IF(AND(E574=25,F574&lt;&gt;"ASTM A416"),L574,0),3)</f>
        <v/>
      </c>
      <c r="X574" s="20">
        <f>ROUND(X573+IF(AND(E574=28,F574&lt;&gt;"ASTM A416"),L574,0),3)</f>
        <v/>
      </c>
      <c r="Y574" s="20">
        <f>ROUND(Y573+IF(AND(E574=32,F574&lt;&gt;"ASTM A416"),L574,0),3)</f>
        <v/>
      </c>
      <c r="Z574" s="20">
        <f>ROUND(Z573+IF(F574="ASTM A416",L574,0),3)</f>
        <v/>
      </c>
      <c r="AA574" s="11">
        <f>IF(ROUNDUP(P574/20,0)&gt;ROUNDUP(P573/20,0),"Lần " &amp; ROUNDUP(P574/20,0),"")</f>
        <v/>
      </c>
      <c r="AB574" s="11">
        <f>IF(ROUNDUP(Q574/20,0)&gt;ROUNDUP(Q573/20,0),"Lần " &amp; ROUNDUP(Q574/20,0),"")</f>
        <v/>
      </c>
      <c r="AC574" s="11">
        <f>IF(ROUNDUP(R574/20,0)&gt;ROUNDUP(R573/20,0),"Lần " &amp; ROUNDUP(R574/20,0),"")</f>
        <v/>
      </c>
      <c r="AD574" s="11">
        <f>IF(ROUNDUP(S574/20,0)&gt;ROUNDUP(S573/20,0),"Lần " &amp; ROUNDUP(S574/20,0),"")</f>
        <v/>
      </c>
      <c r="AE574" s="11">
        <f>IF(ROUNDUP(T574/20,0)&gt;ROUNDUP(T573/20,0),"Lần " &amp; ROUNDUP(T574/20,0),"")</f>
        <v/>
      </c>
      <c r="AF574" s="11">
        <f>IF(ROUNDUP(U574/20,0)&gt;ROUNDUP(U573/20,0),"Lần " &amp; ROUNDUP(U574/20,0),"")</f>
        <v/>
      </c>
      <c r="AG574" s="11">
        <f>IF(ROUNDUP(V574/20,0)&gt;ROUNDUP(V573/20,0),"Lần " &amp; ROUNDUP(V574/20,0),"")</f>
        <v/>
      </c>
      <c r="AH574" s="11">
        <f>IF(ROUNDUP(W574/20,0)&gt;ROUNDUP(W573/20,0),"Lần " &amp; ROUNDUP(W574/20,0),"")</f>
        <v/>
      </c>
      <c r="AI574" s="11">
        <f>IF(ROUNDUP(X574/20,0)&gt;ROUNDUP(X573/20,0),"Lần " &amp; ROUNDUP(X574/20,0),"")</f>
        <v/>
      </c>
      <c r="AJ574" s="11">
        <f>IF(ROUNDUP(Y574/20,0)&gt;ROUNDUP(Y573/20,0),"Lần " &amp; ROUNDUP(Y574/20,0),"")</f>
        <v/>
      </c>
      <c r="AK574" s="11">
        <f>IF(ROUNDUP(Z574/20,0)&gt;ROUNDUP(Z573/20,0),"Lần " &amp; ROUNDUP(Z574/20,0),"")</f>
        <v/>
      </c>
      <c r="AL574" s="6" t="n"/>
      <c r="AN574" t="inlineStr">
        <is>
          <t>Coc</t>
        </is>
      </c>
      <c r="AO574" t="n">
        <v>15</v>
      </c>
    </row>
    <row r="575" ht="19" customHeight="1">
      <c r="A575" s="6" t="n">
        <v>547</v>
      </c>
      <c r="B575" s="7" t="inlineStr">
        <is>
          <t>Cọc khoan nhồi C1 Trụ T2 (D1.2m, L=30.0m)</t>
        </is>
      </c>
      <c r="C575" s="7" t="inlineStr">
        <is>
          <t>Cọc trụ T2 L=30m (tr.70)</t>
        </is>
      </c>
      <c r="D575" s="18" t="inlineStr">
        <is>
          <t>P1D</t>
        </is>
      </c>
      <c r="E575" s="19" t="n">
        <v>10</v>
      </c>
      <c r="F575" s="6" t="inlineStr">
        <is>
          <t>CB240-T</t>
        </is>
      </c>
      <c r="G575" s="7" t="inlineStr"/>
      <c r="H575" s="20" t="n">
        <v>19.721</v>
      </c>
      <c r="I575" s="21" t="n">
        <v>1</v>
      </c>
      <c r="J575" s="22" t="n">
        <v>0.617</v>
      </c>
      <c r="K575" s="9">
        <f>ROUND(H575*I575*J575, 2)</f>
        <v/>
      </c>
      <c r="L575" s="23">
        <f>ROUND(K575/1000, 3)</f>
        <v/>
      </c>
      <c r="M575" s="8">
        <f>IF(AO575="","",IF(INDEX(Theo_Doi_Tan_Suat_Be_Tong!$C:$C,AO575)="","",INDEX(Theo_Doi_Tan_Suat_Be_Tong!$C:$C,AO575)-VLOOKUP(AN575,$AQ$2:$AR$7,2,FALSE)))</f>
        <v/>
      </c>
      <c r="N575" s="6" t="n"/>
      <c r="O575" s="24">
        <f>IF(ROUNDUP(P575/20,0)&gt;ROUNDUP(P574/20,0),"TN Ø10 (Lần " &amp; ROUNDUP(P575/20,0) &amp; ")","")</f>
        <v/>
      </c>
      <c r="P575" s="20">
        <f>ROUND(P574+IF(AND(E575&lt;=10,F575&lt;&gt;"ASTM A416"),L575,0),3)</f>
        <v/>
      </c>
      <c r="Q575" s="20">
        <f>ROUND(Q574+IF(AND(E575=12,F575&lt;&gt;"ASTM A416"),L575,0),3)</f>
        <v/>
      </c>
      <c r="R575" s="20">
        <f>ROUND(R574+IF(AND(E575=14,F575&lt;&gt;"ASTM A416"),L575,0),3)</f>
        <v/>
      </c>
      <c r="S575" s="20">
        <f>ROUND(S574+IF(AND(E575=16,F575&lt;&gt;"ASTM A416"),L575,0),3)</f>
        <v/>
      </c>
      <c r="T575" s="20">
        <f>ROUND(T574+IF(AND(E575=18,F575&lt;&gt;"ASTM A416"),L575,0),3)</f>
        <v/>
      </c>
      <c r="U575" s="20">
        <f>ROUND(U574+IF(AND(E575=20,F575&lt;&gt;"ASTM A416"),L575,0),3)</f>
        <v/>
      </c>
      <c r="V575" s="20">
        <f>ROUND(V574+IF(AND(E575=22,F575&lt;&gt;"ASTM A416"),L575,0),3)</f>
        <v/>
      </c>
      <c r="W575" s="20">
        <f>ROUND(W574+IF(AND(E575=25,F575&lt;&gt;"ASTM A416"),L575,0),3)</f>
        <v/>
      </c>
      <c r="X575" s="20">
        <f>ROUND(X574+IF(AND(E575=28,F575&lt;&gt;"ASTM A416"),L575,0),3)</f>
        <v/>
      </c>
      <c r="Y575" s="20">
        <f>ROUND(Y574+IF(AND(E575=32,F575&lt;&gt;"ASTM A416"),L575,0),3)</f>
        <v/>
      </c>
      <c r="Z575" s="20">
        <f>ROUND(Z574+IF(F575="ASTM A416",L575,0),3)</f>
        <v/>
      </c>
      <c r="AA575" s="11">
        <f>IF(ROUNDUP(P575/20,0)&gt;ROUNDUP(P574/20,0),"Lần " &amp; ROUNDUP(P575/20,0),"")</f>
        <v/>
      </c>
      <c r="AB575" s="11">
        <f>IF(ROUNDUP(Q575/20,0)&gt;ROUNDUP(Q574/20,0),"Lần " &amp; ROUNDUP(Q575/20,0),"")</f>
        <v/>
      </c>
      <c r="AC575" s="11">
        <f>IF(ROUNDUP(R575/20,0)&gt;ROUNDUP(R574/20,0),"Lần " &amp; ROUNDUP(R575/20,0),"")</f>
        <v/>
      </c>
      <c r="AD575" s="11">
        <f>IF(ROUNDUP(S575/20,0)&gt;ROUNDUP(S574/20,0),"Lần " &amp; ROUNDUP(S575/20,0),"")</f>
        <v/>
      </c>
      <c r="AE575" s="11">
        <f>IF(ROUNDUP(T575/20,0)&gt;ROUNDUP(T574/20,0),"Lần " &amp; ROUNDUP(T575/20,0),"")</f>
        <v/>
      </c>
      <c r="AF575" s="11">
        <f>IF(ROUNDUP(U575/20,0)&gt;ROUNDUP(U574/20,0),"Lần " &amp; ROUNDUP(U575/20,0),"")</f>
        <v/>
      </c>
      <c r="AG575" s="11">
        <f>IF(ROUNDUP(V575/20,0)&gt;ROUNDUP(V574/20,0),"Lần " &amp; ROUNDUP(V575/20,0),"")</f>
        <v/>
      </c>
      <c r="AH575" s="11">
        <f>IF(ROUNDUP(W575/20,0)&gt;ROUNDUP(W574/20,0),"Lần " &amp; ROUNDUP(W575/20,0),"")</f>
        <v/>
      </c>
      <c r="AI575" s="11">
        <f>IF(ROUNDUP(X575/20,0)&gt;ROUNDUP(X574/20,0),"Lần " &amp; ROUNDUP(X575/20,0),"")</f>
        <v/>
      </c>
      <c r="AJ575" s="11">
        <f>IF(ROUNDUP(Y575/20,0)&gt;ROUNDUP(Y574/20,0),"Lần " &amp; ROUNDUP(Y575/20,0),"")</f>
        <v/>
      </c>
      <c r="AK575" s="11">
        <f>IF(ROUNDUP(Z575/20,0)&gt;ROUNDUP(Z574/20,0),"Lần " &amp; ROUNDUP(Z575/20,0),"")</f>
        <v/>
      </c>
      <c r="AL575" s="6" t="n"/>
      <c r="AN575" t="inlineStr">
        <is>
          <t>Coc</t>
        </is>
      </c>
      <c r="AO575" t="n">
        <v>15</v>
      </c>
    </row>
    <row r="576" ht="19" customHeight="1">
      <c r="A576" s="6" t="n">
        <v>548</v>
      </c>
      <c r="B576" s="7" t="inlineStr">
        <is>
          <t>Cọc khoan nhồi C1 Trụ T2 (D1.2m, L=30.0m)</t>
        </is>
      </c>
      <c r="C576" s="7" t="inlineStr">
        <is>
          <t>Cọc trụ T2 L=30m (tr.70)</t>
        </is>
      </c>
      <c r="D576" s="18" t="inlineStr">
        <is>
          <t>P2B</t>
        </is>
      </c>
      <c r="E576" s="19" t="n">
        <v>25</v>
      </c>
      <c r="F576" s="6" t="inlineStr">
        <is>
          <t>CB400-V</t>
        </is>
      </c>
      <c r="G576" s="7" t="inlineStr"/>
      <c r="H576" s="20" t="n">
        <v>2.985</v>
      </c>
      <c r="I576" s="21" t="n">
        <v>12</v>
      </c>
      <c r="J576" s="22" t="n">
        <v>3.853</v>
      </c>
      <c r="K576" s="9">
        <f>ROUND(H576*I576*J576, 2)</f>
        <v/>
      </c>
      <c r="L576" s="23">
        <f>ROUND(K576/1000, 3)</f>
        <v/>
      </c>
      <c r="M576" s="8">
        <f>IF(AO576="","",IF(INDEX(Theo_Doi_Tan_Suat_Be_Tong!$C:$C,AO576)="","",INDEX(Theo_Doi_Tan_Suat_Be_Tong!$C:$C,AO576)-VLOOKUP(AN576,$AQ$2:$AR$7,2,FALSE)))</f>
        <v/>
      </c>
      <c r="N576" s="6" t="n"/>
      <c r="O576" s="24">
        <f>IF(ROUNDUP(W576/20,0)&gt;ROUNDUP(W575/20,0),"TN Ø25 (Lần " &amp; ROUNDUP(W576/20,0) &amp; ")","")</f>
        <v/>
      </c>
      <c r="P576" s="20">
        <f>ROUND(P575+IF(AND(E576&lt;=10,F576&lt;&gt;"ASTM A416"),L576,0),3)</f>
        <v/>
      </c>
      <c r="Q576" s="20">
        <f>ROUND(Q575+IF(AND(E576=12,F576&lt;&gt;"ASTM A416"),L576,0),3)</f>
        <v/>
      </c>
      <c r="R576" s="20">
        <f>ROUND(R575+IF(AND(E576=14,F576&lt;&gt;"ASTM A416"),L576,0),3)</f>
        <v/>
      </c>
      <c r="S576" s="20">
        <f>ROUND(S575+IF(AND(E576=16,F576&lt;&gt;"ASTM A416"),L576,0),3)</f>
        <v/>
      </c>
      <c r="T576" s="20">
        <f>ROUND(T575+IF(AND(E576=18,F576&lt;&gt;"ASTM A416"),L576,0),3)</f>
        <v/>
      </c>
      <c r="U576" s="20">
        <f>ROUND(U575+IF(AND(E576=20,F576&lt;&gt;"ASTM A416"),L576,0),3)</f>
        <v/>
      </c>
      <c r="V576" s="20">
        <f>ROUND(V575+IF(AND(E576=22,F576&lt;&gt;"ASTM A416"),L576,0),3)</f>
        <v/>
      </c>
      <c r="W576" s="20">
        <f>ROUND(W575+IF(AND(E576=25,F576&lt;&gt;"ASTM A416"),L576,0),3)</f>
        <v/>
      </c>
      <c r="X576" s="20">
        <f>ROUND(X575+IF(AND(E576=28,F576&lt;&gt;"ASTM A416"),L576,0),3)</f>
        <v/>
      </c>
      <c r="Y576" s="20">
        <f>ROUND(Y575+IF(AND(E576=32,F576&lt;&gt;"ASTM A416"),L576,0),3)</f>
        <v/>
      </c>
      <c r="Z576" s="20">
        <f>ROUND(Z575+IF(F576="ASTM A416",L576,0),3)</f>
        <v/>
      </c>
      <c r="AA576" s="11">
        <f>IF(ROUNDUP(P576/20,0)&gt;ROUNDUP(P575/20,0),"Lần " &amp; ROUNDUP(P576/20,0),"")</f>
        <v/>
      </c>
      <c r="AB576" s="11">
        <f>IF(ROUNDUP(Q576/20,0)&gt;ROUNDUP(Q575/20,0),"Lần " &amp; ROUNDUP(Q576/20,0),"")</f>
        <v/>
      </c>
      <c r="AC576" s="11">
        <f>IF(ROUNDUP(R576/20,0)&gt;ROUNDUP(R575/20,0),"Lần " &amp; ROUNDUP(R576/20,0),"")</f>
        <v/>
      </c>
      <c r="AD576" s="11">
        <f>IF(ROUNDUP(S576/20,0)&gt;ROUNDUP(S575/20,0),"Lần " &amp; ROUNDUP(S576/20,0),"")</f>
        <v/>
      </c>
      <c r="AE576" s="11">
        <f>IF(ROUNDUP(T576/20,0)&gt;ROUNDUP(T575/20,0),"Lần " &amp; ROUNDUP(T576/20,0),"")</f>
        <v/>
      </c>
      <c r="AF576" s="11">
        <f>IF(ROUNDUP(U576/20,0)&gt;ROUNDUP(U575/20,0),"Lần " &amp; ROUNDUP(U576/20,0),"")</f>
        <v/>
      </c>
      <c r="AG576" s="11">
        <f>IF(ROUNDUP(V576/20,0)&gt;ROUNDUP(V575/20,0),"Lần " &amp; ROUNDUP(V576/20,0),"")</f>
        <v/>
      </c>
      <c r="AH576" s="11">
        <f>IF(ROUNDUP(W576/20,0)&gt;ROUNDUP(W575/20,0),"Lần " &amp; ROUNDUP(W576/20,0),"")</f>
        <v/>
      </c>
      <c r="AI576" s="11">
        <f>IF(ROUNDUP(X576/20,0)&gt;ROUNDUP(X575/20,0),"Lần " &amp; ROUNDUP(X576/20,0),"")</f>
        <v/>
      </c>
      <c r="AJ576" s="11">
        <f>IF(ROUNDUP(Y576/20,0)&gt;ROUNDUP(Y575/20,0),"Lần " &amp; ROUNDUP(Y576/20,0),"")</f>
        <v/>
      </c>
      <c r="AK576" s="11">
        <f>IF(ROUNDUP(Z576/20,0)&gt;ROUNDUP(Z575/20,0),"Lần " &amp; ROUNDUP(Z576/20,0),"")</f>
        <v/>
      </c>
      <c r="AL576" s="6" t="n"/>
      <c r="AN576" t="inlineStr">
        <is>
          <t>Coc</t>
        </is>
      </c>
      <c r="AO576" t="n">
        <v>15</v>
      </c>
    </row>
    <row r="577" ht="19" customHeight="1">
      <c r="A577" s="6" t="n">
        <v>549</v>
      </c>
      <c r="B577" s="7" t="inlineStr">
        <is>
          <t>Cọc khoan nhồi C1 Trụ T2 (D1.2m, L=30.0m)</t>
        </is>
      </c>
      <c r="C577" s="7" t="inlineStr">
        <is>
          <t>Cọc trụ T2 L=30m (tr.70)</t>
        </is>
      </c>
      <c r="D577" s="18" t="inlineStr">
        <is>
          <t>P3</t>
        </is>
      </c>
      <c r="E577" s="19" t="n">
        <v>25</v>
      </c>
      <c r="F577" s="6" t="inlineStr">
        <is>
          <t>CB400-V</t>
        </is>
      </c>
      <c r="G577" s="7" t="inlineStr"/>
      <c r="H577" s="20" t="n">
        <v>10.7</v>
      </c>
      <c r="I577" s="21" t="n">
        <v>12</v>
      </c>
      <c r="J577" s="22" t="n">
        <v>3.853</v>
      </c>
      <c r="K577" s="9">
        <f>ROUND(H577*I577*J577, 2)</f>
        <v/>
      </c>
      <c r="L577" s="23">
        <f>ROUND(K577/1000, 3)</f>
        <v/>
      </c>
      <c r="M577" s="8">
        <f>IF(AO577="","",IF(INDEX(Theo_Doi_Tan_Suat_Be_Tong!$C:$C,AO577)="","",INDEX(Theo_Doi_Tan_Suat_Be_Tong!$C:$C,AO577)-VLOOKUP(AN577,$AQ$2:$AR$7,2,FALSE)))</f>
        <v/>
      </c>
      <c r="N577" s="6" t="n"/>
      <c r="O577" s="24">
        <f>IF(ROUNDUP(W577/20,0)&gt;ROUNDUP(W576/20,0),"TN Ø25 (Lần " &amp; ROUNDUP(W577/20,0) &amp; ")","")</f>
        <v/>
      </c>
      <c r="P577" s="20">
        <f>ROUND(P576+IF(AND(E577&lt;=10,F577&lt;&gt;"ASTM A416"),L577,0),3)</f>
        <v/>
      </c>
      <c r="Q577" s="20">
        <f>ROUND(Q576+IF(AND(E577=12,F577&lt;&gt;"ASTM A416"),L577,0),3)</f>
        <v/>
      </c>
      <c r="R577" s="20">
        <f>ROUND(R576+IF(AND(E577=14,F577&lt;&gt;"ASTM A416"),L577,0),3)</f>
        <v/>
      </c>
      <c r="S577" s="20">
        <f>ROUND(S576+IF(AND(E577=16,F577&lt;&gt;"ASTM A416"),L577,0),3)</f>
        <v/>
      </c>
      <c r="T577" s="20">
        <f>ROUND(T576+IF(AND(E577=18,F577&lt;&gt;"ASTM A416"),L577,0),3)</f>
        <v/>
      </c>
      <c r="U577" s="20">
        <f>ROUND(U576+IF(AND(E577=20,F577&lt;&gt;"ASTM A416"),L577,0),3)</f>
        <v/>
      </c>
      <c r="V577" s="20">
        <f>ROUND(V576+IF(AND(E577=22,F577&lt;&gt;"ASTM A416"),L577,0),3)</f>
        <v/>
      </c>
      <c r="W577" s="20">
        <f>ROUND(W576+IF(AND(E577=25,F577&lt;&gt;"ASTM A416"),L577,0),3)</f>
        <v/>
      </c>
      <c r="X577" s="20">
        <f>ROUND(X576+IF(AND(E577=28,F577&lt;&gt;"ASTM A416"),L577,0),3)</f>
        <v/>
      </c>
      <c r="Y577" s="20">
        <f>ROUND(Y576+IF(AND(E577=32,F577&lt;&gt;"ASTM A416"),L577,0),3)</f>
        <v/>
      </c>
      <c r="Z577" s="20">
        <f>ROUND(Z576+IF(F577="ASTM A416",L577,0),3)</f>
        <v/>
      </c>
      <c r="AA577" s="11">
        <f>IF(ROUNDUP(P577/20,0)&gt;ROUNDUP(P576/20,0),"Lần " &amp; ROUNDUP(P577/20,0),"")</f>
        <v/>
      </c>
      <c r="AB577" s="11">
        <f>IF(ROUNDUP(Q577/20,0)&gt;ROUNDUP(Q576/20,0),"Lần " &amp; ROUNDUP(Q577/20,0),"")</f>
        <v/>
      </c>
      <c r="AC577" s="11">
        <f>IF(ROUNDUP(R577/20,0)&gt;ROUNDUP(R576/20,0),"Lần " &amp; ROUNDUP(R577/20,0),"")</f>
        <v/>
      </c>
      <c r="AD577" s="11">
        <f>IF(ROUNDUP(S577/20,0)&gt;ROUNDUP(S576/20,0),"Lần " &amp; ROUNDUP(S577/20,0),"")</f>
        <v/>
      </c>
      <c r="AE577" s="11">
        <f>IF(ROUNDUP(T577/20,0)&gt;ROUNDUP(T576/20,0),"Lần " &amp; ROUNDUP(T577/20,0),"")</f>
        <v/>
      </c>
      <c r="AF577" s="11">
        <f>IF(ROUNDUP(U577/20,0)&gt;ROUNDUP(U576/20,0),"Lần " &amp; ROUNDUP(U577/20,0),"")</f>
        <v/>
      </c>
      <c r="AG577" s="11">
        <f>IF(ROUNDUP(V577/20,0)&gt;ROUNDUP(V576/20,0),"Lần " &amp; ROUNDUP(V577/20,0),"")</f>
        <v/>
      </c>
      <c r="AH577" s="11">
        <f>IF(ROUNDUP(W577/20,0)&gt;ROUNDUP(W576/20,0),"Lần " &amp; ROUNDUP(W577/20,0),"")</f>
        <v/>
      </c>
      <c r="AI577" s="11">
        <f>IF(ROUNDUP(X577/20,0)&gt;ROUNDUP(X576/20,0),"Lần " &amp; ROUNDUP(X577/20,0),"")</f>
        <v/>
      </c>
      <c r="AJ577" s="11">
        <f>IF(ROUNDUP(Y577/20,0)&gt;ROUNDUP(Y576/20,0),"Lần " &amp; ROUNDUP(Y577/20,0),"")</f>
        <v/>
      </c>
      <c r="AK577" s="11">
        <f>IF(ROUNDUP(Z577/20,0)&gt;ROUNDUP(Z576/20,0),"Lần " &amp; ROUNDUP(Z577/20,0),"")</f>
        <v/>
      </c>
      <c r="AL577" s="6" t="n"/>
      <c r="AN577" t="inlineStr">
        <is>
          <t>Coc</t>
        </is>
      </c>
      <c r="AO577" t="n">
        <v>15</v>
      </c>
    </row>
    <row r="578" ht="19" customHeight="1">
      <c r="A578" s="6" t="n">
        <v>550</v>
      </c>
      <c r="B578" s="7" t="inlineStr">
        <is>
          <t>Cọc khoan nhồi C1 Trụ T2 (D1.2m, L=30.0m)</t>
        </is>
      </c>
      <c r="C578" s="7" t="inlineStr">
        <is>
          <t>Cọc trụ T2 L=30m (tr.70)</t>
        </is>
      </c>
      <c r="D578" s="18" t="inlineStr">
        <is>
          <t>P4</t>
        </is>
      </c>
      <c r="E578" s="19" t="n">
        <v>25</v>
      </c>
      <c r="F578" s="6" t="inlineStr">
        <is>
          <t>CB400-V</t>
        </is>
      </c>
      <c r="G578" s="7" t="inlineStr"/>
      <c r="H578" s="20" t="n">
        <v>11.7</v>
      </c>
      <c r="I578" s="21" t="n">
        <v>36</v>
      </c>
      <c r="J578" s="22" t="n">
        <v>3.853</v>
      </c>
      <c r="K578" s="9">
        <f>ROUND(H578*I578*J578, 2)</f>
        <v/>
      </c>
      <c r="L578" s="23">
        <f>ROUND(K578/1000, 3)</f>
        <v/>
      </c>
      <c r="M578" s="8">
        <f>IF(AO578="","",IF(INDEX(Theo_Doi_Tan_Suat_Be_Tong!$C:$C,AO578)="","",INDEX(Theo_Doi_Tan_Suat_Be_Tong!$C:$C,AO578)-VLOOKUP(AN578,$AQ$2:$AR$7,2,FALSE)))</f>
        <v/>
      </c>
      <c r="N578" s="6" t="n"/>
      <c r="O578" s="24">
        <f>IF(ROUNDUP(W578/20,0)&gt;ROUNDUP(W577/20,0),"TN Ø25 (Lần " &amp; ROUNDUP(W578/20,0) &amp; ")","")</f>
        <v/>
      </c>
      <c r="P578" s="20">
        <f>ROUND(P577+IF(AND(E578&lt;=10,F578&lt;&gt;"ASTM A416"),L578,0),3)</f>
        <v/>
      </c>
      <c r="Q578" s="20">
        <f>ROUND(Q577+IF(AND(E578=12,F578&lt;&gt;"ASTM A416"),L578,0),3)</f>
        <v/>
      </c>
      <c r="R578" s="20">
        <f>ROUND(R577+IF(AND(E578=14,F578&lt;&gt;"ASTM A416"),L578,0),3)</f>
        <v/>
      </c>
      <c r="S578" s="20">
        <f>ROUND(S577+IF(AND(E578=16,F578&lt;&gt;"ASTM A416"),L578,0),3)</f>
        <v/>
      </c>
      <c r="T578" s="20">
        <f>ROUND(T577+IF(AND(E578=18,F578&lt;&gt;"ASTM A416"),L578,0),3)</f>
        <v/>
      </c>
      <c r="U578" s="20">
        <f>ROUND(U577+IF(AND(E578=20,F578&lt;&gt;"ASTM A416"),L578,0),3)</f>
        <v/>
      </c>
      <c r="V578" s="20">
        <f>ROUND(V577+IF(AND(E578=22,F578&lt;&gt;"ASTM A416"),L578,0),3)</f>
        <v/>
      </c>
      <c r="W578" s="20">
        <f>ROUND(W577+IF(AND(E578=25,F578&lt;&gt;"ASTM A416"),L578,0),3)</f>
        <v/>
      </c>
      <c r="X578" s="20">
        <f>ROUND(X577+IF(AND(E578=28,F578&lt;&gt;"ASTM A416"),L578,0),3)</f>
        <v/>
      </c>
      <c r="Y578" s="20">
        <f>ROUND(Y577+IF(AND(E578=32,F578&lt;&gt;"ASTM A416"),L578,0),3)</f>
        <v/>
      </c>
      <c r="Z578" s="20">
        <f>ROUND(Z577+IF(F578="ASTM A416",L578,0),3)</f>
        <v/>
      </c>
      <c r="AA578" s="11">
        <f>IF(ROUNDUP(P578/20,0)&gt;ROUNDUP(P577/20,0),"Lần " &amp; ROUNDUP(P578/20,0),"")</f>
        <v/>
      </c>
      <c r="AB578" s="11">
        <f>IF(ROUNDUP(Q578/20,0)&gt;ROUNDUP(Q577/20,0),"Lần " &amp; ROUNDUP(Q578/20,0),"")</f>
        <v/>
      </c>
      <c r="AC578" s="11">
        <f>IF(ROUNDUP(R578/20,0)&gt;ROUNDUP(R577/20,0),"Lần " &amp; ROUNDUP(R578/20,0),"")</f>
        <v/>
      </c>
      <c r="AD578" s="11">
        <f>IF(ROUNDUP(S578/20,0)&gt;ROUNDUP(S577/20,0),"Lần " &amp; ROUNDUP(S578/20,0),"")</f>
        <v/>
      </c>
      <c r="AE578" s="11">
        <f>IF(ROUNDUP(T578/20,0)&gt;ROUNDUP(T577/20,0),"Lần " &amp; ROUNDUP(T578/20,0),"")</f>
        <v/>
      </c>
      <c r="AF578" s="11">
        <f>IF(ROUNDUP(U578/20,0)&gt;ROUNDUP(U577/20,0),"Lần " &amp; ROUNDUP(U578/20,0),"")</f>
        <v/>
      </c>
      <c r="AG578" s="11">
        <f>IF(ROUNDUP(V578/20,0)&gt;ROUNDUP(V577/20,0),"Lần " &amp; ROUNDUP(V578/20,0),"")</f>
        <v/>
      </c>
      <c r="AH578" s="11">
        <f>IF(ROUNDUP(W578/20,0)&gt;ROUNDUP(W577/20,0),"Lần " &amp; ROUNDUP(W578/20,0),"")</f>
        <v/>
      </c>
      <c r="AI578" s="11">
        <f>IF(ROUNDUP(X578/20,0)&gt;ROUNDUP(X577/20,0),"Lần " &amp; ROUNDUP(X578/20,0),"")</f>
        <v/>
      </c>
      <c r="AJ578" s="11">
        <f>IF(ROUNDUP(Y578/20,0)&gt;ROUNDUP(Y577/20,0),"Lần " &amp; ROUNDUP(Y578/20,0),"")</f>
        <v/>
      </c>
      <c r="AK578" s="11">
        <f>IF(ROUNDUP(Z578/20,0)&gt;ROUNDUP(Z577/20,0),"Lần " &amp; ROUNDUP(Z578/20,0),"")</f>
        <v/>
      </c>
      <c r="AL578" s="6" t="n"/>
      <c r="AN578" t="inlineStr">
        <is>
          <t>Coc</t>
        </is>
      </c>
      <c r="AO578" t="n">
        <v>15</v>
      </c>
    </row>
    <row r="579" ht="19" customHeight="1">
      <c r="A579" s="6" t="n">
        <v>551</v>
      </c>
      <c r="B579" s="7" t="inlineStr">
        <is>
          <t>Cọc khoan nhồi C1 Trụ T2 (D1.2m, L=30.0m)</t>
        </is>
      </c>
      <c r="C579" s="7" t="inlineStr">
        <is>
          <t>Cọc trụ T2 L=30m (tr.70)</t>
        </is>
      </c>
      <c r="D579" s="18" t="inlineStr">
        <is>
          <t>P6</t>
        </is>
      </c>
      <c r="E579" s="19" t="n">
        <v>25</v>
      </c>
      <c r="F579" s="6" t="inlineStr">
        <is>
          <t>CB400-V</t>
        </is>
      </c>
      <c r="G579" s="7" t="inlineStr"/>
      <c r="H579" s="20" t="n">
        <v>9.733000000000001</v>
      </c>
      <c r="I579" s="21" t="n">
        <v>12</v>
      </c>
      <c r="J579" s="22" t="n">
        <v>3.853</v>
      </c>
      <c r="K579" s="9">
        <f>ROUND(H579*I579*J579, 2)</f>
        <v/>
      </c>
      <c r="L579" s="23">
        <f>ROUND(K579/1000, 3)</f>
        <v/>
      </c>
      <c r="M579" s="8">
        <f>IF(AO579="","",IF(INDEX(Theo_Doi_Tan_Suat_Be_Tong!$C:$C,AO579)="","",INDEX(Theo_Doi_Tan_Suat_Be_Tong!$C:$C,AO579)-VLOOKUP(AN579,$AQ$2:$AR$7,2,FALSE)))</f>
        <v/>
      </c>
      <c r="N579" s="6" t="n"/>
      <c r="O579" s="24">
        <f>IF(ROUNDUP(W579/20,0)&gt;ROUNDUP(W578/20,0),"TN Ø25 (Lần " &amp; ROUNDUP(W579/20,0) &amp; ")","")</f>
        <v/>
      </c>
      <c r="P579" s="20">
        <f>ROUND(P578+IF(AND(E579&lt;=10,F579&lt;&gt;"ASTM A416"),L579,0),3)</f>
        <v/>
      </c>
      <c r="Q579" s="20">
        <f>ROUND(Q578+IF(AND(E579=12,F579&lt;&gt;"ASTM A416"),L579,0),3)</f>
        <v/>
      </c>
      <c r="R579" s="20">
        <f>ROUND(R578+IF(AND(E579=14,F579&lt;&gt;"ASTM A416"),L579,0),3)</f>
        <v/>
      </c>
      <c r="S579" s="20">
        <f>ROUND(S578+IF(AND(E579=16,F579&lt;&gt;"ASTM A416"),L579,0),3)</f>
        <v/>
      </c>
      <c r="T579" s="20">
        <f>ROUND(T578+IF(AND(E579=18,F579&lt;&gt;"ASTM A416"),L579,0),3)</f>
        <v/>
      </c>
      <c r="U579" s="20">
        <f>ROUND(U578+IF(AND(E579=20,F579&lt;&gt;"ASTM A416"),L579,0),3)</f>
        <v/>
      </c>
      <c r="V579" s="20">
        <f>ROUND(V578+IF(AND(E579=22,F579&lt;&gt;"ASTM A416"),L579,0),3)</f>
        <v/>
      </c>
      <c r="W579" s="20">
        <f>ROUND(W578+IF(AND(E579=25,F579&lt;&gt;"ASTM A416"),L579,0),3)</f>
        <v/>
      </c>
      <c r="X579" s="20">
        <f>ROUND(X578+IF(AND(E579=28,F579&lt;&gt;"ASTM A416"),L579,0),3)</f>
        <v/>
      </c>
      <c r="Y579" s="20">
        <f>ROUND(Y578+IF(AND(E579=32,F579&lt;&gt;"ASTM A416"),L579,0),3)</f>
        <v/>
      </c>
      <c r="Z579" s="20">
        <f>ROUND(Z578+IF(F579="ASTM A416",L579,0),3)</f>
        <v/>
      </c>
      <c r="AA579" s="11">
        <f>IF(ROUNDUP(P579/20,0)&gt;ROUNDUP(P578/20,0),"Lần " &amp; ROUNDUP(P579/20,0),"")</f>
        <v/>
      </c>
      <c r="AB579" s="11">
        <f>IF(ROUNDUP(Q579/20,0)&gt;ROUNDUP(Q578/20,0),"Lần " &amp; ROUNDUP(Q579/20,0),"")</f>
        <v/>
      </c>
      <c r="AC579" s="11">
        <f>IF(ROUNDUP(R579/20,0)&gt;ROUNDUP(R578/20,0),"Lần " &amp; ROUNDUP(R579/20,0),"")</f>
        <v/>
      </c>
      <c r="AD579" s="11">
        <f>IF(ROUNDUP(S579/20,0)&gt;ROUNDUP(S578/20,0),"Lần " &amp; ROUNDUP(S579/20,0),"")</f>
        <v/>
      </c>
      <c r="AE579" s="11">
        <f>IF(ROUNDUP(T579/20,0)&gt;ROUNDUP(T578/20,0),"Lần " &amp; ROUNDUP(T579/20,0),"")</f>
        <v/>
      </c>
      <c r="AF579" s="11">
        <f>IF(ROUNDUP(U579/20,0)&gt;ROUNDUP(U578/20,0),"Lần " &amp; ROUNDUP(U579/20,0),"")</f>
        <v/>
      </c>
      <c r="AG579" s="11">
        <f>IF(ROUNDUP(V579/20,0)&gt;ROUNDUP(V578/20,0),"Lần " &amp; ROUNDUP(V579/20,0),"")</f>
        <v/>
      </c>
      <c r="AH579" s="11">
        <f>IF(ROUNDUP(W579/20,0)&gt;ROUNDUP(W578/20,0),"Lần " &amp; ROUNDUP(W579/20,0),"")</f>
        <v/>
      </c>
      <c r="AI579" s="11">
        <f>IF(ROUNDUP(X579/20,0)&gt;ROUNDUP(X578/20,0),"Lần " &amp; ROUNDUP(X579/20,0),"")</f>
        <v/>
      </c>
      <c r="AJ579" s="11">
        <f>IF(ROUNDUP(Y579/20,0)&gt;ROUNDUP(Y578/20,0),"Lần " &amp; ROUNDUP(Y579/20,0),"")</f>
        <v/>
      </c>
      <c r="AK579" s="11">
        <f>IF(ROUNDUP(Z579/20,0)&gt;ROUNDUP(Z578/20,0),"Lần " &amp; ROUNDUP(Z579/20,0),"")</f>
        <v/>
      </c>
      <c r="AL579" s="6" t="n"/>
      <c r="AN579" t="inlineStr">
        <is>
          <t>Coc</t>
        </is>
      </c>
      <c r="AO579" t="n">
        <v>15</v>
      </c>
    </row>
    <row r="580" ht="19" customHeight="1">
      <c r="A580" s="6" t="n">
        <v>552</v>
      </c>
      <c r="B580" s="7" t="inlineStr">
        <is>
          <t>Cọc khoan nhồi C1 Trụ T2 (D1.2m, L=30.0m)</t>
        </is>
      </c>
      <c r="C580" s="7" t="inlineStr">
        <is>
          <t>Cọc trụ T2 L=30m (tr.70)</t>
        </is>
      </c>
      <c r="D580" s="18" t="inlineStr">
        <is>
          <t>P7</t>
        </is>
      </c>
      <c r="E580" s="19" t="n">
        <v>25</v>
      </c>
      <c r="F580" s="6" t="inlineStr">
        <is>
          <t>CB400-V</t>
        </is>
      </c>
      <c r="G580" s="7" t="inlineStr"/>
      <c r="H580" s="20" t="n">
        <v>10.733</v>
      </c>
      <c r="I580" s="21" t="n">
        <v>12</v>
      </c>
      <c r="J580" s="22" t="n">
        <v>3.853</v>
      </c>
      <c r="K580" s="9">
        <f>ROUND(H580*I580*J580, 2)</f>
        <v/>
      </c>
      <c r="L580" s="23">
        <f>ROUND(K580/1000, 3)</f>
        <v/>
      </c>
      <c r="M580" s="8">
        <f>IF(AO580="","",IF(INDEX(Theo_Doi_Tan_Suat_Be_Tong!$C:$C,AO580)="","",INDEX(Theo_Doi_Tan_Suat_Be_Tong!$C:$C,AO580)-VLOOKUP(AN580,$AQ$2:$AR$7,2,FALSE)))</f>
        <v/>
      </c>
      <c r="N580" s="6" t="n"/>
      <c r="O580" s="24">
        <f>IF(ROUNDUP(W580/20,0)&gt;ROUNDUP(W579/20,0),"TN Ø25 (Lần " &amp; ROUNDUP(W580/20,0) &amp; ")","")</f>
        <v/>
      </c>
      <c r="P580" s="20">
        <f>ROUND(P579+IF(AND(E580&lt;=10,F580&lt;&gt;"ASTM A416"),L580,0),3)</f>
        <v/>
      </c>
      <c r="Q580" s="20">
        <f>ROUND(Q579+IF(AND(E580=12,F580&lt;&gt;"ASTM A416"),L580,0),3)</f>
        <v/>
      </c>
      <c r="R580" s="20">
        <f>ROUND(R579+IF(AND(E580=14,F580&lt;&gt;"ASTM A416"),L580,0),3)</f>
        <v/>
      </c>
      <c r="S580" s="20">
        <f>ROUND(S579+IF(AND(E580=16,F580&lt;&gt;"ASTM A416"),L580,0),3)</f>
        <v/>
      </c>
      <c r="T580" s="20">
        <f>ROUND(T579+IF(AND(E580=18,F580&lt;&gt;"ASTM A416"),L580,0),3)</f>
        <v/>
      </c>
      <c r="U580" s="20">
        <f>ROUND(U579+IF(AND(E580=20,F580&lt;&gt;"ASTM A416"),L580,0),3)</f>
        <v/>
      </c>
      <c r="V580" s="20">
        <f>ROUND(V579+IF(AND(E580=22,F580&lt;&gt;"ASTM A416"),L580,0),3)</f>
        <v/>
      </c>
      <c r="W580" s="20">
        <f>ROUND(W579+IF(AND(E580=25,F580&lt;&gt;"ASTM A416"),L580,0),3)</f>
        <v/>
      </c>
      <c r="X580" s="20">
        <f>ROUND(X579+IF(AND(E580=28,F580&lt;&gt;"ASTM A416"),L580,0),3)</f>
        <v/>
      </c>
      <c r="Y580" s="20">
        <f>ROUND(Y579+IF(AND(E580=32,F580&lt;&gt;"ASTM A416"),L580,0),3)</f>
        <v/>
      </c>
      <c r="Z580" s="20">
        <f>ROUND(Z579+IF(F580="ASTM A416",L580,0),3)</f>
        <v/>
      </c>
      <c r="AA580" s="11">
        <f>IF(ROUNDUP(P580/20,0)&gt;ROUNDUP(P579/20,0),"Lần " &amp; ROUNDUP(P580/20,0),"")</f>
        <v/>
      </c>
      <c r="AB580" s="11">
        <f>IF(ROUNDUP(Q580/20,0)&gt;ROUNDUP(Q579/20,0),"Lần " &amp; ROUNDUP(Q580/20,0),"")</f>
        <v/>
      </c>
      <c r="AC580" s="11">
        <f>IF(ROUNDUP(R580/20,0)&gt;ROUNDUP(R579/20,0),"Lần " &amp; ROUNDUP(R580/20,0),"")</f>
        <v/>
      </c>
      <c r="AD580" s="11">
        <f>IF(ROUNDUP(S580/20,0)&gt;ROUNDUP(S579/20,0),"Lần " &amp; ROUNDUP(S580/20,0),"")</f>
        <v/>
      </c>
      <c r="AE580" s="11">
        <f>IF(ROUNDUP(T580/20,0)&gt;ROUNDUP(T579/20,0),"Lần " &amp; ROUNDUP(T580/20,0),"")</f>
        <v/>
      </c>
      <c r="AF580" s="11">
        <f>IF(ROUNDUP(U580/20,0)&gt;ROUNDUP(U579/20,0),"Lần " &amp; ROUNDUP(U580/20,0),"")</f>
        <v/>
      </c>
      <c r="AG580" s="11">
        <f>IF(ROUNDUP(V580/20,0)&gt;ROUNDUP(V579/20,0),"Lần " &amp; ROUNDUP(V580/20,0),"")</f>
        <v/>
      </c>
      <c r="AH580" s="11">
        <f>IF(ROUNDUP(W580/20,0)&gt;ROUNDUP(W579/20,0),"Lần " &amp; ROUNDUP(W580/20,0),"")</f>
        <v/>
      </c>
      <c r="AI580" s="11">
        <f>IF(ROUNDUP(X580/20,0)&gt;ROUNDUP(X579/20,0),"Lần " &amp; ROUNDUP(X580/20,0),"")</f>
        <v/>
      </c>
      <c r="AJ580" s="11">
        <f>IF(ROUNDUP(Y580/20,0)&gt;ROUNDUP(Y579/20,0),"Lần " &amp; ROUNDUP(Y580/20,0),"")</f>
        <v/>
      </c>
      <c r="AK580" s="11">
        <f>IF(ROUNDUP(Z580/20,0)&gt;ROUNDUP(Z579/20,0),"Lần " &amp; ROUNDUP(Z580/20,0),"")</f>
        <v/>
      </c>
      <c r="AL580" s="6" t="n"/>
      <c r="AN580" t="inlineStr">
        <is>
          <t>Coc</t>
        </is>
      </c>
      <c r="AO580" t="n">
        <v>15</v>
      </c>
    </row>
    <row r="581" ht="19" customHeight="1">
      <c r="A581" s="6" t="n">
        <v>553</v>
      </c>
      <c r="B581" s="7" t="inlineStr">
        <is>
          <t>Cọc khoan nhồi C1 Trụ T2 (D1.2m, L=30.0m)</t>
        </is>
      </c>
      <c r="C581" s="7" t="inlineStr">
        <is>
          <t>Cọc trụ T2 L=30m (tr.70)</t>
        </is>
      </c>
      <c r="D581" s="18" t="inlineStr">
        <is>
          <t>P8</t>
        </is>
      </c>
      <c r="E581" s="19" t="n">
        <v>12</v>
      </c>
      <c r="F581" s="6" t="inlineStr">
        <is>
          <t>CB400-V</t>
        </is>
      </c>
      <c r="G581" s="7" t="inlineStr"/>
      <c r="H581" s="20" t="n">
        <v>0.647</v>
      </c>
      <c r="I581" s="21" t="n">
        <v>12</v>
      </c>
      <c r="J581" s="22" t="n">
        <v>0.888</v>
      </c>
      <c r="K581" s="9">
        <f>ROUND(H581*I581*J581, 2)</f>
        <v/>
      </c>
      <c r="L581" s="23">
        <f>ROUND(K581/1000, 3)</f>
        <v/>
      </c>
      <c r="M581" s="8">
        <f>IF(AO581="","",IF(INDEX(Theo_Doi_Tan_Suat_Be_Tong!$C:$C,AO581)="","",INDEX(Theo_Doi_Tan_Suat_Be_Tong!$C:$C,AO581)-VLOOKUP(AN581,$AQ$2:$AR$7,2,FALSE)))</f>
        <v/>
      </c>
      <c r="N581" s="6" t="n"/>
      <c r="O581" s="24">
        <f>IF(ROUNDUP(Q581/20,0)&gt;ROUNDUP(Q580/20,0),"TN Ø12 (Lần " &amp; ROUNDUP(Q581/20,0) &amp; ")","")</f>
        <v/>
      </c>
      <c r="P581" s="20">
        <f>ROUND(P580+IF(AND(E581&lt;=10,F581&lt;&gt;"ASTM A416"),L581,0),3)</f>
        <v/>
      </c>
      <c r="Q581" s="20">
        <f>ROUND(Q580+IF(AND(E581=12,F581&lt;&gt;"ASTM A416"),L581,0),3)</f>
        <v/>
      </c>
      <c r="R581" s="20">
        <f>ROUND(R580+IF(AND(E581=14,F581&lt;&gt;"ASTM A416"),L581,0),3)</f>
        <v/>
      </c>
      <c r="S581" s="20">
        <f>ROUND(S580+IF(AND(E581=16,F581&lt;&gt;"ASTM A416"),L581,0),3)</f>
        <v/>
      </c>
      <c r="T581" s="20">
        <f>ROUND(T580+IF(AND(E581=18,F581&lt;&gt;"ASTM A416"),L581,0),3)</f>
        <v/>
      </c>
      <c r="U581" s="20">
        <f>ROUND(U580+IF(AND(E581=20,F581&lt;&gt;"ASTM A416"),L581,0),3)</f>
        <v/>
      </c>
      <c r="V581" s="20">
        <f>ROUND(V580+IF(AND(E581=22,F581&lt;&gt;"ASTM A416"),L581,0),3)</f>
        <v/>
      </c>
      <c r="W581" s="20">
        <f>ROUND(W580+IF(AND(E581=25,F581&lt;&gt;"ASTM A416"),L581,0),3)</f>
        <v/>
      </c>
      <c r="X581" s="20">
        <f>ROUND(X580+IF(AND(E581=28,F581&lt;&gt;"ASTM A416"),L581,0),3)</f>
        <v/>
      </c>
      <c r="Y581" s="20">
        <f>ROUND(Y580+IF(AND(E581=32,F581&lt;&gt;"ASTM A416"),L581,0),3)</f>
        <v/>
      </c>
      <c r="Z581" s="20">
        <f>ROUND(Z580+IF(F581="ASTM A416",L581,0),3)</f>
        <v/>
      </c>
      <c r="AA581" s="11">
        <f>IF(ROUNDUP(P581/20,0)&gt;ROUNDUP(P580/20,0),"Lần " &amp; ROUNDUP(P581/20,0),"")</f>
        <v/>
      </c>
      <c r="AB581" s="11">
        <f>IF(ROUNDUP(Q581/20,0)&gt;ROUNDUP(Q580/20,0),"Lần " &amp; ROUNDUP(Q581/20,0),"")</f>
        <v/>
      </c>
      <c r="AC581" s="11">
        <f>IF(ROUNDUP(R581/20,0)&gt;ROUNDUP(R580/20,0),"Lần " &amp; ROUNDUP(R581/20,0),"")</f>
        <v/>
      </c>
      <c r="AD581" s="11">
        <f>IF(ROUNDUP(S581/20,0)&gt;ROUNDUP(S580/20,0),"Lần " &amp; ROUNDUP(S581/20,0),"")</f>
        <v/>
      </c>
      <c r="AE581" s="11">
        <f>IF(ROUNDUP(T581/20,0)&gt;ROUNDUP(T580/20,0),"Lần " &amp; ROUNDUP(T581/20,0),"")</f>
        <v/>
      </c>
      <c r="AF581" s="11">
        <f>IF(ROUNDUP(U581/20,0)&gt;ROUNDUP(U580/20,0),"Lần " &amp; ROUNDUP(U581/20,0),"")</f>
        <v/>
      </c>
      <c r="AG581" s="11">
        <f>IF(ROUNDUP(V581/20,0)&gt;ROUNDUP(V580/20,0),"Lần " &amp; ROUNDUP(V581/20,0),"")</f>
        <v/>
      </c>
      <c r="AH581" s="11">
        <f>IF(ROUNDUP(W581/20,0)&gt;ROUNDUP(W580/20,0),"Lần " &amp; ROUNDUP(W581/20,0),"")</f>
        <v/>
      </c>
      <c r="AI581" s="11">
        <f>IF(ROUNDUP(X581/20,0)&gt;ROUNDUP(X580/20,0),"Lần " &amp; ROUNDUP(X581/20,0),"")</f>
        <v/>
      </c>
      <c r="AJ581" s="11">
        <f>IF(ROUNDUP(Y581/20,0)&gt;ROUNDUP(Y580/20,0),"Lần " &amp; ROUNDUP(Y581/20,0),"")</f>
        <v/>
      </c>
      <c r="AK581" s="11">
        <f>IF(ROUNDUP(Z581/20,0)&gt;ROUNDUP(Z580/20,0),"Lần " &amp; ROUNDUP(Z581/20,0),"")</f>
        <v/>
      </c>
      <c r="AL581" s="6" t="n"/>
      <c r="AN581" t="inlineStr">
        <is>
          <t>Coc</t>
        </is>
      </c>
      <c r="AO581" t="n">
        <v>15</v>
      </c>
    </row>
    <row r="582" ht="19" customHeight="1">
      <c r="A582" s="6" t="n">
        <v>554</v>
      </c>
      <c r="B582" s="7" t="inlineStr">
        <is>
          <t>Cọc khoan nhồi C1 Trụ T2 (D1.2m, L=30.0m)</t>
        </is>
      </c>
      <c r="C582" s="7" t="inlineStr">
        <is>
          <t>Cọc trụ T2 L=30m (tr.70)</t>
        </is>
      </c>
      <c r="D582" s="18" t="inlineStr">
        <is>
          <t>P9</t>
        </is>
      </c>
      <c r="E582" s="19" t="n">
        <v>12</v>
      </c>
      <c r="F582" s="6" t="inlineStr">
        <is>
          <t>CB400-V</t>
        </is>
      </c>
      <c r="G582" s="7" t="inlineStr"/>
      <c r="H582" s="20" t="n">
        <v>0.379</v>
      </c>
      <c r="I582" s="21" t="n">
        <v>36</v>
      </c>
      <c r="J582" s="22" t="n">
        <v>0.888</v>
      </c>
      <c r="K582" s="9">
        <f>ROUND(H582*I582*J582, 2)</f>
        <v/>
      </c>
      <c r="L582" s="23">
        <f>ROUND(K582/1000, 3)</f>
        <v/>
      </c>
      <c r="M582" s="8">
        <f>IF(AO582="","",IF(INDEX(Theo_Doi_Tan_Suat_Be_Tong!$C:$C,AO582)="","",INDEX(Theo_Doi_Tan_Suat_Be_Tong!$C:$C,AO582)-VLOOKUP(AN582,$AQ$2:$AR$7,2,FALSE)))</f>
        <v/>
      </c>
      <c r="N582" s="6" t="n"/>
      <c r="O582" s="24">
        <f>IF(ROUNDUP(Q582/20,0)&gt;ROUNDUP(Q581/20,0),"TN Ø12 (Lần " &amp; ROUNDUP(Q582/20,0) &amp; ")","")</f>
        <v/>
      </c>
      <c r="P582" s="20">
        <f>ROUND(P581+IF(AND(E582&lt;=10,F582&lt;&gt;"ASTM A416"),L582,0),3)</f>
        <v/>
      </c>
      <c r="Q582" s="20">
        <f>ROUND(Q581+IF(AND(E582=12,F582&lt;&gt;"ASTM A416"),L582,0),3)</f>
        <v/>
      </c>
      <c r="R582" s="20">
        <f>ROUND(R581+IF(AND(E582=14,F582&lt;&gt;"ASTM A416"),L582,0),3)</f>
        <v/>
      </c>
      <c r="S582" s="20">
        <f>ROUND(S581+IF(AND(E582=16,F582&lt;&gt;"ASTM A416"),L582,0),3)</f>
        <v/>
      </c>
      <c r="T582" s="20">
        <f>ROUND(T581+IF(AND(E582=18,F582&lt;&gt;"ASTM A416"),L582,0),3)</f>
        <v/>
      </c>
      <c r="U582" s="20">
        <f>ROUND(U581+IF(AND(E582=20,F582&lt;&gt;"ASTM A416"),L582,0),3)</f>
        <v/>
      </c>
      <c r="V582" s="20">
        <f>ROUND(V581+IF(AND(E582=22,F582&lt;&gt;"ASTM A416"),L582,0),3)</f>
        <v/>
      </c>
      <c r="W582" s="20">
        <f>ROUND(W581+IF(AND(E582=25,F582&lt;&gt;"ASTM A416"),L582,0),3)</f>
        <v/>
      </c>
      <c r="X582" s="20">
        <f>ROUND(X581+IF(AND(E582=28,F582&lt;&gt;"ASTM A416"),L582,0),3)</f>
        <v/>
      </c>
      <c r="Y582" s="20">
        <f>ROUND(Y581+IF(AND(E582=32,F582&lt;&gt;"ASTM A416"),L582,0),3)</f>
        <v/>
      </c>
      <c r="Z582" s="20">
        <f>ROUND(Z581+IF(F582="ASTM A416",L582,0),3)</f>
        <v/>
      </c>
      <c r="AA582" s="11">
        <f>IF(ROUNDUP(P582/20,0)&gt;ROUNDUP(P581/20,0),"Lần " &amp; ROUNDUP(P582/20,0),"")</f>
        <v/>
      </c>
      <c r="AB582" s="11">
        <f>IF(ROUNDUP(Q582/20,0)&gt;ROUNDUP(Q581/20,0),"Lần " &amp; ROUNDUP(Q582/20,0),"")</f>
        <v/>
      </c>
      <c r="AC582" s="11">
        <f>IF(ROUNDUP(R582/20,0)&gt;ROUNDUP(R581/20,0),"Lần " &amp; ROUNDUP(R582/20,0),"")</f>
        <v/>
      </c>
      <c r="AD582" s="11">
        <f>IF(ROUNDUP(S582/20,0)&gt;ROUNDUP(S581/20,0),"Lần " &amp; ROUNDUP(S582/20,0),"")</f>
        <v/>
      </c>
      <c r="AE582" s="11">
        <f>IF(ROUNDUP(T582/20,0)&gt;ROUNDUP(T581/20,0),"Lần " &amp; ROUNDUP(T582/20,0),"")</f>
        <v/>
      </c>
      <c r="AF582" s="11">
        <f>IF(ROUNDUP(U582/20,0)&gt;ROUNDUP(U581/20,0),"Lần " &amp; ROUNDUP(U582/20,0),"")</f>
        <v/>
      </c>
      <c r="AG582" s="11">
        <f>IF(ROUNDUP(V582/20,0)&gt;ROUNDUP(V581/20,0),"Lần " &amp; ROUNDUP(V582/20,0),"")</f>
        <v/>
      </c>
      <c r="AH582" s="11">
        <f>IF(ROUNDUP(W582/20,0)&gt;ROUNDUP(W581/20,0),"Lần " &amp; ROUNDUP(W582/20,0),"")</f>
        <v/>
      </c>
      <c r="AI582" s="11">
        <f>IF(ROUNDUP(X582/20,0)&gt;ROUNDUP(X581/20,0),"Lần " &amp; ROUNDUP(X582/20,0),"")</f>
        <v/>
      </c>
      <c r="AJ582" s="11">
        <f>IF(ROUNDUP(Y582/20,0)&gt;ROUNDUP(Y581/20,0),"Lần " &amp; ROUNDUP(Y582/20,0),"")</f>
        <v/>
      </c>
      <c r="AK582" s="11">
        <f>IF(ROUNDUP(Z582/20,0)&gt;ROUNDUP(Z581/20,0),"Lần " &amp; ROUNDUP(Z582/20,0),"")</f>
        <v/>
      </c>
      <c r="AL582" s="6" t="n"/>
      <c r="AN582" t="inlineStr">
        <is>
          <t>Coc</t>
        </is>
      </c>
      <c r="AO582" t="n">
        <v>15</v>
      </c>
    </row>
    <row r="583" ht="19" customHeight="1">
      <c r="A583" s="6" t="n">
        <v>555</v>
      </c>
      <c r="B583" s="7" t="inlineStr">
        <is>
          <t>Cọc khoan nhồi C1 Trụ T2 (D1.2m, L=30.0m)</t>
        </is>
      </c>
      <c r="C583" s="7" t="inlineStr">
        <is>
          <t>Cọc trụ T2 L=30m (tr.70)</t>
        </is>
      </c>
      <c r="D583" s="18" t="inlineStr">
        <is>
          <t>P10</t>
        </is>
      </c>
      <c r="E583" s="19" t="n">
        <v>20</v>
      </c>
      <c r="F583" s="6" t="inlineStr">
        <is>
          <t>CB400-V</t>
        </is>
      </c>
      <c r="G583" s="7" t="inlineStr"/>
      <c r="H583" s="20" t="n">
        <v>2.057</v>
      </c>
      <c r="I583" s="21" t="n">
        <v>1</v>
      </c>
      <c r="J583" s="22" t="n">
        <v>2.466</v>
      </c>
      <c r="K583" s="9">
        <f>ROUND(H583*I583*J583, 2)</f>
        <v/>
      </c>
      <c r="L583" s="23">
        <f>ROUND(K583/1000, 3)</f>
        <v/>
      </c>
      <c r="M583" s="8">
        <f>IF(AO583="","",IF(INDEX(Theo_Doi_Tan_Suat_Be_Tong!$C:$C,AO583)="","",INDEX(Theo_Doi_Tan_Suat_Be_Tong!$C:$C,AO583)-VLOOKUP(AN583,$AQ$2:$AR$7,2,FALSE)))</f>
        <v/>
      </c>
      <c r="N583" s="6" t="n"/>
      <c r="O583" s="24">
        <f>IF(ROUNDUP(U583/20,0)&gt;ROUNDUP(U582/20,0),"TN Ø20 (Lần " &amp; ROUNDUP(U583/20,0) &amp; ")","")</f>
        <v/>
      </c>
      <c r="P583" s="20">
        <f>ROUND(P582+IF(AND(E583&lt;=10,F583&lt;&gt;"ASTM A416"),L583,0),3)</f>
        <v/>
      </c>
      <c r="Q583" s="20">
        <f>ROUND(Q582+IF(AND(E583=12,F583&lt;&gt;"ASTM A416"),L583,0),3)</f>
        <v/>
      </c>
      <c r="R583" s="20">
        <f>ROUND(R582+IF(AND(E583=14,F583&lt;&gt;"ASTM A416"),L583,0),3)</f>
        <v/>
      </c>
      <c r="S583" s="20">
        <f>ROUND(S582+IF(AND(E583=16,F583&lt;&gt;"ASTM A416"),L583,0),3)</f>
        <v/>
      </c>
      <c r="T583" s="20">
        <f>ROUND(T582+IF(AND(E583=18,F583&lt;&gt;"ASTM A416"),L583,0),3)</f>
        <v/>
      </c>
      <c r="U583" s="20">
        <f>ROUND(U582+IF(AND(E583=20,F583&lt;&gt;"ASTM A416"),L583,0),3)</f>
        <v/>
      </c>
      <c r="V583" s="20">
        <f>ROUND(V582+IF(AND(E583=22,F583&lt;&gt;"ASTM A416"),L583,0),3)</f>
        <v/>
      </c>
      <c r="W583" s="20">
        <f>ROUND(W582+IF(AND(E583=25,F583&lt;&gt;"ASTM A416"),L583,0),3)</f>
        <v/>
      </c>
      <c r="X583" s="20">
        <f>ROUND(X582+IF(AND(E583=28,F583&lt;&gt;"ASTM A416"),L583,0),3)</f>
        <v/>
      </c>
      <c r="Y583" s="20">
        <f>ROUND(Y582+IF(AND(E583=32,F583&lt;&gt;"ASTM A416"),L583,0),3)</f>
        <v/>
      </c>
      <c r="Z583" s="20">
        <f>ROUND(Z582+IF(F583="ASTM A416",L583,0),3)</f>
        <v/>
      </c>
      <c r="AA583" s="11">
        <f>IF(ROUNDUP(P583/20,0)&gt;ROUNDUP(P582/20,0),"Lần " &amp; ROUNDUP(P583/20,0),"")</f>
        <v/>
      </c>
      <c r="AB583" s="11">
        <f>IF(ROUNDUP(Q583/20,0)&gt;ROUNDUP(Q582/20,0),"Lần " &amp; ROUNDUP(Q583/20,0),"")</f>
        <v/>
      </c>
      <c r="AC583" s="11">
        <f>IF(ROUNDUP(R583/20,0)&gt;ROUNDUP(R582/20,0),"Lần " &amp; ROUNDUP(R583/20,0),"")</f>
        <v/>
      </c>
      <c r="AD583" s="11">
        <f>IF(ROUNDUP(S583/20,0)&gt;ROUNDUP(S582/20,0),"Lần " &amp; ROUNDUP(S583/20,0),"")</f>
        <v/>
      </c>
      <c r="AE583" s="11">
        <f>IF(ROUNDUP(T583/20,0)&gt;ROUNDUP(T582/20,0),"Lần " &amp; ROUNDUP(T583/20,0),"")</f>
        <v/>
      </c>
      <c r="AF583" s="11">
        <f>IF(ROUNDUP(U583/20,0)&gt;ROUNDUP(U582/20,0),"Lần " &amp; ROUNDUP(U583/20,0),"")</f>
        <v/>
      </c>
      <c r="AG583" s="11">
        <f>IF(ROUNDUP(V583/20,0)&gt;ROUNDUP(V582/20,0),"Lần " &amp; ROUNDUP(V583/20,0),"")</f>
        <v/>
      </c>
      <c r="AH583" s="11">
        <f>IF(ROUNDUP(W583/20,0)&gt;ROUNDUP(W582/20,0),"Lần " &amp; ROUNDUP(W583/20,0),"")</f>
        <v/>
      </c>
      <c r="AI583" s="11">
        <f>IF(ROUNDUP(X583/20,0)&gt;ROUNDUP(X582/20,0),"Lần " &amp; ROUNDUP(X583/20,0),"")</f>
        <v/>
      </c>
      <c r="AJ583" s="11">
        <f>IF(ROUNDUP(Y583/20,0)&gt;ROUNDUP(Y582/20,0),"Lần " &amp; ROUNDUP(Y583/20,0),"")</f>
        <v/>
      </c>
      <c r="AK583" s="11">
        <f>IF(ROUNDUP(Z583/20,0)&gt;ROUNDUP(Z582/20,0),"Lần " &amp; ROUNDUP(Z583/20,0),"")</f>
        <v/>
      </c>
      <c r="AL583" s="6" t="n"/>
      <c r="AN583" t="inlineStr">
        <is>
          <t>Coc</t>
        </is>
      </c>
      <c r="AO583" t="n">
        <v>15</v>
      </c>
    </row>
    <row r="584" ht="19" customHeight="1">
      <c r="A584" s="6" t="n">
        <v>556</v>
      </c>
      <c r="B584" s="7" t="inlineStr">
        <is>
          <t>Cọc khoan nhồi C1 Trụ T2 (D1.2m, L=30.0m)</t>
        </is>
      </c>
      <c r="C584" s="7" t="inlineStr">
        <is>
          <t>Cọc trụ T2 L=30m (tr.70)</t>
        </is>
      </c>
      <c r="D584" s="18" t="inlineStr">
        <is>
          <t>P12</t>
        </is>
      </c>
      <c r="E584" s="19" t="n">
        <v>20</v>
      </c>
      <c r="F584" s="6" t="inlineStr">
        <is>
          <t>CB400-V</t>
        </is>
      </c>
      <c r="G584" s="7" t="inlineStr"/>
      <c r="H584" s="20" t="n">
        <v>0.583</v>
      </c>
      <c r="I584" s="21" t="n">
        <v>48</v>
      </c>
      <c r="J584" s="22" t="n">
        <v>2.466</v>
      </c>
      <c r="K584" s="9">
        <f>ROUND(H584*I584*J584, 2)</f>
        <v/>
      </c>
      <c r="L584" s="23">
        <f>ROUND(K584/1000, 3)</f>
        <v/>
      </c>
      <c r="M584" s="8">
        <f>IF(AO584="","",IF(INDEX(Theo_Doi_Tan_Suat_Be_Tong!$C:$C,AO584)="","",INDEX(Theo_Doi_Tan_Suat_Be_Tong!$C:$C,AO584)-VLOOKUP(AN584,$AQ$2:$AR$7,2,FALSE)))</f>
        <v/>
      </c>
      <c r="N584" s="6" t="n"/>
      <c r="O584" s="24">
        <f>IF(ROUNDUP(U584/20,0)&gt;ROUNDUP(U583/20,0),"TN Ø20 (Lần " &amp; ROUNDUP(U584/20,0) &amp; ")","")</f>
        <v/>
      </c>
      <c r="P584" s="20">
        <f>ROUND(P583+IF(AND(E584&lt;=10,F584&lt;&gt;"ASTM A416"),L584,0),3)</f>
        <v/>
      </c>
      <c r="Q584" s="20">
        <f>ROUND(Q583+IF(AND(E584=12,F584&lt;&gt;"ASTM A416"),L584,0),3)</f>
        <v/>
      </c>
      <c r="R584" s="20">
        <f>ROUND(R583+IF(AND(E584=14,F584&lt;&gt;"ASTM A416"),L584,0),3)</f>
        <v/>
      </c>
      <c r="S584" s="20">
        <f>ROUND(S583+IF(AND(E584=16,F584&lt;&gt;"ASTM A416"),L584,0),3)</f>
        <v/>
      </c>
      <c r="T584" s="20">
        <f>ROUND(T583+IF(AND(E584=18,F584&lt;&gt;"ASTM A416"),L584,0),3)</f>
        <v/>
      </c>
      <c r="U584" s="20">
        <f>ROUND(U583+IF(AND(E584=20,F584&lt;&gt;"ASTM A416"),L584,0),3)</f>
        <v/>
      </c>
      <c r="V584" s="20">
        <f>ROUND(V583+IF(AND(E584=22,F584&lt;&gt;"ASTM A416"),L584,0),3)</f>
        <v/>
      </c>
      <c r="W584" s="20">
        <f>ROUND(W583+IF(AND(E584=25,F584&lt;&gt;"ASTM A416"),L584,0),3)</f>
        <v/>
      </c>
      <c r="X584" s="20">
        <f>ROUND(X583+IF(AND(E584=28,F584&lt;&gt;"ASTM A416"),L584,0),3)</f>
        <v/>
      </c>
      <c r="Y584" s="20">
        <f>ROUND(Y583+IF(AND(E584=32,F584&lt;&gt;"ASTM A416"),L584,0),3)</f>
        <v/>
      </c>
      <c r="Z584" s="20">
        <f>ROUND(Z583+IF(F584="ASTM A416",L584,0),3)</f>
        <v/>
      </c>
      <c r="AA584" s="11">
        <f>IF(ROUNDUP(P584/20,0)&gt;ROUNDUP(P583/20,0),"Lần " &amp; ROUNDUP(P584/20,0),"")</f>
        <v/>
      </c>
      <c r="AB584" s="11">
        <f>IF(ROUNDUP(Q584/20,0)&gt;ROUNDUP(Q583/20,0),"Lần " &amp; ROUNDUP(Q584/20,0),"")</f>
        <v/>
      </c>
      <c r="AC584" s="11">
        <f>IF(ROUNDUP(R584/20,0)&gt;ROUNDUP(R583/20,0),"Lần " &amp; ROUNDUP(R584/20,0),"")</f>
        <v/>
      </c>
      <c r="AD584" s="11">
        <f>IF(ROUNDUP(S584/20,0)&gt;ROUNDUP(S583/20,0),"Lần " &amp; ROUNDUP(S584/20,0),"")</f>
        <v/>
      </c>
      <c r="AE584" s="11">
        <f>IF(ROUNDUP(T584/20,0)&gt;ROUNDUP(T583/20,0),"Lần " &amp; ROUNDUP(T584/20,0),"")</f>
        <v/>
      </c>
      <c r="AF584" s="11">
        <f>IF(ROUNDUP(U584/20,0)&gt;ROUNDUP(U583/20,0),"Lần " &amp; ROUNDUP(U584/20,0),"")</f>
        <v/>
      </c>
      <c r="AG584" s="11">
        <f>IF(ROUNDUP(V584/20,0)&gt;ROUNDUP(V583/20,0),"Lần " &amp; ROUNDUP(V584/20,0),"")</f>
        <v/>
      </c>
      <c r="AH584" s="11">
        <f>IF(ROUNDUP(W584/20,0)&gt;ROUNDUP(W583/20,0),"Lần " &amp; ROUNDUP(W584/20,0),"")</f>
        <v/>
      </c>
      <c r="AI584" s="11">
        <f>IF(ROUNDUP(X584/20,0)&gt;ROUNDUP(X583/20,0),"Lần " &amp; ROUNDUP(X584/20,0),"")</f>
        <v/>
      </c>
      <c r="AJ584" s="11">
        <f>IF(ROUNDUP(Y584/20,0)&gt;ROUNDUP(Y583/20,0),"Lần " &amp; ROUNDUP(Y584/20,0),"")</f>
        <v/>
      </c>
      <c r="AK584" s="11">
        <f>IF(ROUNDUP(Z584/20,0)&gt;ROUNDUP(Z583/20,0),"Lần " &amp; ROUNDUP(Z584/20,0),"")</f>
        <v/>
      </c>
      <c r="AL584" s="6" t="n"/>
      <c r="AN584" t="inlineStr">
        <is>
          <t>Coc</t>
        </is>
      </c>
      <c r="AO584" t="n">
        <v>15</v>
      </c>
    </row>
    <row r="585" ht="19" customHeight="1">
      <c r="A585" s="6" t="n">
        <v>557</v>
      </c>
      <c r="B585" s="7" t="inlineStr">
        <is>
          <t>Cọc khoan nhồi C1 Trụ T2 (D1.2m, L=30.0m)</t>
        </is>
      </c>
      <c r="C585" s="7" t="inlineStr">
        <is>
          <t>Cọc trụ T2 L=30m (tr.70)</t>
        </is>
      </c>
      <c r="D585" s="18" t="inlineStr">
        <is>
          <t>P11</t>
        </is>
      </c>
      <c r="E585" s="19" t="n">
        <v>16</v>
      </c>
      <c r="F585" s="6" t="inlineStr">
        <is>
          <t>CB400-V</t>
        </is>
      </c>
      <c r="G585" s="7" t="inlineStr"/>
      <c r="H585" s="20" t="n">
        <v>2.604</v>
      </c>
      <c r="I585" s="21" t="n">
        <v>4</v>
      </c>
      <c r="J585" s="22" t="n">
        <v>1.578</v>
      </c>
      <c r="K585" s="9">
        <f>ROUND(H585*I585*J585, 2)</f>
        <v/>
      </c>
      <c r="L585" s="23">
        <f>ROUND(K585/1000, 3)</f>
        <v/>
      </c>
      <c r="M585" s="8">
        <f>IF(AO585="","",IF(INDEX(Theo_Doi_Tan_Suat_Be_Tong!$C:$C,AO585)="","",INDEX(Theo_Doi_Tan_Suat_Be_Tong!$C:$C,AO585)-VLOOKUP(AN585,$AQ$2:$AR$7,2,FALSE)))</f>
        <v/>
      </c>
      <c r="N585" s="6" t="n"/>
      <c r="O585" s="24">
        <f>IF(ROUNDUP(S585/20,0)&gt;ROUNDUP(S584/20,0),"TN Ø16 (Lần " &amp; ROUNDUP(S585/20,0) &amp; ")","")</f>
        <v/>
      </c>
      <c r="P585" s="20">
        <f>ROUND(P584+IF(AND(E585&lt;=10,F585&lt;&gt;"ASTM A416"),L585,0),3)</f>
        <v/>
      </c>
      <c r="Q585" s="20">
        <f>ROUND(Q584+IF(AND(E585=12,F585&lt;&gt;"ASTM A416"),L585,0),3)</f>
        <v/>
      </c>
      <c r="R585" s="20">
        <f>ROUND(R584+IF(AND(E585=14,F585&lt;&gt;"ASTM A416"),L585,0),3)</f>
        <v/>
      </c>
      <c r="S585" s="20">
        <f>ROUND(S584+IF(AND(E585=16,F585&lt;&gt;"ASTM A416"),L585,0),3)</f>
        <v/>
      </c>
      <c r="T585" s="20">
        <f>ROUND(T584+IF(AND(E585=18,F585&lt;&gt;"ASTM A416"),L585,0),3)</f>
        <v/>
      </c>
      <c r="U585" s="20">
        <f>ROUND(U584+IF(AND(E585=20,F585&lt;&gt;"ASTM A416"),L585,0),3)</f>
        <v/>
      </c>
      <c r="V585" s="20">
        <f>ROUND(V584+IF(AND(E585=22,F585&lt;&gt;"ASTM A416"),L585,0),3)</f>
        <v/>
      </c>
      <c r="W585" s="20">
        <f>ROUND(W584+IF(AND(E585=25,F585&lt;&gt;"ASTM A416"),L585,0),3)</f>
        <v/>
      </c>
      <c r="X585" s="20">
        <f>ROUND(X584+IF(AND(E585=28,F585&lt;&gt;"ASTM A416"),L585,0),3)</f>
        <v/>
      </c>
      <c r="Y585" s="20">
        <f>ROUND(Y584+IF(AND(E585=32,F585&lt;&gt;"ASTM A416"),L585,0),3)</f>
        <v/>
      </c>
      <c r="Z585" s="20">
        <f>ROUND(Z584+IF(F585="ASTM A416",L585,0),3)</f>
        <v/>
      </c>
      <c r="AA585" s="11">
        <f>IF(ROUNDUP(P585/20,0)&gt;ROUNDUP(P584/20,0),"Lần " &amp; ROUNDUP(P585/20,0),"")</f>
        <v/>
      </c>
      <c r="AB585" s="11">
        <f>IF(ROUNDUP(Q585/20,0)&gt;ROUNDUP(Q584/20,0),"Lần " &amp; ROUNDUP(Q585/20,0),"")</f>
        <v/>
      </c>
      <c r="AC585" s="11">
        <f>IF(ROUNDUP(R585/20,0)&gt;ROUNDUP(R584/20,0),"Lần " &amp; ROUNDUP(R585/20,0),"")</f>
        <v/>
      </c>
      <c r="AD585" s="11">
        <f>IF(ROUNDUP(S585/20,0)&gt;ROUNDUP(S584/20,0),"Lần " &amp; ROUNDUP(S585/20,0),"")</f>
        <v/>
      </c>
      <c r="AE585" s="11">
        <f>IF(ROUNDUP(T585/20,0)&gt;ROUNDUP(T584/20,0),"Lần " &amp; ROUNDUP(T585/20,0),"")</f>
        <v/>
      </c>
      <c r="AF585" s="11">
        <f>IF(ROUNDUP(U585/20,0)&gt;ROUNDUP(U584/20,0),"Lần " &amp; ROUNDUP(U585/20,0),"")</f>
        <v/>
      </c>
      <c r="AG585" s="11">
        <f>IF(ROUNDUP(V585/20,0)&gt;ROUNDUP(V584/20,0),"Lần " &amp; ROUNDUP(V585/20,0),"")</f>
        <v/>
      </c>
      <c r="AH585" s="11">
        <f>IF(ROUNDUP(W585/20,0)&gt;ROUNDUP(W584/20,0),"Lần " &amp; ROUNDUP(W585/20,0),"")</f>
        <v/>
      </c>
      <c r="AI585" s="11">
        <f>IF(ROUNDUP(X585/20,0)&gt;ROUNDUP(X584/20,0),"Lần " &amp; ROUNDUP(X585/20,0),"")</f>
        <v/>
      </c>
      <c r="AJ585" s="11">
        <f>IF(ROUNDUP(Y585/20,0)&gt;ROUNDUP(Y584/20,0),"Lần " &amp; ROUNDUP(Y585/20,0),"")</f>
        <v/>
      </c>
      <c r="AK585" s="11">
        <f>IF(ROUNDUP(Z585/20,0)&gt;ROUNDUP(Z584/20,0),"Lần " &amp; ROUNDUP(Z585/20,0),"")</f>
        <v/>
      </c>
      <c r="AL585" s="6" t="n"/>
      <c r="AN585" t="inlineStr">
        <is>
          <t>Coc</t>
        </is>
      </c>
      <c r="AO585" t="n">
        <v>15</v>
      </c>
    </row>
    <row r="586" ht="19" customHeight="1">
      <c r="A586" s="17" t="inlineStr">
        <is>
          <t>--- CỌC KHOAN NHỒI C2 TRỤ T2 (D1.2M, L=30.0M) ---</t>
        </is>
      </c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  <c r="AK586" s="35" t="n"/>
      <c r="AL586" s="34" t="n"/>
    </row>
    <row r="587" ht="19" customHeight="1">
      <c r="A587" s="6" t="n">
        <v>558</v>
      </c>
      <c r="B587" s="7" t="inlineStr">
        <is>
          <t>Cọc khoan nhồi C2 Trụ T2 (D1.2m, L=30.0m)</t>
        </is>
      </c>
      <c r="C587" s="7" t="inlineStr">
        <is>
          <t>Cọc trụ T2 L=30m (tr.70)</t>
        </is>
      </c>
      <c r="D587" s="18" t="inlineStr">
        <is>
          <t>P1</t>
        </is>
      </c>
      <c r="E587" s="19" t="n">
        <v>10</v>
      </c>
      <c r="F587" s="6" t="inlineStr">
        <is>
          <t>CB240-T</t>
        </is>
      </c>
      <c r="G587" s="7" t="inlineStr"/>
      <c r="H587" s="20" t="n">
        <v>96.604</v>
      </c>
      <c r="I587" s="21" t="n">
        <v>1</v>
      </c>
      <c r="J587" s="22" t="n">
        <v>0.617</v>
      </c>
      <c r="K587" s="9">
        <f>ROUND(H587*I587*J587, 2)</f>
        <v/>
      </c>
      <c r="L587" s="23">
        <f>ROUND(K587/1000, 3)</f>
        <v/>
      </c>
      <c r="M587" s="8">
        <f>IF(AO587="","",IF(INDEX(Theo_Doi_Tan_Suat_Be_Tong!$C:$C,AO587)="","",INDEX(Theo_Doi_Tan_Suat_Be_Tong!$C:$C,AO587)-VLOOKUP(AN587,$AQ$2:$AR$7,2,FALSE)))</f>
        <v/>
      </c>
      <c r="N587" s="6" t="n"/>
      <c r="O587" s="24">
        <f>IF(ROUNDUP(P587/20,0)&gt;ROUNDUP(P585/20,0),"TN Ø10 (Lần " &amp; ROUNDUP(P587/20,0) &amp; ")","")</f>
        <v/>
      </c>
      <c r="P587" s="20">
        <f>ROUND(P585+IF(AND(E587&lt;=10,F587&lt;&gt;"ASTM A416"),L587,0),3)</f>
        <v/>
      </c>
      <c r="Q587" s="20">
        <f>ROUND(Q585+IF(AND(E587=12,F587&lt;&gt;"ASTM A416"),L587,0),3)</f>
        <v/>
      </c>
      <c r="R587" s="20">
        <f>ROUND(R585+IF(AND(E587=14,F587&lt;&gt;"ASTM A416"),L587,0),3)</f>
        <v/>
      </c>
      <c r="S587" s="20">
        <f>ROUND(S585+IF(AND(E587=16,F587&lt;&gt;"ASTM A416"),L587,0),3)</f>
        <v/>
      </c>
      <c r="T587" s="20">
        <f>ROUND(T585+IF(AND(E587=18,F587&lt;&gt;"ASTM A416"),L587,0),3)</f>
        <v/>
      </c>
      <c r="U587" s="20">
        <f>ROUND(U585+IF(AND(E587=20,F587&lt;&gt;"ASTM A416"),L587,0),3)</f>
        <v/>
      </c>
      <c r="V587" s="20">
        <f>ROUND(V585+IF(AND(E587=22,F587&lt;&gt;"ASTM A416"),L587,0),3)</f>
        <v/>
      </c>
      <c r="W587" s="20">
        <f>ROUND(W585+IF(AND(E587=25,F587&lt;&gt;"ASTM A416"),L587,0),3)</f>
        <v/>
      </c>
      <c r="X587" s="20">
        <f>ROUND(X585+IF(AND(E587=28,F587&lt;&gt;"ASTM A416"),L587,0),3)</f>
        <v/>
      </c>
      <c r="Y587" s="20">
        <f>ROUND(Y585+IF(AND(E587=32,F587&lt;&gt;"ASTM A416"),L587,0),3)</f>
        <v/>
      </c>
      <c r="Z587" s="20">
        <f>ROUND(Z585+IF(F587="ASTM A416",L587,0),3)</f>
        <v/>
      </c>
      <c r="AA587" s="11">
        <f>IF(ROUNDUP(P587/20,0)&gt;ROUNDUP(P585/20,0),"Lần " &amp; ROUNDUP(P587/20,0),"")</f>
        <v/>
      </c>
      <c r="AB587" s="11">
        <f>IF(ROUNDUP(Q587/20,0)&gt;ROUNDUP(Q585/20,0),"Lần " &amp; ROUNDUP(Q587/20,0),"")</f>
        <v/>
      </c>
      <c r="AC587" s="11">
        <f>IF(ROUNDUP(R587/20,0)&gt;ROUNDUP(R585/20,0),"Lần " &amp; ROUNDUP(R587/20,0),"")</f>
        <v/>
      </c>
      <c r="AD587" s="11">
        <f>IF(ROUNDUP(S587/20,0)&gt;ROUNDUP(S585/20,0),"Lần " &amp; ROUNDUP(S587/20,0),"")</f>
        <v/>
      </c>
      <c r="AE587" s="11">
        <f>IF(ROUNDUP(T587/20,0)&gt;ROUNDUP(T585/20,0),"Lần " &amp; ROUNDUP(T587/20,0),"")</f>
        <v/>
      </c>
      <c r="AF587" s="11">
        <f>IF(ROUNDUP(U587/20,0)&gt;ROUNDUP(U585/20,0),"Lần " &amp; ROUNDUP(U587/20,0),"")</f>
        <v/>
      </c>
      <c r="AG587" s="11">
        <f>IF(ROUNDUP(V587/20,0)&gt;ROUNDUP(V585/20,0),"Lần " &amp; ROUNDUP(V587/20,0),"")</f>
        <v/>
      </c>
      <c r="AH587" s="11">
        <f>IF(ROUNDUP(W587/20,0)&gt;ROUNDUP(W585/20,0),"Lần " &amp; ROUNDUP(W587/20,0),"")</f>
        <v/>
      </c>
      <c r="AI587" s="11">
        <f>IF(ROUNDUP(X587/20,0)&gt;ROUNDUP(X585/20,0),"Lần " &amp; ROUNDUP(X587/20,0),"")</f>
        <v/>
      </c>
      <c r="AJ587" s="11">
        <f>IF(ROUNDUP(Y587/20,0)&gt;ROUNDUP(Y585/20,0),"Lần " &amp; ROUNDUP(Y587/20,0),"")</f>
        <v/>
      </c>
      <c r="AK587" s="11">
        <f>IF(ROUNDUP(Z587/20,0)&gt;ROUNDUP(Z585/20,0),"Lần " &amp; ROUNDUP(Z587/20,0),"")</f>
        <v/>
      </c>
      <c r="AL587" s="6" t="n"/>
      <c r="AN587" t="inlineStr">
        <is>
          <t>Coc</t>
        </is>
      </c>
      <c r="AO587" t="n">
        <v>16</v>
      </c>
    </row>
    <row r="588" ht="19" customHeight="1">
      <c r="A588" s="6" t="n">
        <v>559</v>
      </c>
      <c r="B588" s="7" t="inlineStr">
        <is>
          <t>Cọc khoan nhồi C2 Trụ T2 (D1.2m, L=30.0m)</t>
        </is>
      </c>
      <c r="C588" s="7" t="inlineStr">
        <is>
          <t>Cọc trụ T2 L=30m (tr.70)</t>
        </is>
      </c>
      <c r="D588" s="18" t="inlineStr">
        <is>
          <t>P1A</t>
        </is>
      </c>
      <c r="E588" s="19" t="n">
        <v>10</v>
      </c>
      <c r="F588" s="6" t="inlineStr">
        <is>
          <t>CB240-T</t>
        </is>
      </c>
      <c r="G588" s="7" t="inlineStr"/>
      <c r="H588" s="20" t="n">
        <v>389.636</v>
      </c>
      <c r="I588" s="21" t="n">
        <v>1</v>
      </c>
      <c r="J588" s="22" t="n">
        <v>0.617</v>
      </c>
      <c r="K588" s="9">
        <f>ROUND(H588*I588*J588, 2)</f>
        <v/>
      </c>
      <c r="L588" s="23">
        <f>ROUND(K588/1000, 3)</f>
        <v/>
      </c>
      <c r="M588" s="8">
        <f>IF(AO588="","",IF(INDEX(Theo_Doi_Tan_Suat_Be_Tong!$C:$C,AO588)="","",INDEX(Theo_Doi_Tan_Suat_Be_Tong!$C:$C,AO588)-VLOOKUP(AN588,$AQ$2:$AR$7,2,FALSE)))</f>
        <v/>
      </c>
      <c r="N588" s="6" t="n"/>
      <c r="O588" s="24">
        <f>IF(ROUNDUP(P588/20,0)&gt;ROUNDUP(P587/20,0),"TN Ø10 (Lần " &amp; ROUNDUP(P588/20,0) &amp; ")","")</f>
        <v/>
      </c>
      <c r="P588" s="20">
        <f>ROUND(P587+IF(AND(E588&lt;=10,F588&lt;&gt;"ASTM A416"),L588,0),3)</f>
        <v/>
      </c>
      <c r="Q588" s="20">
        <f>ROUND(Q587+IF(AND(E588=12,F588&lt;&gt;"ASTM A416"),L588,0),3)</f>
        <v/>
      </c>
      <c r="R588" s="20">
        <f>ROUND(R587+IF(AND(E588=14,F588&lt;&gt;"ASTM A416"),L588,0),3)</f>
        <v/>
      </c>
      <c r="S588" s="20">
        <f>ROUND(S587+IF(AND(E588=16,F588&lt;&gt;"ASTM A416"),L588,0),3)</f>
        <v/>
      </c>
      <c r="T588" s="20">
        <f>ROUND(T587+IF(AND(E588=18,F588&lt;&gt;"ASTM A416"),L588,0),3)</f>
        <v/>
      </c>
      <c r="U588" s="20">
        <f>ROUND(U587+IF(AND(E588=20,F588&lt;&gt;"ASTM A416"),L588,0),3)</f>
        <v/>
      </c>
      <c r="V588" s="20">
        <f>ROUND(V587+IF(AND(E588=22,F588&lt;&gt;"ASTM A416"),L588,0),3)</f>
        <v/>
      </c>
      <c r="W588" s="20">
        <f>ROUND(W587+IF(AND(E588=25,F588&lt;&gt;"ASTM A416"),L588,0),3)</f>
        <v/>
      </c>
      <c r="X588" s="20">
        <f>ROUND(X587+IF(AND(E588=28,F588&lt;&gt;"ASTM A416"),L588,0),3)</f>
        <v/>
      </c>
      <c r="Y588" s="20">
        <f>ROUND(Y587+IF(AND(E588=32,F588&lt;&gt;"ASTM A416"),L588,0),3)</f>
        <v/>
      </c>
      <c r="Z588" s="20">
        <f>ROUND(Z587+IF(F588="ASTM A416",L588,0),3)</f>
        <v/>
      </c>
      <c r="AA588" s="11">
        <f>IF(ROUNDUP(P588/20,0)&gt;ROUNDUP(P587/20,0),"Lần " &amp; ROUNDUP(P588/20,0),"")</f>
        <v/>
      </c>
      <c r="AB588" s="11">
        <f>IF(ROUNDUP(Q588/20,0)&gt;ROUNDUP(Q587/20,0),"Lần " &amp; ROUNDUP(Q588/20,0),"")</f>
        <v/>
      </c>
      <c r="AC588" s="11">
        <f>IF(ROUNDUP(R588/20,0)&gt;ROUNDUP(R587/20,0),"Lần " &amp; ROUNDUP(R588/20,0),"")</f>
        <v/>
      </c>
      <c r="AD588" s="11">
        <f>IF(ROUNDUP(S588/20,0)&gt;ROUNDUP(S587/20,0),"Lần " &amp; ROUNDUP(S588/20,0),"")</f>
        <v/>
      </c>
      <c r="AE588" s="11">
        <f>IF(ROUNDUP(T588/20,0)&gt;ROUNDUP(T587/20,0),"Lần " &amp; ROUNDUP(T588/20,0),"")</f>
        <v/>
      </c>
      <c r="AF588" s="11">
        <f>IF(ROUNDUP(U588/20,0)&gt;ROUNDUP(U587/20,0),"Lần " &amp; ROUNDUP(U588/20,0),"")</f>
        <v/>
      </c>
      <c r="AG588" s="11">
        <f>IF(ROUNDUP(V588/20,0)&gt;ROUNDUP(V587/20,0),"Lần " &amp; ROUNDUP(V588/20,0),"")</f>
        <v/>
      </c>
      <c r="AH588" s="11">
        <f>IF(ROUNDUP(W588/20,0)&gt;ROUNDUP(W587/20,0),"Lần " &amp; ROUNDUP(W588/20,0),"")</f>
        <v/>
      </c>
      <c r="AI588" s="11">
        <f>IF(ROUNDUP(X588/20,0)&gt;ROUNDUP(X587/20,0),"Lần " &amp; ROUNDUP(X588/20,0),"")</f>
        <v/>
      </c>
      <c r="AJ588" s="11">
        <f>IF(ROUNDUP(Y588/20,0)&gt;ROUNDUP(Y587/20,0),"Lần " &amp; ROUNDUP(Y588/20,0),"")</f>
        <v/>
      </c>
      <c r="AK588" s="11">
        <f>IF(ROUNDUP(Z588/20,0)&gt;ROUNDUP(Z587/20,0),"Lần " &amp; ROUNDUP(Z588/20,0),"")</f>
        <v/>
      </c>
      <c r="AL588" s="6" t="n"/>
      <c r="AN588" t="inlineStr">
        <is>
          <t>Coc</t>
        </is>
      </c>
      <c r="AO588" t="n">
        <v>16</v>
      </c>
    </row>
    <row r="589" ht="19" customHeight="1">
      <c r="A589" s="6" t="n">
        <v>560</v>
      </c>
      <c r="B589" s="7" t="inlineStr">
        <is>
          <t>Cọc khoan nhồi C2 Trụ T2 (D1.2m, L=30.0m)</t>
        </is>
      </c>
      <c r="C589" s="7" t="inlineStr">
        <is>
          <t>Cọc trụ T2 L=30m (tr.70)</t>
        </is>
      </c>
      <c r="D589" s="18" t="inlineStr">
        <is>
          <t>P1B</t>
        </is>
      </c>
      <c r="E589" s="19" t="n">
        <v>10</v>
      </c>
      <c r="F589" s="6" t="inlineStr">
        <is>
          <t>CB240-T</t>
        </is>
      </c>
      <c r="G589" s="7" t="inlineStr"/>
      <c r="H589" s="20" t="n">
        <v>100.256</v>
      </c>
      <c r="I589" s="21" t="n">
        <v>1</v>
      </c>
      <c r="J589" s="22" t="n">
        <v>0.617</v>
      </c>
      <c r="K589" s="9">
        <f>ROUND(H589*I589*J589, 2)</f>
        <v/>
      </c>
      <c r="L589" s="23">
        <f>ROUND(K589/1000, 3)</f>
        <v/>
      </c>
      <c r="M589" s="8">
        <f>IF(AO589="","",IF(INDEX(Theo_Doi_Tan_Suat_Be_Tong!$C:$C,AO589)="","",INDEX(Theo_Doi_Tan_Suat_Be_Tong!$C:$C,AO589)-VLOOKUP(AN589,$AQ$2:$AR$7,2,FALSE)))</f>
        <v/>
      </c>
      <c r="N589" s="6" t="n"/>
      <c r="O589" s="24">
        <f>IF(ROUNDUP(P589/20,0)&gt;ROUNDUP(P588/20,0),"TN Ø10 (Lần " &amp; ROUNDUP(P589/20,0) &amp; ")","")</f>
        <v/>
      </c>
      <c r="P589" s="20">
        <f>ROUND(P588+IF(AND(E589&lt;=10,F589&lt;&gt;"ASTM A416"),L589,0),3)</f>
        <v/>
      </c>
      <c r="Q589" s="20">
        <f>ROUND(Q588+IF(AND(E589=12,F589&lt;&gt;"ASTM A416"),L589,0),3)</f>
        <v/>
      </c>
      <c r="R589" s="20">
        <f>ROUND(R588+IF(AND(E589=14,F589&lt;&gt;"ASTM A416"),L589,0),3)</f>
        <v/>
      </c>
      <c r="S589" s="20">
        <f>ROUND(S588+IF(AND(E589=16,F589&lt;&gt;"ASTM A416"),L589,0),3)</f>
        <v/>
      </c>
      <c r="T589" s="20">
        <f>ROUND(T588+IF(AND(E589=18,F589&lt;&gt;"ASTM A416"),L589,0),3)</f>
        <v/>
      </c>
      <c r="U589" s="20">
        <f>ROUND(U588+IF(AND(E589=20,F589&lt;&gt;"ASTM A416"),L589,0),3)</f>
        <v/>
      </c>
      <c r="V589" s="20">
        <f>ROUND(V588+IF(AND(E589=22,F589&lt;&gt;"ASTM A416"),L589,0),3)</f>
        <v/>
      </c>
      <c r="W589" s="20">
        <f>ROUND(W588+IF(AND(E589=25,F589&lt;&gt;"ASTM A416"),L589,0),3)</f>
        <v/>
      </c>
      <c r="X589" s="20">
        <f>ROUND(X588+IF(AND(E589=28,F589&lt;&gt;"ASTM A416"),L589,0),3)</f>
        <v/>
      </c>
      <c r="Y589" s="20">
        <f>ROUND(Y588+IF(AND(E589=32,F589&lt;&gt;"ASTM A416"),L589,0),3)</f>
        <v/>
      </c>
      <c r="Z589" s="20">
        <f>ROUND(Z588+IF(F589="ASTM A416",L589,0),3)</f>
        <v/>
      </c>
      <c r="AA589" s="11">
        <f>IF(ROUNDUP(P589/20,0)&gt;ROUNDUP(P588/20,0),"Lần " &amp; ROUNDUP(P589/20,0),"")</f>
        <v/>
      </c>
      <c r="AB589" s="11">
        <f>IF(ROUNDUP(Q589/20,0)&gt;ROUNDUP(Q588/20,0),"Lần " &amp; ROUNDUP(Q589/20,0),"")</f>
        <v/>
      </c>
      <c r="AC589" s="11">
        <f>IF(ROUNDUP(R589/20,0)&gt;ROUNDUP(R588/20,0),"Lần " &amp; ROUNDUP(R589/20,0),"")</f>
        <v/>
      </c>
      <c r="AD589" s="11">
        <f>IF(ROUNDUP(S589/20,0)&gt;ROUNDUP(S588/20,0),"Lần " &amp; ROUNDUP(S589/20,0),"")</f>
        <v/>
      </c>
      <c r="AE589" s="11">
        <f>IF(ROUNDUP(T589/20,0)&gt;ROUNDUP(T588/20,0),"Lần " &amp; ROUNDUP(T589/20,0),"")</f>
        <v/>
      </c>
      <c r="AF589" s="11">
        <f>IF(ROUNDUP(U589/20,0)&gt;ROUNDUP(U588/20,0),"Lần " &amp; ROUNDUP(U589/20,0),"")</f>
        <v/>
      </c>
      <c r="AG589" s="11">
        <f>IF(ROUNDUP(V589/20,0)&gt;ROUNDUP(V588/20,0),"Lần " &amp; ROUNDUP(V589/20,0),"")</f>
        <v/>
      </c>
      <c r="AH589" s="11">
        <f>IF(ROUNDUP(W589/20,0)&gt;ROUNDUP(W588/20,0),"Lần " &amp; ROUNDUP(W589/20,0),"")</f>
        <v/>
      </c>
      <c r="AI589" s="11">
        <f>IF(ROUNDUP(X589/20,0)&gt;ROUNDUP(X588/20,0),"Lần " &amp; ROUNDUP(X589/20,0),"")</f>
        <v/>
      </c>
      <c r="AJ589" s="11">
        <f>IF(ROUNDUP(Y589/20,0)&gt;ROUNDUP(Y588/20,0),"Lần " &amp; ROUNDUP(Y589/20,0),"")</f>
        <v/>
      </c>
      <c r="AK589" s="11">
        <f>IF(ROUNDUP(Z589/20,0)&gt;ROUNDUP(Z588/20,0),"Lần " &amp; ROUNDUP(Z589/20,0),"")</f>
        <v/>
      </c>
      <c r="AL589" s="6" t="n"/>
      <c r="AN589" t="inlineStr">
        <is>
          <t>Coc</t>
        </is>
      </c>
      <c r="AO589" t="n">
        <v>16</v>
      </c>
    </row>
    <row r="590" ht="19" customHeight="1">
      <c r="A590" s="6" t="n">
        <v>561</v>
      </c>
      <c r="B590" s="7" t="inlineStr">
        <is>
          <t>Cọc khoan nhồi C2 Trụ T2 (D1.2m, L=30.0m)</t>
        </is>
      </c>
      <c r="C590" s="7" t="inlineStr">
        <is>
          <t>Cọc trụ T2 L=30m (tr.70)</t>
        </is>
      </c>
      <c r="D590" s="18" t="inlineStr">
        <is>
          <t>P1C</t>
        </is>
      </c>
      <c r="E590" s="19" t="n">
        <v>10</v>
      </c>
      <c r="F590" s="6" t="inlineStr">
        <is>
          <t>CB240-T</t>
        </is>
      </c>
      <c r="G590" s="7" t="inlineStr"/>
      <c r="H590" s="20" t="n">
        <v>3.592</v>
      </c>
      <c r="I590" s="21" t="n">
        <v>2</v>
      </c>
      <c r="J590" s="22" t="n">
        <v>0.617</v>
      </c>
      <c r="K590" s="9">
        <f>ROUND(H590*I590*J590, 2)</f>
        <v/>
      </c>
      <c r="L590" s="23">
        <f>ROUND(K590/1000, 3)</f>
        <v/>
      </c>
      <c r="M590" s="8">
        <f>IF(AO590="","",IF(INDEX(Theo_Doi_Tan_Suat_Be_Tong!$C:$C,AO590)="","",INDEX(Theo_Doi_Tan_Suat_Be_Tong!$C:$C,AO590)-VLOOKUP(AN590,$AQ$2:$AR$7,2,FALSE)))</f>
        <v/>
      </c>
      <c r="N590" s="6" t="n"/>
      <c r="O590" s="24">
        <f>IF(ROUNDUP(P590/20,0)&gt;ROUNDUP(P589/20,0),"TN Ø10 (Lần " &amp; ROUNDUP(P590/20,0) &amp; ")","")</f>
        <v/>
      </c>
      <c r="P590" s="20">
        <f>ROUND(P589+IF(AND(E590&lt;=10,F590&lt;&gt;"ASTM A416"),L590,0),3)</f>
        <v/>
      </c>
      <c r="Q590" s="20">
        <f>ROUND(Q589+IF(AND(E590=12,F590&lt;&gt;"ASTM A416"),L590,0),3)</f>
        <v/>
      </c>
      <c r="R590" s="20">
        <f>ROUND(R589+IF(AND(E590=14,F590&lt;&gt;"ASTM A416"),L590,0),3)</f>
        <v/>
      </c>
      <c r="S590" s="20">
        <f>ROUND(S589+IF(AND(E590=16,F590&lt;&gt;"ASTM A416"),L590,0),3)</f>
        <v/>
      </c>
      <c r="T590" s="20">
        <f>ROUND(T589+IF(AND(E590=18,F590&lt;&gt;"ASTM A416"),L590,0),3)</f>
        <v/>
      </c>
      <c r="U590" s="20">
        <f>ROUND(U589+IF(AND(E590=20,F590&lt;&gt;"ASTM A416"),L590,0),3)</f>
        <v/>
      </c>
      <c r="V590" s="20">
        <f>ROUND(V589+IF(AND(E590=22,F590&lt;&gt;"ASTM A416"),L590,0),3)</f>
        <v/>
      </c>
      <c r="W590" s="20">
        <f>ROUND(W589+IF(AND(E590=25,F590&lt;&gt;"ASTM A416"),L590,0),3)</f>
        <v/>
      </c>
      <c r="X590" s="20">
        <f>ROUND(X589+IF(AND(E590=28,F590&lt;&gt;"ASTM A416"),L590,0),3)</f>
        <v/>
      </c>
      <c r="Y590" s="20">
        <f>ROUND(Y589+IF(AND(E590=32,F590&lt;&gt;"ASTM A416"),L590,0),3)</f>
        <v/>
      </c>
      <c r="Z590" s="20">
        <f>ROUND(Z589+IF(F590="ASTM A416",L590,0),3)</f>
        <v/>
      </c>
      <c r="AA590" s="11">
        <f>IF(ROUNDUP(P590/20,0)&gt;ROUNDUP(P589/20,0),"Lần " &amp; ROUNDUP(P590/20,0),"")</f>
        <v/>
      </c>
      <c r="AB590" s="11">
        <f>IF(ROUNDUP(Q590/20,0)&gt;ROUNDUP(Q589/20,0),"Lần " &amp; ROUNDUP(Q590/20,0),"")</f>
        <v/>
      </c>
      <c r="AC590" s="11">
        <f>IF(ROUNDUP(R590/20,0)&gt;ROUNDUP(R589/20,0),"Lần " &amp; ROUNDUP(R590/20,0),"")</f>
        <v/>
      </c>
      <c r="AD590" s="11">
        <f>IF(ROUNDUP(S590/20,0)&gt;ROUNDUP(S589/20,0),"Lần " &amp; ROUNDUP(S590/20,0),"")</f>
        <v/>
      </c>
      <c r="AE590" s="11">
        <f>IF(ROUNDUP(T590/20,0)&gt;ROUNDUP(T589/20,0),"Lần " &amp; ROUNDUP(T590/20,0),"")</f>
        <v/>
      </c>
      <c r="AF590" s="11">
        <f>IF(ROUNDUP(U590/20,0)&gt;ROUNDUP(U589/20,0),"Lần " &amp; ROUNDUP(U590/20,0),"")</f>
        <v/>
      </c>
      <c r="AG590" s="11">
        <f>IF(ROUNDUP(V590/20,0)&gt;ROUNDUP(V589/20,0),"Lần " &amp; ROUNDUP(V590/20,0),"")</f>
        <v/>
      </c>
      <c r="AH590" s="11">
        <f>IF(ROUNDUP(W590/20,0)&gt;ROUNDUP(W589/20,0),"Lần " &amp; ROUNDUP(W590/20,0),"")</f>
        <v/>
      </c>
      <c r="AI590" s="11">
        <f>IF(ROUNDUP(X590/20,0)&gt;ROUNDUP(X589/20,0),"Lần " &amp; ROUNDUP(X590/20,0),"")</f>
        <v/>
      </c>
      <c r="AJ590" s="11">
        <f>IF(ROUNDUP(Y590/20,0)&gt;ROUNDUP(Y589/20,0),"Lần " &amp; ROUNDUP(Y590/20,0),"")</f>
        <v/>
      </c>
      <c r="AK590" s="11">
        <f>IF(ROUNDUP(Z590/20,0)&gt;ROUNDUP(Z589/20,0),"Lần " &amp; ROUNDUP(Z590/20,0),"")</f>
        <v/>
      </c>
      <c r="AL590" s="6" t="n"/>
      <c r="AN590" t="inlineStr">
        <is>
          <t>Coc</t>
        </is>
      </c>
      <c r="AO590" t="n">
        <v>16</v>
      </c>
    </row>
    <row r="591" ht="19" customHeight="1">
      <c r="A591" s="6" t="n">
        <v>562</v>
      </c>
      <c r="B591" s="7" t="inlineStr">
        <is>
          <t>Cọc khoan nhồi C2 Trụ T2 (D1.2m, L=30.0m)</t>
        </is>
      </c>
      <c r="C591" s="7" t="inlineStr">
        <is>
          <t>Cọc trụ T2 L=30m (tr.70)</t>
        </is>
      </c>
      <c r="D591" s="18" t="inlineStr">
        <is>
          <t>P1D</t>
        </is>
      </c>
      <c r="E591" s="19" t="n">
        <v>10</v>
      </c>
      <c r="F591" s="6" t="inlineStr">
        <is>
          <t>CB240-T</t>
        </is>
      </c>
      <c r="G591" s="7" t="inlineStr"/>
      <c r="H591" s="20" t="n">
        <v>19.721</v>
      </c>
      <c r="I591" s="21" t="n">
        <v>1</v>
      </c>
      <c r="J591" s="22" t="n">
        <v>0.617</v>
      </c>
      <c r="K591" s="9">
        <f>ROUND(H591*I591*J591, 2)</f>
        <v/>
      </c>
      <c r="L591" s="23">
        <f>ROUND(K591/1000, 3)</f>
        <v/>
      </c>
      <c r="M591" s="8">
        <f>IF(AO591="","",IF(INDEX(Theo_Doi_Tan_Suat_Be_Tong!$C:$C,AO591)="","",INDEX(Theo_Doi_Tan_Suat_Be_Tong!$C:$C,AO591)-VLOOKUP(AN591,$AQ$2:$AR$7,2,FALSE)))</f>
        <v/>
      </c>
      <c r="N591" s="6" t="n"/>
      <c r="O591" s="24">
        <f>IF(ROUNDUP(P591/20,0)&gt;ROUNDUP(P590/20,0),"TN Ø10 (Lần " &amp; ROUNDUP(P591/20,0) &amp; ")","")</f>
        <v/>
      </c>
      <c r="P591" s="20">
        <f>ROUND(P590+IF(AND(E591&lt;=10,F591&lt;&gt;"ASTM A416"),L591,0),3)</f>
        <v/>
      </c>
      <c r="Q591" s="20">
        <f>ROUND(Q590+IF(AND(E591=12,F591&lt;&gt;"ASTM A416"),L591,0),3)</f>
        <v/>
      </c>
      <c r="R591" s="20">
        <f>ROUND(R590+IF(AND(E591=14,F591&lt;&gt;"ASTM A416"),L591,0),3)</f>
        <v/>
      </c>
      <c r="S591" s="20">
        <f>ROUND(S590+IF(AND(E591=16,F591&lt;&gt;"ASTM A416"),L591,0),3)</f>
        <v/>
      </c>
      <c r="T591" s="20">
        <f>ROUND(T590+IF(AND(E591=18,F591&lt;&gt;"ASTM A416"),L591,0),3)</f>
        <v/>
      </c>
      <c r="U591" s="20">
        <f>ROUND(U590+IF(AND(E591=20,F591&lt;&gt;"ASTM A416"),L591,0),3)</f>
        <v/>
      </c>
      <c r="V591" s="20">
        <f>ROUND(V590+IF(AND(E591=22,F591&lt;&gt;"ASTM A416"),L591,0),3)</f>
        <v/>
      </c>
      <c r="W591" s="20">
        <f>ROUND(W590+IF(AND(E591=25,F591&lt;&gt;"ASTM A416"),L591,0),3)</f>
        <v/>
      </c>
      <c r="X591" s="20">
        <f>ROUND(X590+IF(AND(E591=28,F591&lt;&gt;"ASTM A416"),L591,0),3)</f>
        <v/>
      </c>
      <c r="Y591" s="20">
        <f>ROUND(Y590+IF(AND(E591=32,F591&lt;&gt;"ASTM A416"),L591,0),3)</f>
        <v/>
      </c>
      <c r="Z591" s="20">
        <f>ROUND(Z590+IF(F591="ASTM A416",L591,0),3)</f>
        <v/>
      </c>
      <c r="AA591" s="11">
        <f>IF(ROUNDUP(P591/20,0)&gt;ROUNDUP(P590/20,0),"Lần " &amp; ROUNDUP(P591/20,0),"")</f>
        <v/>
      </c>
      <c r="AB591" s="11">
        <f>IF(ROUNDUP(Q591/20,0)&gt;ROUNDUP(Q590/20,0),"Lần " &amp; ROUNDUP(Q591/20,0),"")</f>
        <v/>
      </c>
      <c r="AC591" s="11">
        <f>IF(ROUNDUP(R591/20,0)&gt;ROUNDUP(R590/20,0),"Lần " &amp; ROUNDUP(R591/20,0),"")</f>
        <v/>
      </c>
      <c r="AD591" s="11">
        <f>IF(ROUNDUP(S591/20,0)&gt;ROUNDUP(S590/20,0),"Lần " &amp; ROUNDUP(S591/20,0),"")</f>
        <v/>
      </c>
      <c r="AE591" s="11">
        <f>IF(ROUNDUP(T591/20,0)&gt;ROUNDUP(T590/20,0),"Lần " &amp; ROUNDUP(T591/20,0),"")</f>
        <v/>
      </c>
      <c r="AF591" s="11">
        <f>IF(ROUNDUP(U591/20,0)&gt;ROUNDUP(U590/20,0),"Lần " &amp; ROUNDUP(U591/20,0),"")</f>
        <v/>
      </c>
      <c r="AG591" s="11">
        <f>IF(ROUNDUP(V591/20,0)&gt;ROUNDUP(V590/20,0),"Lần " &amp; ROUNDUP(V591/20,0),"")</f>
        <v/>
      </c>
      <c r="AH591" s="11">
        <f>IF(ROUNDUP(W591/20,0)&gt;ROUNDUP(W590/20,0),"Lần " &amp; ROUNDUP(W591/20,0),"")</f>
        <v/>
      </c>
      <c r="AI591" s="11">
        <f>IF(ROUNDUP(X591/20,0)&gt;ROUNDUP(X590/20,0),"Lần " &amp; ROUNDUP(X591/20,0),"")</f>
        <v/>
      </c>
      <c r="AJ591" s="11">
        <f>IF(ROUNDUP(Y591/20,0)&gt;ROUNDUP(Y590/20,0),"Lần " &amp; ROUNDUP(Y591/20,0),"")</f>
        <v/>
      </c>
      <c r="AK591" s="11">
        <f>IF(ROUNDUP(Z591/20,0)&gt;ROUNDUP(Z590/20,0),"Lần " &amp; ROUNDUP(Z591/20,0),"")</f>
        <v/>
      </c>
      <c r="AL591" s="6" t="n"/>
      <c r="AN591" t="inlineStr">
        <is>
          <t>Coc</t>
        </is>
      </c>
      <c r="AO591" t="n">
        <v>16</v>
      </c>
    </row>
    <row r="592" ht="19" customHeight="1">
      <c r="A592" s="6" t="n">
        <v>563</v>
      </c>
      <c r="B592" s="7" t="inlineStr">
        <is>
          <t>Cọc khoan nhồi C2 Trụ T2 (D1.2m, L=30.0m)</t>
        </is>
      </c>
      <c r="C592" s="7" t="inlineStr">
        <is>
          <t>Cọc trụ T2 L=30m (tr.70)</t>
        </is>
      </c>
      <c r="D592" s="18" t="inlineStr">
        <is>
          <t>P2B</t>
        </is>
      </c>
      <c r="E592" s="19" t="n">
        <v>25</v>
      </c>
      <c r="F592" s="6" t="inlineStr">
        <is>
          <t>CB400-V</t>
        </is>
      </c>
      <c r="G592" s="7" t="inlineStr"/>
      <c r="H592" s="20" t="n">
        <v>2.985</v>
      </c>
      <c r="I592" s="21" t="n">
        <v>12</v>
      </c>
      <c r="J592" s="22" t="n">
        <v>3.853</v>
      </c>
      <c r="K592" s="9">
        <f>ROUND(H592*I592*J592, 2)</f>
        <v/>
      </c>
      <c r="L592" s="23">
        <f>ROUND(K592/1000, 3)</f>
        <v/>
      </c>
      <c r="M592" s="8">
        <f>IF(AO592="","",IF(INDEX(Theo_Doi_Tan_Suat_Be_Tong!$C:$C,AO592)="","",INDEX(Theo_Doi_Tan_Suat_Be_Tong!$C:$C,AO592)-VLOOKUP(AN592,$AQ$2:$AR$7,2,FALSE)))</f>
        <v/>
      </c>
      <c r="N592" s="6" t="n"/>
      <c r="O592" s="24">
        <f>IF(ROUNDUP(W592/20,0)&gt;ROUNDUP(W591/20,0),"TN Ø25 (Lần " &amp; ROUNDUP(W592/20,0) &amp; ")","")</f>
        <v/>
      </c>
      <c r="P592" s="20">
        <f>ROUND(P591+IF(AND(E592&lt;=10,F592&lt;&gt;"ASTM A416"),L592,0),3)</f>
        <v/>
      </c>
      <c r="Q592" s="20">
        <f>ROUND(Q591+IF(AND(E592=12,F592&lt;&gt;"ASTM A416"),L592,0),3)</f>
        <v/>
      </c>
      <c r="R592" s="20">
        <f>ROUND(R591+IF(AND(E592=14,F592&lt;&gt;"ASTM A416"),L592,0),3)</f>
        <v/>
      </c>
      <c r="S592" s="20">
        <f>ROUND(S591+IF(AND(E592=16,F592&lt;&gt;"ASTM A416"),L592,0),3)</f>
        <v/>
      </c>
      <c r="T592" s="20">
        <f>ROUND(T591+IF(AND(E592=18,F592&lt;&gt;"ASTM A416"),L592,0),3)</f>
        <v/>
      </c>
      <c r="U592" s="20">
        <f>ROUND(U591+IF(AND(E592=20,F592&lt;&gt;"ASTM A416"),L592,0),3)</f>
        <v/>
      </c>
      <c r="V592" s="20">
        <f>ROUND(V591+IF(AND(E592=22,F592&lt;&gt;"ASTM A416"),L592,0),3)</f>
        <v/>
      </c>
      <c r="W592" s="20">
        <f>ROUND(W591+IF(AND(E592=25,F592&lt;&gt;"ASTM A416"),L592,0),3)</f>
        <v/>
      </c>
      <c r="X592" s="20">
        <f>ROUND(X591+IF(AND(E592=28,F592&lt;&gt;"ASTM A416"),L592,0),3)</f>
        <v/>
      </c>
      <c r="Y592" s="20">
        <f>ROUND(Y591+IF(AND(E592=32,F592&lt;&gt;"ASTM A416"),L592,0),3)</f>
        <v/>
      </c>
      <c r="Z592" s="20">
        <f>ROUND(Z591+IF(F592="ASTM A416",L592,0),3)</f>
        <v/>
      </c>
      <c r="AA592" s="11">
        <f>IF(ROUNDUP(P592/20,0)&gt;ROUNDUP(P591/20,0),"Lần " &amp; ROUNDUP(P592/20,0),"")</f>
        <v/>
      </c>
      <c r="AB592" s="11">
        <f>IF(ROUNDUP(Q592/20,0)&gt;ROUNDUP(Q591/20,0),"Lần " &amp; ROUNDUP(Q592/20,0),"")</f>
        <v/>
      </c>
      <c r="AC592" s="11">
        <f>IF(ROUNDUP(R592/20,0)&gt;ROUNDUP(R591/20,0),"Lần " &amp; ROUNDUP(R592/20,0),"")</f>
        <v/>
      </c>
      <c r="AD592" s="11">
        <f>IF(ROUNDUP(S592/20,0)&gt;ROUNDUP(S591/20,0),"Lần " &amp; ROUNDUP(S592/20,0),"")</f>
        <v/>
      </c>
      <c r="AE592" s="11">
        <f>IF(ROUNDUP(T592/20,0)&gt;ROUNDUP(T591/20,0),"Lần " &amp; ROUNDUP(T592/20,0),"")</f>
        <v/>
      </c>
      <c r="AF592" s="11">
        <f>IF(ROUNDUP(U592/20,0)&gt;ROUNDUP(U591/20,0),"Lần " &amp; ROUNDUP(U592/20,0),"")</f>
        <v/>
      </c>
      <c r="AG592" s="11">
        <f>IF(ROUNDUP(V592/20,0)&gt;ROUNDUP(V591/20,0),"Lần " &amp; ROUNDUP(V592/20,0),"")</f>
        <v/>
      </c>
      <c r="AH592" s="11">
        <f>IF(ROUNDUP(W592/20,0)&gt;ROUNDUP(W591/20,0),"Lần " &amp; ROUNDUP(W592/20,0),"")</f>
        <v/>
      </c>
      <c r="AI592" s="11">
        <f>IF(ROUNDUP(X592/20,0)&gt;ROUNDUP(X591/20,0),"Lần " &amp; ROUNDUP(X592/20,0),"")</f>
        <v/>
      </c>
      <c r="AJ592" s="11">
        <f>IF(ROUNDUP(Y592/20,0)&gt;ROUNDUP(Y591/20,0),"Lần " &amp; ROUNDUP(Y592/20,0),"")</f>
        <v/>
      </c>
      <c r="AK592" s="11">
        <f>IF(ROUNDUP(Z592/20,0)&gt;ROUNDUP(Z591/20,0),"Lần " &amp; ROUNDUP(Z592/20,0),"")</f>
        <v/>
      </c>
      <c r="AL592" s="6" t="n"/>
      <c r="AN592" t="inlineStr">
        <is>
          <t>Coc</t>
        </is>
      </c>
      <c r="AO592" t="n">
        <v>16</v>
      </c>
    </row>
    <row r="593" ht="19" customHeight="1">
      <c r="A593" s="6" t="n">
        <v>564</v>
      </c>
      <c r="B593" s="7" t="inlineStr">
        <is>
          <t>Cọc khoan nhồi C2 Trụ T2 (D1.2m, L=30.0m)</t>
        </is>
      </c>
      <c r="C593" s="7" t="inlineStr">
        <is>
          <t>Cọc trụ T2 L=30m (tr.70)</t>
        </is>
      </c>
      <c r="D593" s="18" t="inlineStr">
        <is>
          <t>P3</t>
        </is>
      </c>
      <c r="E593" s="19" t="n">
        <v>25</v>
      </c>
      <c r="F593" s="6" t="inlineStr">
        <is>
          <t>CB400-V</t>
        </is>
      </c>
      <c r="G593" s="7" t="inlineStr"/>
      <c r="H593" s="20" t="n">
        <v>10.7</v>
      </c>
      <c r="I593" s="21" t="n">
        <v>12</v>
      </c>
      <c r="J593" s="22" t="n">
        <v>3.853</v>
      </c>
      <c r="K593" s="9">
        <f>ROUND(H593*I593*J593, 2)</f>
        <v/>
      </c>
      <c r="L593" s="23">
        <f>ROUND(K593/1000, 3)</f>
        <v/>
      </c>
      <c r="M593" s="8">
        <f>IF(AO593="","",IF(INDEX(Theo_Doi_Tan_Suat_Be_Tong!$C:$C,AO593)="","",INDEX(Theo_Doi_Tan_Suat_Be_Tong!$C:$C,AO593)-VLOOKUP(AN593,$AQ$2:$AR$7,2,FALSE)))</f>
        <v/>
      </c>
      <c r="N593" s="6" t="n"/>
      <c r="O593" s="24">
        <f>IF(ROUNDUP(W593/20,0)&gt;ROUNDUP(W592/20,0),"TN Ø25 (Lần " &amp; ROUNDUP(W593/20,0) &amp; ")","")</f>
        <v/>
      </c>
      <c r="P593" s="20">
        <f>ROUND(P592+IF(AND(E593&lt;=10,F593&lt;&gt;"ASTM A416"),L593,0),3)</f>
        <v/>
      </c>
      <c r="Q593" s="20">
        <f>ROUND(Q592+IF(AND(E593=12,F593&lt;&gt;"ASTM A416"),L593,0),3)</f>
        <v/>
      </c>
      <c r="R593" s="20">
        <f>ROUND(R592+IF(AND(E593=14,F593&lt;&gt;"ASTM A416"),L593,0),3)</f>
        <v/>
      </c>
      <c r="S593" s="20">
        <f>ROUND(S592+IF(AND(E593=16,F593&lt;&gt;"ASTM A416"),L593,0),3)</f>
        <v/>
      </c>
      <c r="T593" s="20">
        <f>ROUND(T592+IF(AND(E593=18,F593&lt;&gt;"ASTM A416"),L593,0),3)</f>
        <v/>
      </c>
      <c r="U593" s="20">
        <f>ROUND(U592+IF(AND(E593=20,F593&lt;&gt;"ASTM A416"),L593,0),3)</f>
        <v/>
      </c>
      <c r="V593" s="20">
        <f>ROUND(V592+IF(AND(E593=22,F593&lt;&gt;"ASTM A416"),L593,0),3)</f>
        <v/>
      </c>
      <c r="W593" s="20">
        <f>ROUND(W592+IF(AND(E593=25,F593&lt;&gt;"ASTM A416"),L593,0),3)</f>
        <v/>
      </c>
      <c r="X593" s="20">
        <f>ROUND(X592+IF(AND(E593=28,F593&lt;&gt;"ASTM A416"),L593,0),3)</f>
        <v/>
      </c>
      <c r="Y593" s="20">
        <f>ROUND(Y592+IF(AND(E593=32,F593&lt;&gt;"ASTM A416"),L593,0),3)</f>
        <v/>
      </c>
      <c r="Z593" s="20">
        <f>ROUND(Z592+IF(F593="ASTM A416",L593,0),3)</f>
        <v/>
      </c>
      <c r="AA593" s="11">
        <f>IF(ROUNDUP(P593/20,0)&gt;ROUNDUP(P592/20,0),"Lần " &amp; ROUNDUP(P593/20,0),"")</f>
        <v/>
      </c>
      <c r="AB593" s="11">
        <f>IF(ROUNDUP(Q593/20,0)&gt;ROUNDUP(Q592/20,0),"Lần " &amp; ROUNDUP(Q593/20,0),"")</f>
        <v/>
      </c>
      <c r="AC593" s="11">
        <f>IF(ROUNDUP(R593/20,0)&gt;ROUNDUP(R592/20,0),"Lần " &amp; ROUNDUP(R593/20,0),"")</f>
        <v/>
      </c>
      <c r="AD593" s="11">
        <f>IF(ROUNDUP(S593/20,0)&gt;ROUNDUP(S592/20,0),"Lần " &amp; ROUNDUP(S593/20,0),"")</f>
        <v/>
      </c>
      <c r="AE593" s="11">
        <f>IF(ROUNDUP(T593/20,0)&gt;ROUNDUP(T592/20,0),"Lần " &amp; ROUNDUP(T593/20,0),"")</f>
        <v/>
      </c>
      <c r="AF593" s="11">
        <f>IF(ROUNDUP(U593/20,0)&gt;ROUNDUP(U592/20,0),"Lần " &amp; ROUNDUP(U593/20,0),"")</f>
        <v/>
      </c>
      <c r="AG593" s="11">
        <f>IF(ROUNDUP(V593/20,0)&gt;ROUNDUP(V592/20,0),"Lần " &amp; ROUNDUP(V593/20,0),"")</f>
        <v/>
      </c>
      <c r="AH593" s="11">
        <f>IF(ROUNDUP(W593/20,0)&gt;ROUNDUP(W592/20,0),"Lần " &amp; ROUNDUP(W593/20,0),"")</f>
        <v/>
      </c>
      <c r="AI593" s="11">
        <f>IF(ROUNDUP(X593/20,0)&gt;ROUNDUP(X592/20,0),"Lần " &amp; ROUNDUP(X593/20,0),"")</f>
        <v/>
      </c>
      <c r="AJ593" s="11">
        <f>IF(ROUNDUP(Y593/20,0)&gt;ROUNDUP(Y592/20,0),"Lần " &amp; ROUNDUP(Y593/20,0),"")</f>
        <v/>
      </c>
      <c r="AK593" s="11">
        <f>IF(ROUNDUP(Z593/20,0)&gt;ROUNDUP(Z592/20,0),"Lần " &amp; ROUNDUP(Z593/20,0),"")</f>
        <v/>
      </c>
      <c r="AL593" s="6" t="n"/>
      <c r="AN593" t="inlineStr">
        <is>
          <t>Coc</t>
        </is>
      </c>
      <c r="AO593" t="n">
        <v>16</v>
      </c>
    </row>
    <row r="594" ht="19" customHeight="1">
      <c r="A594" s="6" t="n">
        <v>565</v>
      </c>
      <c r="B594" s="7" t="inlineStr">
        <is>
          <t>Cọc khoan nhồi C2 Trụ T2 (D1.2m, L=30.0m)</t>
        </is>
      </c>
      <c r="C594" s="7" t="inlineStr">
        <is>
          <t>Cọc trụ T2 L=30m (tr.70)</t>
        </is>
      </c>
      <c r="D594" s="18" t="inlineStr">
        <is>
          <t>P4</t>
        </is>
      </c>
      <c r="E594" s="19" t="n">
        <v>25</v>
      </c>
      <c r="F594" s="6" t="inlineStr">
        <is>
          <t>CB400-V</t>
        </is>
      </c>
      <c r="G594" s="7" t="inlineStr"/>
      <c r="H594" s="20" t="n">
        <v>11.7</v>
      </c>
      <c r="I594" s="21" t="n">
        <v>36</v>
      </c>
      <c r="J594" s="22" t="n">
        <v>3.853</v>
      </c>
      <c r="K594" s="9">
        <f>ROUND(H594*I594*J594, 2)</f>
        <v/>
      </c>
      <c r="L594" s="23">
        <f>ROUND(K594/1000, 3)</f>
        <v/>
      </c>
      <c r="M594" s="8">
        <f>IF(AO594="","",IF(INDEX(Theo_Doi_Tan_Suat_Be_Tong!$C:$C,AO594)="","",INDEX(Theo_Doi_Tan_Suat_Be_Tong!$C:$C,AO594)-VLOOKUP(AN594,$AQ$2:$AR$7,2,FALSE)))</f>
        <v/>
      </c>
      <c r="N594" s="6" t="n"/>
      <c r="O594" s="24">
        <f>IF(ROUNDUP(W594/20,0)&gt;ROUNDUP(W593/20,0),"TN Ø25 (Lần " &amp; ROUNDUP(W594/20,0) &amp; ")","")</f>
        <v/>
      </c>
      <c r="P594" s="20">
        <f>ROUND(P593+IF(AND(E594&lt;=10,F594&lt;&gt;"ASTM A416"),L594,0),3)</f>
        <v/>
      </c>
      <c r="Q594" s="20">
        <f>ROUND(Q593+IF(AND(E594=12,F594&lt;&gt;"ASTM A416"),L594,0),3)</f>
        <v/>
      </c>
      <c r="R594" s="20">
        <f>ROUND(R593+IF(AND(E594=14,F594&lt;&gt;"ASTM A416"),L594,0),3)</f>
        <v/>
      </c>
      <c r="S594" s="20">
        <f>ROUND(S593+IF(AND(E594=16,F594&lt;&gt;"ASTM A416"),L594,0),3)</f>
        <v/>
      </c>
      <c r="T594" s="20">
        <f>ROUND(T593+IF(AND(E594=18,F594&lt;&gt;"ASTM A416"),L594,0),3)</f>
        <v/>
      </c>
      <c r="U594" s="20">
        <f>ROUND(U593+IF(AND(E594=20,F594&lt;&gt;"ASTM A416"),L594,0),3)</f>
        <v/>
      </c>
      <c r="V594" s="20">
        <f>ROUND(V593+IF(AND(E594=22,F594&lt;&gt;"ASTM A416"),L594,0),3)</f>
        <v/>
      </c>
      <c r="W594" s="20">
        <f>ROUND(W593+IF(AND(E594=25,F594&lt;&gt;"ASTM A416"),L594,0),3)</f>
        <v/>
      </c>
      <c r="X594" s="20">
        <f>ROUND(X593+IF(AND(E594=28,F594&lt;&gt;"ASTM A416"),L594,0),3)</f>
        <v/>
      </c>
      <c r="Y594" s="20">
        <f>ROUND(Y593+IF(AND(E594=32,F594&lt;&gt;"ASTM A416"),L594,0),3)</f>
        <v/>
      </c>
      <c r="Z594" s="20">
        <f>ROUND(Z593+IF(F594="ASTM A416",L594,0),3)</f>
        <v/>
      </c>
      <c r="AA594" s="11">
        <f>IF(ROUNDUP(P594/20,0)&gt;ROUNDUP(P593/20,0),"Lần " &amp; ROUNDUP(P594/20,0),"")</f>
        <v/>
      </c>
      <c r="AB594" s="11">
        <f>IF(ROUNDUP(Q594/20,0)&gt;ROUNDUP(Q593/20,0),"Lần " &amp; ROUNDUP(Q594/20,0),"")</f>
        <v/>
      </c>
      <c r="AC594" s="11">
        <f>IF(ROUNDUP(R594/20,0)&gt;ROUNDUP(R593/20,0),"Lần " &amp; ROUNDUP(R594/20,0),"")</f>
        <v/>
      </c>
      <c r="AD594" s="11">
        <f>IF(ROUNDUP(S594/20,0)&gt;ROUNDUP(S593/20,0),"Lần " &amp; ROUNDUP(S594/20,0),"")</f>
        <v/>
      </c>
      <c r="AE594" s="11">
        <f>IF(ROUNDUP(T594/20,0)&gt;ROUNDUP(T593/20,0),"Lần " &amp; ROUNDUP(T594/20,0),"")</f>
        <v/>
      </c>
      <c r="AF594" s="11">
        <f>IF(ROUNDUP(U594/20,0)&gt;ROUNDUP(U593/20,0),"Lần " &amp; ROUNDUP(U594/20,0),"")</f>
        <v/>
      </c>
      <c r="AG594" s="11">
        <f>IF(ROUNDUP(V594/20,0)&gt;ROUNDUP(V593/20,0),"Lần " &amp; ROUNDUP(V594/20,0),"")</f>
        <v/>
      </c>
      <c r="AH594" s="11">
        <f>IF(ROUNDUP(W594/20,0)&gt;ROUNDUP(W593/20,0),"Lần " &amp; ROUNDUP(W594/20,0),"")</f>
        <v/>
      </c>
      <c r="AI594" s="11">
        <f>IF(ROUNDUP(X594/20,0)&gt;ROUNDUP(X593/20,0),"Lần " &amp; ROUNDUP(X594/20,0),"")</f>
        <v/>
      </c>
      <c r="AJ594" s="11">
        <f>IF(ROUNDUP(Y594/20,0)&gt;ROUNDUP(Y593/20,0),"Lần " &amp; ROUNDUP(Y594/20,0),"")</f>
        <v/>
      </c>
      <c r="AK594" s="11">
        <f>IF(ROUNDUP(Z594/20,0)&gt;ROUNDUP(Z593/20,0),"Lần " &amp; ROUNDUP(Z594/20,0),"")</f>
        <v/>
      </c>
      <c r="AL594" s="6" t="n"/>
      <c r="AN594" t="inlineStr">
        <is>
          <t>Coc</t>
        </is>
      </c>
      <c r="AO594" t="n">
        <v>16</v>
      </c>
    </row>
    <row r="595" ht="19" customHeight="1">
      <c r="A595" s="6" t="n">
        <v>566</v>
      </c>
      <c r="B595" s="7" t="inlineStr">
        <is>
          <t>Cọc khoan nhồi C2 Trụ T2 (D1.2m, L=30.0m)</t>
        </is>
      </c>
      <c r="C595" s="7" t="inlineStr">
        <is>
          <t>Cọc trụ T2 L=30m (tr.70)</t>
        </is>
      </c>
      <c r="D595" s="18" t="inlineStr">
        <is>
          <t>P6</t>
        </is>
      </c>
      <c r="E595" s="19" t="n">
        <v>25</v>
      </c>
      <c r="F595" s="6" t="inlineStr">
        <is>
          <t>CB400-V</t>
        </is>
      </c>
      <c r="G595" s="7" t="inlineStr"/>
      <c r="H595" s="20" t="n">
        <v>9.733000000000001</v>
      </c>
      <c r="I595" s="21" t="n">
        <v>12</v>
      </c>
      <c r="J595" s="22" t="n">
        <v>3.853</v>
      </c>
      <c r="K595" s="9">
        <f>ROUND(H595*I595*J595, 2)</f>
        <v/>
      </c>
      <c r="L595" s="23">
        <f>ROUND(K595/1000, 3)</f>
        <v/>
      </c>
      <c r="M595" s="8">
        <f>IF(AO595="","",IF(INDEX(Theo_Doi_Tan_Suat_Be_Tong!$C:$C,AO595)="","",INDEX(Theo_Doi_Tan_Suat_Be_Tong!$C:$C,AO595)-VLOOKUP(AN595,$AQ$2:$AR$7,2,FALSE)))</f>
        <v/>
      </c>
      <c r="N595" s="6" t="n"/>
      <c r="O595" s="24">
        <f>IF(ROUNDUP(W595/20,0)&gt;ROUNDUP(W594/20,0),"TN Ø25 (Lần " &amp; ROUNDUP(W595/20,0) &amp; ")","")</f>
        <v/>
      </c>
      <c r="P595" s="20">
        <f>ROUND(P594+IF(AND(E595&lt;=10,F595&lt;&gt;"ASTM A416"),L595,0),3)</f>
        <v/>
      </c>
      <c r="Q595" s="20">
        <f>ROUND(Q594+IF(AND(E595=12,F595&lt;&gt;"ASTM A416"),L595,0),3)</f>
        <v/>
      </c>
      <c r="R595" s="20">
        <f>ROUND(R594+IF(AND(E595=14,F595&lt;&gt;"ASTM A416"),L595,0),3)</f>
        <v/>
      </c>
      <c r="S595" s="20">
        <f>ROUND(S594+IF(AND(E595=16,F595&lt;&gt;"ASTM A416"),L595,0),3)</f>
        <v/>
      </c>
      <c r="T595" s="20">
        <f>ROUND(T594+IF(AND(E595=18,F595&lt;&gt;"ASTM A416"),L595,0),3)</f>
        <v/>
      </c>
      <c r="U595" s="20">
        <f>ROUND(U594+IF(AND(E595=20,F595&lt;&gt;"ASTM A416"),L595,0),3)</f>
        <v/>
      </c>
      <c r="V595" s="20">
        <f>ROUND(V594+IF(AND(E595=22,F595&lt;&gt;"ASTM A416"),L595,0),3)</f>
        <v/>
      </c>
      <c r="W595" s="20">
        <f>ROUND(W594+IF(AND(E595=25,F595&lt;&gt;"ASTM A416"),L595,0),3)</f>
        <v/>
      </c>
      <c r="X595" s="20">
        <f>ROUND(X594+IF(AND(E595=28,F595&lt;&gt;"ASTM A416"),L595,0),3)</f>
        <v/>
      </c>
      <c r="Y595" s="20">
        <f>ROUND(Y594+IF(AND(E595=32,F595&lt;&gt;"ASTM A416"),L595,0),3)</f>
        <v/>
      </c>
      <c r="Z595" s="20">
        <f>ROUND(Z594+IF(F595="ASTM A416",L595,0),3)</f>
        <v/>
      </c>
      <c r="AA595" s="11">
        <f>IF(ROUNDUP(P595/20,0)&gt;ROUNDUP(P594/20,0),"Lần " &amp; ROUNDUP(P595/20,0),"")</f>
        <v/>
      </c>
      <c r="AB595" s="11">
        <f>IF(ROUNDUP(Q595/20,0)&gt;ROUNDUP(Q594/20,0),"Lần " &amp; ROUNDUP(Q595/20,0),"")</f>
        <v/>
      </c>
      <c r="AC595" s="11">
        <f>IF(ROUNDUP(R595/20,0)&gt;ROUNDUP(R594/20,0),"Lần " &amp; ROUNDUP(R595/20,0),"")</f>
        <v/>
      </c>
      <c r="AD595" s="11">
        <f>IF(ROUNDUP(S595/20,0)&gt;ROUNDUP(S594/20,0),"Lần " &amp; ROUNDUP(S595/20,0),"")</f>
        <v/>
      </c>
      <c r="AE595" s="11">
        <f>IF(ROUNDUP(T595/20,0)&gt;ROUNDUP(T594/20,0),"Lần " &amp; ROUNDUP(T595/20,0),"")</f>
        <v/>
      </c>
      <c r="AF595" s="11">
        <f>IF(ROUNDUP(U595/20,0)&gt;ROUNDUP(U594/20,0),"Lần " &amp; ROUNDUP(U595/20,0),"")</f>
        <v/>
      </c>
      <c r="AG595" s="11">
        <f>IF(ROUNDUP(V595/20,0)&gt;ROUNDUP(V594/20,0),"Lần " &amp; ROUNDUP(V595/20,0),"")</f>
        <v/>
      </c>
      <c r="AH595" s="11">
        <f>IF(ROUNDUP(W595/20,0)&gt;ROUNDUP(W594/20,0),"Lần " &amp; ROUNDUP(W595/20,0),"")</f>
        <v/>
      </c>
      <c r="AI595" s="11">
        <f>IF(ROUNDUP(X595/20,0)&gt;ROUNDUP(X594/20,0),"Lần " &amp; ROUNDUP(X595/20,0),"")</f>
        <v/>
      </c>
      <c r="AJ595" s="11">
        <f>IF(ROUNDUP(Y595/20,0)&gt;ROUNDUP(Y594/20,0),"Lần " &amp; ROUNDUP(Y595/20,0),"")</f>
        <v/>
      </c>
      <c r="AK595" s="11">
        <f>IF(ROUNDUP(Z595/20,0)&gt;ROUNDUP(Z594/20,0),"Lần " &amp; ROUNDUP(Z595/20,0),"")</f>
        <v/>
      </c>
      <c r="AL595" s="6" t="n"/>
      <c r="AN595" t="inlineStr">
        <is>
          <t>Coc</t>
        </is>
      </c>
      <c r="AO595" t="n">
        <v>16</v>
      </c>
    </row>
    <row r="596" ht="19" customHeight="1">
      <c r="A596" s="6" t="n">
        <v>567</v>
      </c>
      <c r="B596" s="7" t="inlineStr">
        <is>
          <t>Cọc khoan nhồi C2 Trụ T2 (D1.2m, L=30.0m)</t>
        </is>
      </c>
      <c r="C596" s="7" t="inlineStr">
        <is>
          <t>Cọc trụ T2 L=30m (tr.70)</t>
        </is>
      </c>
      <c r="D596" s="18" t="inlineStr">
        <is>
          <t>P7</t>
        </is>
      </c>
      <c r="E596" s="19" t="n">
        <v>25</v>
      </c>
      <c r="F596" s="6" t="inlineStr">
        <is>
          <t>CB400-V</t>
        </is>
      </c>
      <c r="G596" s="7" t="inlineStr"/>
      <c r="H596" s="20" t="n">
        <v>10.733</v>
      </c>
      <c r="I596" s="21" t="n">
        <v>12</v>
      </c>
      <c r="J596" s="22" t="n">
        <v>3.853</v>
      </c>
      <c r="K596" s="9">
        <f>ROUND(H596*I596*J596, 2)</f>
        <v/>
      </c>
      <c r="L596" s="23">
        <f>ROUND(K596/1000, 3)</f>
        <v/>
      </c>
      <c r="M596" s="8">
        <f>IF(AO596="","",IF(INDEX(Theo_Doi_Tan_Suat_Be_Tong!$C:$C,AO596)="","",INDEX(Theo_Doi_Tan_Suat_Be_Tong!$C:$C,AO596)-VLOOKUP(AN596,$AQ$2:$AR$7,2,FALSE)))</f>
        <v/>
      </c>
      <c r="N596" s="6" t="n"/>
      <c r="O596" s="24">
        <f>IF(ROUNDUP(W596/20,0)&gt;ROUNDUP(W595/20,0),"TN Ø25 (Lần " &amp; ROUNDUP(W596/20,0) &amp; ")","")</f>
        <v/>
      </c>
      <c r="P596" s="20">
        <f>ROUND(P595+IF(AND(E596&lt;=10,F596&lt;&gt;"ASTM A416"),L596,0),3)</f>
        <v/>
      </c>
      <c r="Q596" s="20">
        <f>ROUND(Q595+IF(AND(E596=12,F596&lt;&gt;"ASTM A416"),L596,0),3)</f>
        <v/>
      </c>
      <c r="R596" s="20">
        <f>ROUND(R595+IF(AND(E596=14,F596&lt;&gt;"ASTM A416"),L596,0),3)</f>
        <v/>
      </c>
      <c r="S596" s="20">
        <f>ROUND(S595+IF(AND(E596=16,F596&lt;&gt;"ASTM A416"),L596,0),3)</f>
        <v/>
      </c>
      <c r="T596" s="20">
        <f>ROUND(T595+IF(AND(E596=18,F596&lt;&gt;"ASTM A416"),L596,0),3)</f>
        <v/>
      </c>
      <c r="U596" s="20">
        <f>ROUND(U595+IF(AND(E596=20,F596&lt;&gt;"ASTM A416"),L596,0),3)</f>
        <v/>
      </c>
      <c r="V596" s="20">
        <f>ROUND(V595+IF(AND(E596=22,F596&lt;&gt;"ASTM A416"),L596,0),3)</f>
        <v/>
      </c>
      <c r="W596" s="20">
        <f>ROUND(W595+IF(AND(E596=25,F596&lt;&gt;"ASTM A416"),L596,0),3)</f>
        <v/>
      </c>
      <c r="X596" s="20">
        <f>ROUND(X595+IF(AND(E596=28,F596&lt;&gt;"ASTM A416"),L596,0),3)</f>
        <v/>
      </c>
      <c r="Y596" s="20">
        <f>ROUND(Y595+IF(AND(E596=32,F596&lt;&gt;"ASTM A416"),L596,0),3)</f>
        <v/>
      </c>
      <c r="Z596" s="20">
        <f>ROUND(Z595+IF(F596="ASTM A416",L596,0),3)</f>
        <v/>
      </c>
      <c r="AA596" s="11">
        <f>IF(ROUNDUP(P596/20,0)&gt;ROUNDUP(P595/20,0),"Lần " &amp; ROUNDUP(P596/20,0),"")</f>
        <v/>
      </c>
      <c r="AB596" s="11">
        <f>IF(ROUNDUP(Q596/20,0)&gt;ROUNDUP(Q595/20,0),"Lần " &amp; ROUNDUP(Q596/20,0),"")</f>
        <v/>
      </c>
      <c r="AC596" s="11">
        <f>IF(ROUNDUP(R596/20,0)&gt;ROUNDUP(R595/20,0),"Lần " &amp; ROUNDUP(R596/20,0),"")</f>
        <v/>
      </c>
      <c r="AD596" s="11">
        <f>IF(ROUNDUP(S596/20,0)&gt;ROUNDUP(S595/20,0),"Lần " &amp; ROUNDUP(S596/20,0),"")</f>
        <v/>
      </c>
      <c r="AE596" s="11">
        <f>IF(ROUNDUP(T596/20,0)&gt;ROUNDUP(T595/20,0),"Lần " &amp; ROUNDUP(T596/20,0),"")</f>
        <v/>
      </c>
      <c r="AF596" s="11">
        <f>IF(ROUNDUP(U596/20,0)&gt;ROUNDUP(U595/20,0),"Lần " &amp; ROUNDUP(U596/20,0),"")</f>
        <v/>
      </c>
      <c r="AG596" s="11">
        <f>IF(ROUNDUP(V596/20,0)&gt;ROUNDUP(V595/20,0),"Lần " &amp; ROUNDUP(V596/20,0),"")</f>
        <v/>
      </c>
      <c r="AH596" s="11">
        <f>IF(ROUNDUP(W596/20,0)&gt;ROUNDUP(W595/20,0),"Lần " &amp; ROUNDUP(W596/20,0),"")</f>
        <v/>
      </c>
      <c r="AI596" s="11">
        <f>IF(ROUNDUP(X596/20,0)&gt;ROUNDUP(X595/20,0),"Lần " &amp; ROUNDUP(X596/20,0),"")</f>
        <v/>
      </c>
      <c r="AJ596" s="11">
        <f>IF(ROUNDUP(Y596/20,0)&gt;ROUNDUP(Y595/20,0),"Lần " &amp; ROUNDUP(Y596/20,0),"")</f>
        <v/>
      </c>
      <c r="AK596" s="11">
        <f>IF(ROUNDUP(Z596/20,0)&gt;ROUNDUP(Z595/20,0),"Lần " &amp; ROUNDUP(Z596/20,0),"")</f>
        <v/>
      </c>
      <c r="AL596" s="6" t="n"/>
      <c r="AN596" t="inlineStr">
        <is>
          <t>Coc</t>
        </is>
      </c>
      <c r="AO596" t="n">
        <v>16</v>
      </c>
    </row>
    <row r="597" ht="19" customHeight="1">
      <c r="A597" s="6" t="n">
        <v>568</v>
      </c>
      <c r="B597" s="7" t="inlineStr">
        <is>
          <t>Cọc khoan nhồi C2 Trụ T2 (D1.2m, L=30.0m)</t>
        </is>
      </c>
      <c r="C597" s="7" t="inlineStr">
        <is>
          <t>Cọc trụ T2 L=30m (tr.70)</t>
        </is>
      </c>
      <c r="D597" s="18" t="inlineStr">
        <is>
          <t>P8</t>
        </is>
      </c>
      <c r="E597" s="19" t="n">
        <v>12</v>
      </c>
      <c r="F597" s="6" t="inlineStr">
        <is>
          <t>CB400-V</t>
        </is>
      </c>
      <c r="G597" s="7" t="inlineStr"/>
      <c r="H597" s="20" t="n">
        <v>0.647</v>
      </c>
      <c r="I597" s="21" t="n">
        <v>12</v>
      </c>
      <c r="J597" s="22" t="n">
        <v>0.888</v>
      </c>
      <c r="K597" s="9">
        <f>ROUND(H597*I597*J597, 2)</f>
        <v/>
      </c>
      <c r="L597" s="23">
        <f>ROUND(K597/1000, 3)</f>
        <v/>
      </c>
      <c r="M597" s="8">
        <f>IF(AO597="","",IF(INDEX(Theo_Doi_Tan_Suat_Be_Tong!$C:$C,AO597)="","",INDEX(Theo_Doi_Tan_Suat_Be_Tong!$C:$C,AO597)-VLOOKUP(AN597,$AQ$2:$AR$7,2,FALSE)))</f>
        <v/>
      </c>
      <c r="N597" s="6" t="n"/>
      <c r="O597" s="24">
        <f>IF(ROUNDUP(Q597/20,0)&gt;ROUNDUP(Q596/20,0),"TN Ø12 (Lần " &amp; ROUNDUP(Q597/20,0) &amp; ")","")</f>
        <v/>
      </c>
      <c r="P597" s="20">
        <f>ROUND(P596+IF(AND(E597&lt;=10,F597&lt;&gt;"ASTM A416"),L597,0),3)</f>
        <v/>
      </c>
      <c r="Q597" s="20">
        <f>ROUND(Q596+IF(AND(E597=12,F597&lt;&gt;"ASTM A416"),L597,0),3)</f>
        <v/>
      </c>
      <c r="R597" s="20">
        <f>ROUND(R596+IF(AND(E597=14,F597&lt;&gt;"ASTM A416"),L597,0),3)</f>
        <v/>
      </c>
      <c r="S597" s="20">
        <f>ROUND(S596+IF(AND(E597=16,F597&lt;&gt;"ASTM A416"),L597,0),3)</f>
        <v/>
      </c>
      <c r="T597" s="20">
        <f>ROUND(T596+IF(AND(E597=18,F597&lt;&gt;"ASTM A416"),L597,0),3)</f>
        <v/>
      </c>
      <c r="U597" s="20">
        <f>ROUND(U596+IF(AND(E597=20,F597&lt;&gt;"ASTM A416"),L597,0),3)</f>
        <v/>
      </c>
      <c r="V597" s="20">
        <f>ROUND(V596+IF(AND(E597=22,F597&lt;&gt;"ASTM A416"),L597,0),3)</f>
        <v/>
      </c>
      <c r="W597" s="20">
        <f>ROUND(W596+IF(AND(E597=25,F597&lt;&gt;"ASTM A416"),L597,0),3)</f>
        <v/>
      </c>
      <c r="X597" s="20">
        <f>ROUND(X596+IF(AND(E597=28,F597&lt;&gt;"ASTM A416"),L597,0),3)</f>
        <v/>
      </c>
      <c r="Y597" s="20">
        <f>ROUND(Y596+IF(AND(E597=32,F597&lt;&gt;"ASTM A416"),L597,0),3)</f>
        <v/>
      </c>
      <c r="Z597" s="20">
        <f>ROUND(Z596+IF(F597="ASTM A416",L597,0),3)</f>
        <v/>
      </c>
      <c r="AA597" s="11">
        <f>IF(ROUNDUP(P597/20,0)&gt;ROUNDUP(P596/20,0),"Lần " &amp; ROUNDUP(P597/20,0),"")</f>
        <v/>
      </c>
      <c r="AB597" s="11">
        <f>IF(ROUNDUP(Q597/20,0)&gt;ROUNDUP(Q596/20,0),"Lần " &amp; ROUNDUP(Q597/20,0),"")</f>
        <v/>
      </c>
      <c r="AC597" s="11">
        <f>IF(ROUNDUP(R597/20,0)&gt;ROUNDUP(R596/20,0),"Lần " &amp; ROUNDUP(R597/20,0),"")</f>
        <v/>
      </c>
      <c r="AD597" s="11">
        <f>IF(ROUNDUP(S597/20,0)&gt;ROUNDUP(S596/20,0),"Lần " &amp; ROUNDUP(S597/20,0),"")</f>
        <v/>
      </c>
      <c r="AE597" s="11">
        <f>IF(ROUNDUP(T597/20,0)&gt;ROUNDUP(T596/20,0),"Lần " &amp; ROUNDUP(T597/20,0),"")</f>
        <v/>
      </c>
      <c r="AF597" s="11">
        <f>IF(ROUNDUP(U597/20,0)&gt;ROUNDUP(U596/20,0),"Lần " &amp; ROUNDUP(U597/20,0),"")</f>
        <v/>
      </c>
      <c r="AG597" s="11">
        <f>IF(ROUNDUP(V597/20,0)&gt;ROUNDUP(V596/20,0),"Lần " &amp; ROUNDUP(V597/20,0),"")</f>
        <v/>
      </c>
      <c r="AH597" s="11">
        <f>IF(ROUNDUP(W597/20,0)&gt;ROUNDUP(W596/20,0),"Lần " &amp; ROUNDUP(W597/20,0),"")</f>
        <v/>
      </c>
      <c r="AI597" s="11">
        <f>IF(ROUNDUP(X597/20,0)&gt;ROUNDUP(X596/20,0),"Lần " &amp; ROUNDUP(X597/20,0),"")</f>
        <v/>
      </c>
      <c r="AJ597" s="11">
        <f>IF(ROUNDUP(Y597/20,0)&gt;ROUNDUP(Y596/20,0),"Lần " &amp; ROUNDUP(Y597/20,0),"")</f>
        <v/>
      </c>
      <c r="AK597" s="11">
        <f>IF(ROUNDUP(Z597/20,0)&gt;ROUNDUP(Z596/20,0),"Lần " &amp; ROUNDUP(Z597/20,0),"")</f>
        <v/>
      </c>
      <c r="AL597" s="6" t="n"/>
      <c r="AN597" t="inlineStr">
        <is>
          <t>Coc</t>
        </is>
      </c>
      <c r="AO597" t="n">
        <v>16</v>
      </c>
    </row>
    <row r="598" ht="19" customHeight="1">
      <c r="A598" s="6" t="n">
        <v>569</v>
      </c>
      <c r="B598" s="7" t="inlineStr">
        <is>
          <t>Cọc khoan nhồi C2 Trụ T2 (D1.2m, L=30.0m)</t>
        </is>
      </c>
      <c r="C598" s="7" t="inlineStr">
        <is>
          <t>Cọc trụ T2 L=30m (tr.70)</t>
        </is>
      </c>
      <c r="D598" s="18" t="inlineStr">
        <is>
          <t>P9</t>
        </is>
      </c>
      <c r="E598" s="19" t="n">
        <v>12</v>
      </c>
      <c r="F598" s="6" t="inlineStr">
        <is>
          <t>CB400-V</t>
        </is>
      </c>
      <c r="G598" s="7" t="inlineStr"/>
      <c r="H598" s="20" t="n">
        <v>0.379</v>
      </c>
      <c r="I598" s="21" t="n">
        <v>36</v>
      </c>
      <c r="J598" s="22" t="n">
        <v>0.888</v>
      </c>
      <c r="K598" s="9">
        <f>ROUND(H598*I598*J598, 2)</f>
        <v/>
      </c>
      <c r="L598" s="23">
        <f>ROUND(K598/1000, 3)</f>
        <v/>
      </c>
      <c r="M598" s="8">
        <f>IF(AO598="","",IF(INDEX(Theo_Doi_Tan_Suat_Be_Tong!$C:$C,AO598)="","",INDEX(Theo_Doi_Tan_Suat_Be_Tong!$C:$C,AO598)-VLOOKUP(AN598,$AQ$2:$AR$7,2,FALSE)))</f>
        <v/>
      </c>
      <c r="N598" s="6" t="n"/>
      <c r="O598" s="24">
        <f>IF(ROUNDUP(Q598/20,0)&gt;ROUNDUP(Q597/20,0),"TN Ø12 (Lần " &amp; ROUNDUP(Q598/20,0) &amp; ")","")</f>
        <v/>
      </c>
      <c r="P598" s="20">
        <f>ROUND(P597+IF(AND(E598&lt;=10,F598&lt;&gt;"ASTM A416"),L598,0),3)</f>
        <v/>
      </c>
      <c r="Q598" s="20">
        <f>ROUND(Q597+IF(AND(E598=12,F598&lt;&gt;"ASTM A416"),L598,0),3)</f>
        <v/>
      </c>
      <c r="R598" s="20">
        <f>ROUND(R597+IF(AND(E598=14,F598&lt;&gt;"ASTM A416"),L598,0),3)</f>
        <v/>
      </c>
      <c r="S598" s="20">
        <f>ROUND(S597+IF(AND(E598=16,F598&lt;&gt;"ASTM A416"),L598,0),3)</f>
        <v/>
      </c>
      <c r="T598" s="20">
        <f>ROUND(T597+IF(AND(E598=18,F598&lt;&gt;"ASTM A416"),L598,0),3)</f>
        <v/>
      </c>
      <c r="U598" s="20">
        <f>ROUND(U597+IF(AND(E598=20,F598&lt;&gt;"ASTM A416"),L598,0),3)</f>
        <v/>
      </c>
      <c r="V598" s="20">
        <f>ROUND(V597+IF(AND(E598=22,F598&lt;&gt;"ASTM A416"),L598,0),3)</f>
        <v/>
      </c>
      <c r="W598" s="20">
        <f>ROUND(W597+IF(AND(E598=25,F598&lt;&gt;"ASTM A416"),L598,0),3)</f>
        <v/>
      </c>
      <c r="X598" s="20">
        <f>ROUND(X597+IF(AND(E598=28,F598&lt;&gt;"ASTM A416"),L598,0),3)</f>
        <v/>
      </c>
      <c r="Y598" s="20">
        <f>ROUND(Y597+IF(AND(E598=32,F598&lt;&gt;"ASTM A416"),L598,0),3)</f>
        <v/>
      </c>
      <c r="Z598" s="20">
        <f>ROUND(Z597+IF(F598="ASTM A416",L598,0),3)</f>
        <v/>
      </c>
      <c r="AA598" s="11">
        <f>IF(ROUNDUP(P598/20,0)&gt;ROUNDUP(P597/20,0),"Lần " &amp; ROUNDUP(P598/20,0),"")</f>
        <v/>
      </c>
      <c r="AB598" s="11">
        <f>IF(ROUNDUP(Q598/20,0)&gt;ROUNDUP(Q597/20,0),"Lần " &amp; ROUNDUP(Q598/20,0),"")</f>
        <v/>
      </c>
      <c r="AC598" s="11">
        <f>IF(ROUNDUP(R598/20,0)&gt;ROUNDUP(R597/20,0),"Lần " &amp; ROUNDUP(R598/20,0),"")</f>
        <v/>
      </c>
      <c r="AD598" s="11">
        <f>IF(ROUNDUP(S598/20,0)&gt;ROUNDUP(S597/20,0),"Lần " &amp; ROUNDUP(S598/20,0),"")</f>
        <v/>
      </c>
      <c r="AE598" s="11">
        <f>IF(ROUNDUP(T598/20,0)&gt;ROUNDUP(T597/20,0),"Lần " &amp; ROUNDUP(T598/20,0),"")</f>
        <v/>
      </c>
      <c r="AF598" s="11">
        <f>IF(ROUNDUP(U598/20,0)&gt;ROUNDUP(U597/20,0),"Lần " &amp; ROUNDUP(U598/20,0),"")</f>
        <v/>
      </c>
      <c r="AG598" s="11">
        <f>IF(ROUNDUP(V598/20,0)&gt;ROUNDUP(V597/20,0),"Lần " &amp; ROUNDUP(V598/20,0),"")</f>
        <v/>
      </c>
      <c r="AH598" s="11">
        <f>IF(ROUNDUP(W598/20,0)&gt;ROUNDUP(W597/20,0),"Lần " &amp; ROUNDUP(W598/20,0),"")</f>
        <v/>
      </c>
      <c r="AI598" s="11">
        <f>IF(ROUNDUP(X598/20,0)&gt;ROUNDUP(X597/20,0),"Lần " &amp; ROUNDUP(X598/20,0),"")</f>
        <v/>
      </c>
      <c r="AJ598" s="11">
        <f>IF(ROUNDUP(Y598/20,0)&gt;ROUNDUP(Y597/20,0),"Lần " &amp; ROUNDUP(Y598/20,0),"")</f>
        <v/>
      </c>
      <c r="AK598" s="11">
        <f>IF(ROUNDUP(Z598/20,0)&gt;ROUNDUP(Z597/20,0),"Lần " &amp; ROUNDUP(Z598/20,0),"")</f>
        <v/>
      </c>
      <c r="AL598" s="6" t="n"/>
      <c r="AN598" t="inlineStr">
        <is>
          <t>Coc</t>
        </is>
      </c>
      <c r="AO598" t="n">
        <v>16</v>
      </c>
    </row>
    <row r="599" ht="19" customHeight="1">
      <c r="A599" s="6" t="n">
        <v>570</v>
      </c>
      <c r="B599" s="7" t="inlineStr">
        <is>
          <t>Cọc khoan nhồi C2 Trụ T2 (D1.2m, L=30.0m)</t>
        </is>
      </c>
      <c r="C599" s="7" t="inlineStr">
        <is>
          <t>Cọc trụ T2 L=30m (tr.70)</t>
        </is>
      </c>
      <c r="D599" s="18" t="inlineStr">
        <is>
          <t>P10</t>
        </is>
      </c>
      <c r="E599" s="19" t="n">
        <v>20</v>
      </c>
      <c r="F599" s="6" t="inlineStr">
        <is>
          <t>CB400-V</t>
        </is>
      </c>
      <c r="G599" s="7" t="inlineStr"/>
      <c r="H599" s="20" t="n">
        <v>2.057</v>
      </c>
      <c r="I599" s="21" t="n">
        <v>1</v>
      </c>
      <c r="J599" s="22" t="n">
        <v>2.466</v>
      </c>
      <c r="K599" s="9">
        <f>ROUND(H599*I599*J599, 2)</f>
        <v/>
      </c>
      <c r="L599" s="23">
        <f>ROUND(K599/1000, 3)</f>
        <v/>
      </c>
      <c r="M599" s="8">
        <f>IF(AO599="","",IF(INDEX(Theo_Doi_Tan_Suat_Be_Tong!$C:$C,AO599)="","",INDEX(Theo_Doi_Tan_Suat_Be_Tong!$C:$C,AO599)-VLOOKUP(AN599,$AQ$2:$AR$7,2,FALSE)))</f>
        <v/>
      </c>
      <c r="N599" s="6" t="n"/>
      <c r="O599" s="24">
        <f>IF(ROUNDUP(U599/20,0)&gt;ROUNDUP(U598/20,0),"TN Ø20 (Lần " &amp; ROUNDUP(U599/20,0) &amp; ")","")</f>
        <v/>
      </c>
      <c r="P599" s="20">
        <f>ROUND(P598+IF(AND(E599&lt;=10,F599&lt;&gt;"ASTM A416"),L599,0),3)</f>
        <v/>
      </c>
      <c r="Q599" s="20">
        <f>ROUND(Q598+IF(AND(E599=12,F599&lt;&gt;"ASTM A416"),L599,0),3)</f>
        <v/>
      </c>
      <c r="R599" s="20">
        <f>ROUND(R598+IF(AND(E599=14,F599&lt;&gt;"ASTM A416"),L599,0),3)</f>
        <v/>
      </c>
      <c r="S599" s="20">
        <f>ROUND(S598+IF(AND(E599=16,F599&lt;&gt;"ASTM A416"),L599,0),3)</f>
        <v/>
      </c>
      <c r="T599" s="20">
        <f>ROUND(T598+IF(AND(E599=18,F599&lt;&gt;"ASTM A416"),L599,0),3)</f>
        <v/>
      </c>
      <c r="U599" s="20">
        <f>ROUND(U598+IF(AND(E599=20,F599&lt;&gt;"ASTM A416"),L599,0),3)</f>
        <v/>
      </c>
      <c r="V599" s="20">
        <f>ROUND(V598+IF(AND(E599=22,F599&lt;&gt;"ASTM A416"),L599,0),3)</f>
        <v/>
      </c>
      <c r="W599" s="20">
        <f>ROUND(W598+IF(AND(E599=25,F599&lt;&gt;"ASTM A416"),L599,0),3)</f>
        <v/>
      </c>
      <c r="X599" s="20">
        <f>ROUND(X598+IF(AND(E599=28,F599&lt;&gt;"ASTM A416"),L599,0),3)</f>
        <v/>
      </c>
      <c r="Y599" s="20">
        <f>ROUND(Y598+IF(AND(E599=32,F599&lt;&gt;"ASTM A416"),L599,0),3)</f>
        <v/>
      </c>
      <c r="Z599" s="20">
        <f>ROUND(Z598+IF(F599="ASTM A416",L599,0),3)</f>
        <v/>
      </c>
      <c r="AA599" s="11">
        <f>IF(ROUNDUP(P599/20,0)&gt;ROUNDUP(P598/20,0),"Lần " &amp; ROUNDUP(P599/20,0),"")</f>
        <v/>
      </c>
      <c r="AB599" s="11">
        <f>IF(ROUNDUP(Q599/20,0)&gt;ROUNDUP(Q598/20,0),"Lần " &amp; ROUNDUP(Q599/20,0),"")</f>
        <v/>
      </c>
      <c r="AC599" s="11">
        <f>IF(ROUNDUP(R599/20,0)&gt;ROUNDUP(R598/20,0),"Lần " &amp; ROUNDUP(R599/20,0),"")</f>
        <v/>
      </c>
      <c r="AD599" s="11">
        <f>IF(ROUNDUP(S599/20,0)&gt;ROUNDUP(S598/20,0),"Lần " &amp; ROUNDUP(S599/20,0),"")</f>
        <v/>
      </c>
      <c r="AE599" s="11">
        <f>IF(ROUNDUP(T599/20,0)&gt;ROUNDUP(T598/20,0),"Lần " &amp; ROUNDUP(T599/20,0),"")</f>
        <v/>
      </c>
      <c r="AF599" s="11">
        <f>IF(ROUNDUP(U599/20,0)&gt;ROUNDUP(U598/20,0),"Lần " &amp; ROUNDUP(U599/20,0),"")</f>
        <v/>
      </c>
      <c r="AG599" s="11">
        <f>IF(ROUNDUP(V599/20,0)&gt;ROUNDUP(V598/20,0),"Lần " &amp; ROUNDUP(V599/20,0),"")</f>
        <v/>
      </c>
      <c r="AH599" s="11">
        <f>IF(ROUNDUP(W599/20,0)&gt;ROUNDUP(W598/20,0),"Lần " &amp; ROUNDUP(W599/20,0),"")</f>
        <v/>
      </c>
      <c r="AI599" s="11">
        <f>IF(ROUNDUP(X599/20,0)&gt;ROUNDUP(X598/20,0),"Lần " &amp; ROUNDUP(X599/20,0),"")</f>
        <v/>
      </c>
      <c r="AJ599" s="11">
        <f>IF(ROUNDUP(Y599/20,0)&gt;ROUNDUP(Y598/20,0),"Lần " &amp; ROUNDUP(Y599/20,0),"")</f>
        <v/>
      </c>
      <c r="AK599" s="11">
        <f>IF(ROUNDUP(Z599/20,0)&gt;ROUNDUP(Z598/20,0),"Lần " &amp; ROUNDUP(Z599/20,0),"")</f>
        <v/>
      </c>
      <c r="AL599" s="6" t="n"/>
      <c r="AN599" t="inlineStr">
        <is>
          <t>Coc</t>
        </is>
      </c>
      <c r="AO599" t="n">
        <v>16</v>
      </c>
    </row>
    <row r="600" ht="19" customHeight="1">
      <c r="A600" s="6" t="n">
        <v>571</v>
      </c>
      <c r="B600" s="7" t="inlineStr">
        <is>
          <t>Cọc khoan nhồi C2 Trụ T2 (D1.2m, L=30.0m)</t>
        </is>
      </c>
      <c r="C600" s="7" t="inlineStr">
        <is>
          <t>Cọc trụ T2 L=30m (tr.70)</t>
        </is>
      </c>
      <c r="D600" s="18" t="inlineStr">
        <is>
          <t>P12</t>
        </is>
      </c>
      <c r="E600" s="19" t="n">
        <v>20</v>
      </c>
      <c r="F600" s="6" t="inlineStr">
        <is>
          <t>CB400-V</t>
        </is>
      </c>
      <c r="G600" s="7" t="inlineStr"/>
      <c r="H600" s="20" t="n">
        <v>0.583</v>
      </c>
      <c r="I600" s="21" t="n">
        <v>48</v>
      </c>
      <c r="J600" s="22" t="n">
        <v>2.466</v>
      </c>
      <c r="K600" s="9">
        <f>ROUND(H600*I600*J600, 2)</f>
        <v/>
      </c>
      <c r="L600" s="23">
        <f>ROUND(K600/1000, 3)</f>
        <v/>
      </c>
      <c r="M600" s="8">
        <f>IF(AO600="","",IF(INDEX(Theo_Doi_Tan_Suat_Be_Tong!$C:$C,AO600)="","",INDEX(Theo_Doi_Tan_Suat_Be_Tong!$C:$C,AO600)-VLOOKUP(AN600,$AQ$2:$AR$7,2,FALSE)))</f>
        <v/>
      </c>
      <c r="N600" s="6" t="n"/>
      <c r="O600" s="24">
        <f>IF(ROUNDUP(U600/20,0)&gt;ROUNDUP(U599/20,0),"TN Ø20 (Lần " &amp; ROUNDUP(U600/20,0) &amp; ")","")</f>
        <v/>
      </c>
      <c r="P600" s="20">
        <f>ROUND(P599+IF(AND(E600&lt;=10,F600&lt;&gt;"ASTM A416"),L600,0),3)</f>
        <v/>
      </c>
      <c r="Q600" s="20">
        <f>ROUND(Q599+IF(AND(E600=12,F600&lt;&gt;"ASTM A416"),L600,0),3)</f>
        <v/>
      </c>
      <c r="R600" s="20">
        <f>ROUND(R599+IF(AND(E600=14,F600&lt;&gt;"ASTM A416"),L600,0),3)</f>
        <v/>
      </c>
      <c r="S600" s="20">
        <f>ROUND(S599+IF(AND(E600=16,F600&lt;&gt;"ASTM A416"),L600,0),3)</f>
        <v/>
      </c>
      <c r="T600" s="20">
        <f>ROUND(T599+IF(AND(E600=18,F600&lt;&gt;"ASTM A416"),L600,0),3)</f>
        <v/>
      </c>
      <c r="U600" s="20">
        <f>ROUND(U599+IF(AND(E600=20,F600&lt;&gt;"ASTM A416"),L600,0),3)</f>
        <v/>
      </c>
      <c r="V600" s="20">
        <f>ROUND(V599+IF(AND(E600=22,F600&lt;&gt;"ASTM A416"),L600,0),3)</f>
        <v/>
      </c>
      <c r="W600" s="20">
        <f>ROUND(W599+IF(AND(E600=25,F600&lt;&gt;"ASTM A416"),L600,0),3)</f>
        <v/>
      </c>
      <c r="X600" s="20">
        <f>ROUND(X599+IF(AND(E600=28,F600&lt;&gt;"ASTM A416"),L600,0),3)</f>
        <v/>
      </c>
      <c r="Y600" s="20">
        <f>ROUND(Y599+IF(AND(E600=32,F600&lt;&gt;"ASTM A416"),L600,0),3)</f>
        <v/>
      </c>
      <c r="Z600" s="20">
        <f>ROUND(Z599+IF(F600="ASTM A416",L600,0),3)</f>
        <v/>
      </c>
      <c r="AA600" s="11">
        <f>IF(ROUNDUP(P600/20,0)&gt;ROUNDUP(P599/20,0),"Lần " &amp; ROUNDUP(P600/20,0),"")</f>
        <v/>
      </c>
      <c r="AB600" s="11">
        <f>IF(ROUNDUP(Q600/20,0)&gt;ROUNDUP(Q599/20,0),"Lần " &amp; ROUNDUP(Q600/20,0),"")</f>
        <v/>
      </c>
      <c r="AC600" s="11">
        <f>IF(ROUNDUP(R600/20,0)&gt;ROUNDUP(R599/20,0),"Lần " &amp; ROUNDUP(R600/20,0),"")</f>
        <v/>
      </c>
      <c r="AD600" s="11">
        <f>IF(ROUNDUP(S600/20,0)&gt;ROUNDUP(S599/20,0),"Lần " &amp; ROUNDUP(S600/20,0),"")</f>
        <v/>
      </c>
      <c r="AE600" s="11">
        <f>IF(ROUNDUP(T600/20,0)&gt;ROUNDUP(T599/20,0),"Lần " &amp; ROUNDUP(T600/20,0),"")</f>
        <v/>
      </c>
      <c r="AF600" s="11">
        <f>IF(ROUNDUP(U600/20,0)&gt;ROUNDUP(U599/20,0),"Lần " &amp; ROUNDUP(U600/20,0),"")</f>
        <v/>
      </c>
      <c r="AG600" s="11">
        <f>IF(ROUNDUP(V600/20,0)&gt;ROUNDUP(V599/20,0),"Lần " &amp; ROUNDUP(V600/20,0),"")</f>
        <v/>
      </c>
      <c r="AH600" s="11">
        <f>IF(ROUNDUP(W600/20,0)&gt;ROUNDUP(W599/20,0),"Lần " &amp; ROUNDUP(W600/20,0),"")</f>
        <v/>
      </c>
      <c r="AI600" s="11">
        <f>IF(ROUNDUP(X600/20,0)&gt;ROUNDUP(X599/20,0),"Lần " &amp; ROUNDUP(X600/20,0),"")</f>
        <v/>
      </c>
      <c r="AJ600" s="11">
        <f>IF(ROUNDUP(Y600/20,0)&gt;ROUNDUP(Y599/20,0),"Lần " &amp; ROUNDUP(Y600/20,0),"")</f>
        <v/>
      </c>
      <c r="AK600" s="11">
        <f>IF(ROUNDUP(Z600/20,0)&gt;ROUNDUP(Z599/20,0),"Lần " &amp; ROUNDUP(Z600/20,0),"")</f>
        <v/>
      </c>
      <c r="AL600" s="6" t="n"/>
      <c r="AN600" t="inlineStr">
        <is>
          <t>Coc</t>
        </is>
      </c>
      <c r="AO600" t="n">
        <v>16</v>
      </c>
    </row>
    <row r="601" ht="19" customHeight="1">
      <c r="A601" s="6" t="n">
        <v>572</v>
      </c>
      <c r="B601" s="7" t="inlineStr">
        <is>
          <t>Cọc khoan nhồi C2 Trụ T2 (D1.2m, L=30.0m)</t>
        </is>
      </c>
      <c r="C601" s="7" t="inlineStr">
        <is>
          <t>Cọc trụ T2 L=30m (tr.70)</t>
        </is>
      </c>
      <c r="D601" s="18" t="inlineStr">
        <is>
          <t>P11</t>
        </is>
      </c>
      <c r="E601" s="19" t="n">
        <v>16</v>
      </c>
      <c r="F601" s="6" t="inlineStr">
        <is>
          <t>CB400-V</t>
        </is>
      </c>
      <c r="G601" s="7" t="inlineStr"/>
      <c r="H601" s="20" t="n">
        <v>2.604</v>
      </c>
      <c r="I601" s="21" t="n">
        <v>4</v>
      </c>
      <c r="J601" s="22" t="n">
        <v>1.578</v>
      </c>
      <c r="K601" s="9">
        <f>ROUND(H601*I601*J601, 2)</f>
        <v/>
      </c>
      <c r="L601" s="23">
        <f>ROUND(K601/1000, 3)</f>
        <v/>
      </c>
      <c r="M601" s="8">
        <f>IF(AO601="","",IF(INDEX(Theo_Doi_Tan_Suat_Be_Tong!$C:$C,AO601)="","",INDEX(Theo_Doi_Tan_Suat_Be_Tong!$C:$C,AO601)-VLOOKUP(AN601,$AQ$2:$AR$7,2,FALSE)))</f>
        <v/>
      </c>
      <c r="N601" s="6" t="n"/>
      <c r="O601" s="24">
        <f>IF(ROUNDUP(S601/20,0)&gt;ROUNDUP(S600/20,0),"TN Ø16 (Lần " &amp; ROUNDUP(S601/20,0) &amp; ")","")</f>
        <v/>
      </c>
      <c r="P601" s="20">
        <f>ROUND(P600+IF(AND(E601&lt;=10,F601&lt;&gt;"ASTM A416"),L601,0),3)</f>
        <v/>
      </c>
      <c r="Q601" s="20">
        <f>ROUND(Q600+IF(AND(E601=12,F601&lt;&gt;"ASTM A416"),L601,0),3)</f>
        <v/>
      </c>
      <c r="R601" s="20">
        <f>ROUND(R600+IF(AND(E601=14,F601&lt;&gt;"ASTM A416"),L601,0),3)</f>
        <v/>
      </c>
      <c r="S601" s="20">
        <f>ROUND(S600+IF(AND(E601=16,F601&lt;&gt;"ASTM A416"),L601,0),3)</f>
        <v/>
      </c>
      <c r="T601" s="20">
        <f>ROUND(T600+IF(AND(E601=18,F601&lt;&gt;"ASTM A416"),L601,0),3)</f>
        <v/>
      </c>
      <c r="U601" s="20">
        <f>ROUND(U600+IF(AND(E601=20,F601&lt;&gt;"ASTM A416"),L601,0),3)</f>
        <v/>
      </c>
      <c r="V601" s="20">
        <f>ROUND(V600+IF(AND(E601=22,F601&lt;&gt;"ASTM A416"),L601,0),3)</f>
        <v/>
      </c>
      <c r="W601" s="20">
        <f>ROUND(W600+IF(AND(E601=25,F601&lt;&gt;"ASTM A416"),L601,0),3)</f>
        <v/>
      </c>
      <c r="X601" s="20">
        <f>ROUND(X600+IF(AND(E601=28,F601&lt;&gt;"ASTM A416"),L601,0),3)</f>
        <v/>
      </c>
      <c r="Y601" s="20">
        <f>ROUND(Y600+IF(AND(E601=32,F601&lt;&gt;"ASTM A416"),L601,0),3)</f>
        <v/>
      </c>
      <c r="Z601" s="20">
        <f>ROUND(Z600+IF(F601="ASTM A416",L601,0),3)</f>
        <v/>
      </c>
      <c r="AA601" s="11">
        <f>IF(ROUNDUP(P601/20,0)&gt;ROUNDUP(P600/20,0),"Lần " &amp; ROUNDUP(P601/20,0),"")</f>
        <v/>
      </c>
      <c r="AB601" s="11">
        <f>IF(ROUNDUP(Q601/20,0)&gt;ROUNDUP(Q600/20,0),"Lần " &amp; ROUNDUP(Q601/20,0),"")</f>
        <v/>
      </c>
      <c r="AC601" s="11">
        <f>IF(ROUNDUP(R601/20,0)&gt;ROUNDUP(R600/20,0),"Lần " &amp; ROUNDUP(R601/20,0),"")</f>
        <v/>
      </c>
      <c r="AD601" s="11">
        <f>IF(ROUNDUP(S601/20,0)&gt;ROUNDUP(S600/20,0),"Lần " &amp; ROUNDUP(S601/20,0),"")</f>
        <v/>
      </c>
      <c r="AE601" s="11">
        <f>IF(ROUNDUP(T601/20,0)&gt;ROUNDUP(T600/20,0),"Lần " &amp; ROUNDUP(T601/20,0),"")</f>
        <v/>
      </c>
      <c r="AF601" s="11">
        <f>IF(ROUNDUP(U601/20,0)&gt;ROUNDUP(U600/20,0),"Lần " &amp; ROUNDUP(U601/20,0),"")</f>
        <v/>
      </c>
      <c r="AG601" s="11">
        <f>IF(ROUNDUP(V601/20,0)&gt;ROUNDUP(V600/20,0),"Lần " &amp; ROUNDUP(V601/20,0),"")</f>
        <v/>
      </c>
      <c r="AH601" s="11">
        <f>IF(ROUNDUP(W601/20,0)&gt;ROUNDUP(W600/20,0),"Lần " &amp; ROUNDUP(W601/20,0),"")</f>
        <v/>
      </c>
      <c r="AI601" s="11">
        <f>IF(ROUNDUP(X601/20,0)&gt;ROUNDUP(X600/20,0),"Lần " &amp; ROUNDUP(X601/20,0),"")</f>
        <v/>
      </c>
      <c r="AJ601" s="11">
        <f>IF(ROUNDUP(Y601/20,0)&gt;ROUNDUP(Y600/20,0),"Lần " &amp; ROUNDUP(Y601/20,0),"")</f>
        <v/>
      </c>
      <c r="AK601" s="11">
        <f>IF(ROUNDUP(Z601/20,0)&gt;ROUNDUP(Z600/20,0),"Lần " &amp; ROUNDUP(Z601/20,0),"")</f>
        <v/>
      </c>
      <c r="AL601" s="6" t="n"/>
      <c r="AN601" t="inlineStr">
        <is>
          <t>Coc</t>
        </is>
      </c>
      <c r="AO601" t="n">
        <v>16</v>
      </c>
    </row>
    <row r="602" ht="19" customHeight="1">
      <c r="A602" s="17" t="inlineStr">
        <is>
          <t>--- CỌC KHOAN NHỒI C3 TRỤ T2 (D1.2M, L=30.0M) ---</t>
        </is>
      </c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4" t="n"/>
    </row>
    <row r="603" ht="19" customHeight="1">
      <c r="A603" s="6" t="n">
        <v>573</v>
      </c>
      <c r="B603" s="7" t="inlineStr">
        <is>
          <t>Cọc khoan nhồi C3 Trụ T2 (D1.2m, L=30.0m)</t>
        </is>
      </c>
      <c r="C603" s="7" t="inlineStr">
        <is>
          <t>Cọc trụ T2 L=30m (tr.70)</t>
        </is>
      </c>
      <c r="D603" s="18" t="inlineStr">
        <is>
          <t>P1</t>
        </is>
      </c>
      <c r="E603" s="19" t="n">
        <v>10</v>
      </c>
      <c r="F603" s="6" t="inlineStr">
        <is>
          <t>CB240-T</t>
        </is>
      </c>
      <c r="G603" s="7" t="inlineStr"/>
      <c r="H603" s="20" t="n">
        <v>96.604</v>
      </c>
      <c r="I603" s="21" t="n">
        <v>1</v>
      </c>
      <c r="J603" s="22" t="n">
        <v>0.617</v>
      </c>
      <c r="K603" s="9">
        <f>ROUND(H603*I603*J603, 2)</f>
        <v/>
      </c>
      <c r="L603" s="23">
        <f>ROUND(K603/1000, 3)</f>
        <v/>
      </c>
      <c r="M603" s="8">
        <f>IF(AO603="","",IF(INDEX(Theo_Doi_Tan_Suat_Be_Tong!$C:$C,AO603)="","",INDEX(Theo_Doi_Tan_Suat_Be_Tong!$C:$C,AO603)-VLOOKUP(AN603,$AQ$2:$AR$7,2,FALSE)))</f>
        <v/>
      </c>
      <c r="N603" s="6" t="n"/>
      <c r="O603" s="24">
        <f>IF(ROUNDUP(P603/20,0)&gt;ROUNDUP(P601/20,0),"TN Ø10 (Lần " &amp; ROUNDUP(P603/20,0) &amp; ")","")</f>
        <v/>
      </c>
      <c r="P603" s="20">
        <f>ROUND(P601+IF(AND(E603&lt;=10,F603&lt;&gt;"ASTM A416"),L603,0),3)</f>
        <v/>
      </c>
      <c r="Q603" s="20">
        <f>ROUND(Q601+IF(AND(E603=12,F603&lt;&gt;"ASTM A416"),L603,0),3)</f>
        <v/>
      </c>
      <c r="R603" s="20">
        <f>ROUND(R601+IF(AND(E603=14,F603&lt;&gt;"ASTM A416"),L603,0),3)</f>
        <v/>
      </c>
      <c r="S603" s="20">
        <f>ROUND(S601+IF(AND(E603=16,F603&lt;&gt;"ASTM A416"),L603,0),3)</f>
        <v/>
      </c>
      <c r="T603" s="20">
        <f>ROUND(T601+IF(AND(E603=18,F603&lt;&gt;"ASTM A416"),L603,0),3)</f>
        <v/>
      </c>
      <c r="U603" s="20">
        <f>ROUND(U601+IF(AND(E603=20,F603&lt;&gt;"ASTM A416"),L603,0),3)</f>
        <v/>
      </c>
      <c r="V603" s="20">
        <f>ROUND(V601+IF(AND(E603=22,F603&lt;&gt;"ASTM A416"),L603,0),3)</f>
        <v/>
      </c>
      <c r="W603" s="20">
        <f>ROUND(W601+IF(AND(E603=25,F603&lt;&gt;"ASTM A416"),L603,0),3)</f>
        <v/>
      </c>
      <c r="X603" s="20">
        <f>ROUND(X601+IF(AND(E603=28,F603&lt;&gt;"ASTM A416"),L603,0),3)</f>
        <v/>
      </c>
      <c r="Y603" s="20">
        <f>ROUND(Y601+IF(AND(E603=32,F603&lt;&gt;"ASTM A416"),L603,0),3)</f>
        <v/>
      </c>
      <c r="Z603" s="20">
        <f>ROUND(Z601+IF(F603="ASTM A416",L603,0),3)</f>
        <v/>
      </c>
      <c r="AA603" s="11">
        <f>IF(ROUNDUP(P603/20,0)&gt;ROUNDUP(P601/20,0),"Lần " &amp; ROUNDUP(P603/20,0),"")</f>
        <v/>
      </c>
      <c r="AB603" s="11">
        <f>IF(ROUNDUP(Q603/20,0)&gt;ROUNDUP(Q601/20,0),"Lần " &amp; ROUNDUP(Q603/20,0),"")</f>
        <v/>
      </c>
      <c r="AC603" s="11">
        <f>IF(ROUNDUP(R603/20,0)&gt;ROUNDUP(R601/20,0),"Lần " &amp; ROUNDUP(R603/20,0),"")</f>
        <v/>
      </c>
      <c r="AD603" s="11">
        <f>IF(ROUNDUP(S603/20,0)&gt;ROUNDUP(S601/20,0),"Lần " &amp; ROUNDUP(S603/20,0),"")</f>
        <v/>
      </c>
      <c r="AE603" s="11">
        <f>IF(ROUNDUP(T603/20,0)&gt;ROUNDUP(T601/20,0),"Lần " &amp; ROUNDUP(T603/20,0),"")</f>
        <v/>
      </c>
      <c r="AF603" s="11">
        <f>IF(ROUNDUP(U603/20,0)&gt;ROUNDUP(U601/20,0),"Lần " &amp; ROUNDUP(U603/20,0),"")</f>
        <v/>
      </c>
      <c r="AG603" s="11">
        <f>IF(ROUNDUP(V603/20,0)&gt;ROUNDUP(V601/20,0),"Lần " &amp; ROUNDUP(V603/20,0),"")</f>
        <v/>
      </c>
      <c r="AH603" s="11">
        <f>IF(ROUNDUP(W603/20,0)&gt;ROUNDUP(W601/20,0),"Lần " &amp; ROUNDUP(W603/20,0),"")</f>
        <v/>
      </c>
      <c r="AI603" s="11">
        <f>IF(ROUNDUP(X603/20,0)&gt;ROUNDUP(X601/20,0),"Lần " &amp; ROUNDUP(X603/20,0),"")</f>
        <v/>
      </c>
      <c r="AJ603" s="11">
        <f>IF(ROUNDUP(Y603/20,0)&gt;ROUNDUP(Y601/20,0),"Lần " &amp; ROUNDUP(Y603/20,0),"")</f>
        <v/>
      </c>
      <c r="AK603" s="11">
        <f>IF(ROUNDUP(Z603/20,0)&gt;ROUNDUP(Z601/20,0),"Lần " &amp; ROUNDUP(Z603/20,0),"")</f>
        <v/>
      </c>
      <c r="AL603" s="6" t="n"/>
      <c r="AN603" t="inlineStr">
        <is>
          <t>Coc</t>
        </is>
      </c>
      <c r="AO603" t="n">
        <v>17</v>
      </c>
    </row>
    <row r="604" ht="19" customHeight="1">
      <c r="A604" s="6" t="n">
        <v>574</v>
      </c>
      <c r="B604" s="7" t="inlineStr">
        <is>
          <t>Cọc khoan nhồi C3 Trụ T2 (D1.2m, L=30.0m)</t>
        </is>
      </c>
      <c r="C604" s="7" t="inlineStr">
        <is>
          <t>Cọc trụ T2 L=30m (tr.70)</t>
        </is>
      </c>
      <c r="D604" s="18" t="inlineStr">
        <is>
          <t>P1A</t>
        </is>
      </c>
      <c r="E604" s="19" t="n">
        <v>10</v>
      </c>
      <c r="F604" s="6" t="inlineStr">
        <is>
          <t>CB240-T</t>
        </is>
      </c>
      <c r="G604" s="7" t="inlineStr"/>
      <c r="H604" s="20" t="n">
        <v>389.636</v>
      </c>
      <c r="I604" s="21" t="n">
        <v>1</v>
      </c>
      <c r="J604" s="22" t="n">
        <v>0.617</v>
      </c>
      <c r="K604" s="9">
        <f>ROUND(H604*I604*J604, 2)</f>
        <v/>
      </c>
      <c r="L604" s="23">
        <f>ROUND(K604/1000, 3)</f>
        <v/>
      </c>
      <c r="M604" s="8">
        <f>IF(AO604="","",IF(INDEX(Theo_Doi_Tan_Suat_Be_Tong!$C:$C,AO604)="","",INDEX(Theo_Doi_Tan_Suat_Be_Tong!$C:$C,AO604)-VLOOKUP(AN604,$AQ$2:$AR$7,2,FALSE)))</f>
        <v/>
      </c>
      <c r="N604" s="6" t="n"/>
      <c r="O604" s="24">
        <f>IF(ROUNDUP(P604/20,0)&gt;ROUNDUP(P603/20,0),"TN Ø10 (Lần " &amp; ROUNDUP(P604/20,0) &amp; ")","")</f>
        <v/>
      </c>
      <c r="P604" s="20">
        <f>ROUND(P603+IF(AND(E604&lt;=10,F604&lt;&gt;"ASTM A416"),L604,0),3)</f>
        <v/>
      </c>
      <c r="Q604" s="20">
        <f>ROUND(Q603+IF(AND(E604=12,F604&lt;&gt;"ASTM A416"),L604,0),3)</f>
        <v/>
      </c>
      <c r="R604" s="20">
        <f>ROUND(R603+IF(AND(E604=14,F604&lt;&gt;"ASTM A416"),L604,0),3)</f>
        <v/>
      </c>
      <c r="S604" s="20">
        <f>ROUND(S603+IF(AND(E604=16,F604&lt;&gt;"ASTM A416"),L604,0),3)</f>
        <v/>
      </c>
      <c r="T604" s="20">
        <f>ROUND(T603+IF(AND(E604=18,F604&lt;&gt;"ASTM A416"),L604,0),3)</f>
        <v/>
      </c>
      <c r="U604" s="20">
        <f>ROUND(U603+IF(AND(E604=20,F604&lt;&gt;"ASTM A416"),L604,0),3)</f>
        <v/>
      </c>
      <c r="V604" s="20">
        <f>ROUND(V603+IF(AND(E604=22,F604&lt;&gt;"ASTM A416"),L604,0),3)</f>
        <v/>
      </c>
      <c r="W604" s="20">
        <f>ROUND(W603+IF(AND(E604=25,F604&lt;&gt;"ASTM A416"),L604,0),3)</f>
        <v/>
      </c>
      <c r="X604" s="20">
        <f>ROUND(X603+IF(AND(E604=28,F604&lt;&gt;"ASTM A416"),L604,0),3)</f>
        <v/>
      </c>
      <c r="Y604" s="20">
        <f>ROUND(Y603+IF(AND(E604=32,F604&lt;&gt;"ASTM A416"),L604,0),3)</f>
        <v/>
      </c>
      <c r="Z604" s="20">
        <f>ROUND(Z603+IF(F604="ASTM A416",L604,0),3)</f>
        <v/>
      </c>
      <c r="AA604" s="11">
        <f>IF(ROUNDUP(P604/20,0)&gt;ROUNDUP(P603/20,0),"Lần " &amp; ROUNDUP(P604/20,0),"")</f>
        <v/>
      </c>
      <c r="AB604" s="11">
        <f>IF(ROUNDUP(Q604/20,0)&gt;ROUNDUP(Q603/20,0),"Lần " &amp; ROUNDUP(Q604/20,0),"")</f>
        <v/>
      </c>
      <c r="AC604" s="11">
        <f>IF(ROUNDUP(R604/20,0)&gt;ROUNDUP(R603/20,0),"Lần " &amp; ROUNDUP(R604/20,0),"")</f>
        <v/>
      </c>
      <c r="AD604" s="11">
        <f>IF(ROUNDUP(S604/20,0)&gt;ROUNDUP(S603/20,0),"Lần " &amp; ROUNDUP(S604/20,0),"")</f>
        <v/>
      </c>
      <c r="AE604" s="11">
        <f>IF(ROUNDUP(T604/20,0)&gt;ROUNDUP(T603/20,0),"Lần " &amp; ROUNDUP(T604/20,0),"")</f>
        <v/>
      </c>
      <c r="AF604" s="11">
        <f>IF(ROUNDUP(U604/20,0)&gt;ROUNDUP(U603/20,0),"Lần " &amp; ROUNDUP(U604/20,0),"")</f>
        <v/>
      </c>
      <c r="AG604" s="11">
        <f>IF(ROUNDUP(V604/20,0)&gt;ROUNDUP(V603/20,0),"Lần " &amp; ROUNDUP(V604/20,0),"")</f>
        <v/>
      </c>
      <c r="AH604" s="11">
        <f>IF(ROUNDUP(W604/20,0)&gt;ROUNDUP(W603/20,0),"Lần " &amp; ROUNDUP(W604/20,0),"")</f>
        <v/>
      </c>
      <c r="AI604" s="11">
        <f>IF(ROUNDUP(X604/20,0)&gt;ROUNDUP(X603/20,0),"Lần " &amp; ROUNDUP(X604/20,0),"")</f>
        <v/>
      </c>
      <c r="AJ604" s="11">
        <f>IF(ROUNDUP(Y604/20,0)&gt;ROUNDUP(Y603/20,0),"Lần " &amp; ROUNDUP(Y604/20,0),"")</f>
        <v/>
      </c>
      <c r="AK604" s="11">
        <f>IF(ROUNDUP(Z604/20,0)&gt;ROUNDUP(Z603/20,0),"Lần " &amp; ROUNDUP(Z604/20,0),"")</f>
        <v/>
      </c>
      <c r="AL604" s="6" t="n"/>
      <c r="AN604" t="inlineStr">
        <is>
          <t>Coc</t>
        </is>
      </c>
      <c r="AO604" t="n">
        <v>17</v>
      </c>
    </row>
    <row r="605" ht="19" customHeight="1">
      <c r="A605" s="6" t="n">
        <v>575</v>
      </c>
      <c r="B605" s="7" t="inlineStr">
        <is>
          <t>Cọc khoan nhồi C3 Trụ T2 (D1.2m, L=30.0m)</t>
        </is>
      </c>
      <c r="C605" s="7" t="inlineStr">
        <is>
          <t>Cọc trụ T2 L=30m (tr.70)</t>
        </is>
      </c>
      <c r="D605" s="18" t="inlineStr">
        <is>
          <t>P1B</t>
        </is>
      </c>
      <c r="E605" s="19" t="n">
        <v>10</v>
      </c>
      <c r="F605" s="6" t="inlineStr">
        <is>
          <t>CB240-T</t>
        </is>
      </c>
      <c r="G605" s="7" t="inlineStr"/>
      <c r="H605" s="20" t="n">
        <v>100.256</v>
      </c>
      <c r="I605" s="21" t="n">
        <v>1</v>
      </c>
      <c r="J605" s="22" t="n">
        <v>0.617</v>
      </c>
      <c r="K605" s="9">
        <f>ROUND(H605*I605*J605, 2)</f>
        <v/>
      </c>
      <c r="L605" s="23">
        <f>ROUND(K605/1000, 3)</f>
        <v/>
      </c>
      <c r="M605" s="8">
        <f>IF(AO605="","",IF(INDEX(Theo_Doi_Tan_Suat_Be_Tong!$C:$C,AO605)="","",INDEX(Theo_Doi_Tan_Suat_Be_Tong!$C:$C,AO605)-VLOOKUP(AN605,$AQ$2:$AR$7,2,FALSE)))</f>
        <v/>
      </c>
      <c r="N605" s="6" t="n"/>
      <c r="O605" s="24">
        <f>IF(ROUNDUP(P605/20,0)&gt;ROUNDUP(P604/20,0),"TN Ø10 (Lần " &amp; ROUNDUP(P605/20,0) &amp; ")","")</f>
        <v/>
      </c>
      <c r="P605" s="20">
        <f>ROUND(P604+IF(AND(E605&lt;=10,F605&lt;&gt;"ASTM A416"),L605,0),3)</f>
        <v/>
      </c>
      <c r="Q605" s="20">
        <f>ROUND(Q604+IF(AND(E605=12,F605&lt;&gt;"ASTM A416"),L605,0),3)</f>
        <v/>
      </c>
      <c r="R605" s="20">
        <f>ROUND(R604+IF(AND(E605=14,F605&lt;&gt;"ASTM A416"),L605,0),3)</f>
        <v/>
      </c>
      <c r="S605" s="20">
        <f>ROUND(S604+IF(AND(E605=16,F605&lt;&gt;"ASTM A416"),L605,0),3)</f>
        <v/>
      </c>
      <c r="T605" s="20">
        <f>ROUND(T604+IF(AND(E605=18,F605&lt;&gt;"ASTM A416"),L605,0),3)</f>
        <v/>
      </c>
      <c r="U605" s="20">
        <f>ROUND(U604+IF(AND(E605=20,F605&lt;&gt;"ASTM A416"),L605,0),3)</f>
        <v/>
      </c>
      <c r="V605" s="20">
        <f>ROUND(V604+IF(AND(E605=22,F605&lt;&gt;"ASTM A416"),L605,0),3)</f>
        <v/>
      </c>
      <c r="W605" s="20">
        <f>ROUND(W604+IF(AND(E605=25,F605&lt;&gt;"ASTM A416"),L605,0),3)</f>
        <v/>
      </c>
      <c r="X605" s="20">
        <f>ROUND(X604+IF(AND(E605=28,F605&lt;&gt;"ASTM A416"),L605,0),3)</f>
        <v/>
      </c>
      <c r="Y605" s="20">
        <f>ROUND(Y604+IF(AND(E605=32,F605&lt;&gt;"ASTM A416"),L605,0),3)</f>
        <v/>
      </c>
      <c r="Z605" s="20">
        <f>ROUND(Z604+IF(F605="ASTM A416",L605,0),3)</f>
        <v/>
      </c>
      <c r="AA605" s="11">
        <f>IF(ROUNDUP(P605/20,0)&gt;ROUNDUP(P604/20,0),"Lần " &amp; ROUNDUP(P605/20,0),"")</f>
        <v/>
      </c>
      <c r="AB605" s="11">
        <f>IF(ROUNDUP(Q605/20,0)&gt;ROUNDUP(Q604/20,0),"Lần " &amp; ROUNDUP(Q605/20,0),"")</f>
        <v/>
      </c>
      <c r="AC605" s="11">
        <f>IF(ROUNDUP(R605/20,0)&gt;ROUNDUP(R604/20,0),"Lần " &amp; ROUNDUP(R605/20,0),"")</f>
        <v/>
      </c>
      <c r="AD605" s="11">
        <f>IF(ROUNDUP(S605/20,0)&gt;ROUNDUP(S604/20,0),"Lần " &amp; ROUNDUP(S605/20,0),"")</f>
        <v/>
      </c>
      <c r="AE605" s="11">
        <f>IF(ROUNDUP(T605/20,0)&gt;ROUNDUP(T604/20,0),"Lần " &amp; ROUNDUP(T605/20,0),"")</f>
        <v/>
      </c>
      <c r="AF605" s="11">
        <f>IF(ROUNDUP(U605/20,0)&gt;ROUNDUP(U604/20,0),"Lần " &amp; ROUNDUP(U605/20,0),"")</f>
        <v/>
      </c>
      <c r="AG605" s="11">
        <f>IF(ROUNDUP(V605/20,0)&gt;ROUNDUP(V604/20,0),"Lần " &amp; ROUNDUP(V605/20,0),"")</f>
        <v/>
      </c>
      <c r="AH605" s="11">
        <f>IF(ROUNDUP(W605/20,0)&gt;ROUNDUP(W604/20,0),"Lần " &amp; ROUNDUP(W605/20,0),"")</f>
        <v/>
      </c>
      <c r="AI605" s="11">
        <f>IF(ROUNDUP(X605/20,0)&gt;ROUNDUP(X604/20,0),"Lần " &amp; ROUNDUP(X605/20,0),"")</f>
        <v/>
      </c>
      <c r="AJ605" s="11">
        <f>IF(ROUNDUP(Y605/20,0)&gt;ROUNDUP(Y604/20,0),"Lần " &amp; ROUNDUP(Y605/20,0),"")</f>
        <v/>
      </c>
      <c r="AK605" s="11">
        <f>IF(ROUNDUP(Z605/20,0)&gt;ROUNDUP(Z604/20,0),"Lần " &amp; ROUNDUP(Z605/20,0),"")</f>
        <v/>
      </c>
      <c r="AL605" s="6" t="n"/>
      <c r="AN605" t="inlineStr">
        <is>
          <t>Coc</t>
        </is>
      </c>
      <c r="AO605" t="n">
        <v>17</v>
      </c>
    </row>
    <row r="606" ht="19" customHeight="1">
      <c r="A606" s="6" t="n">
        <v>576</v>
      </c>
      <c r="B606" s="7" t="inlineStr">
        <is>
          <t>Cọc khoan nhồi C3 Trụ T2 (D1.2m, L=30.0m)</t>
        </is>
      </c>
      <c r="C606" s="7" t="inlineStr">
        <is>
          <t>Cọc trụ T2 L=30m (tr.70)</t>
        </is>
      </c>
      <c r="D606" s="18" t="inlineStr">
        <is>
          <t>P1C</t>
        </is>
      </c>
      <c r="E606" s="19" t="n">
        <v>10</v>
      </c>
      <c r="F606" s="6" t="inlineStr">
        <is>
          <t>CB240-T</t>
        </is>
      </c>
      <c r="G606" s="7" t="inlineStr"/>
      <c r="H606" s="20" t="n">
        <v>3.592</v>
      </c>
      <c r="I606" s="21" t="n">
        <v>2</v>
      </c>
      <c r="J606" s="22" t="n">
        <v>0.617</v>
      </c>
      <c r="K606" s="9">
        <f>ROUND(H606*I606*J606, 2)</f>
        <v/>
      </c>
      <c r="L606" s="23">
        <f>ROUND(K606/1000, 3)</f>
        <v/>
      </c>
      <c r="M606" s="8">
        <f>IF(AO606="","",IF(INDEX(Theo_Doi_Tan_Suat_Be_Tong!$C:$C,AO606)="","",INDEX(Theo_Doi_Tan_Suat_Be_Tong!$C:$C,AO606)-VLOOKUP(AN606,$AQ$2:$AR$7,2,FALSE)))</f>
        <v/>
      </c>
      <c r="N606" s="6" t="n"/>
      <c r="O606" s="24">
        <f>IF(ROUNDUP(P606/20,0)&gt;ROUNDUP(P605/20,0),"TN Ø10 (Lần " &amp; ROUNDUP(P606/20,0) &amp; ")","")</f>
        <v/>
      </c>
      <c r="P606" s="20">
        <f>ROUND(P605+IF(AND(E606&lt;=10,F606&lt;&gt;"ASTM A416"),L606,0),3)</f>
        <v/>
      </c>
      <c r="Q606" s="20">
        <f>ROUND(Q605+IF(AND(E606=12,F606&lt;&gt;"ASTM A416"),L606,0),3)</f>
        <v/>
      </c>
      <c r="R606" s="20">
        <f>ROUND(R605+IF(AND(E606=14,F606&lt;&gt;"ASTM A416"),L606,0),3)</f>
        <v/>
      </c>
      <c r="S606" s="20">
        <f>ROUND(S605+IF(AND(E606=16,F606&lt;&gt;"ASTM A416"),L606,0),3)</f>
        <v/>
      </c>
      <c r="T606" s="20">
        <f>ROUND(T605+IF(AND(E606=18,F606&lt;&gt;"ASTM A416"),L606,0),3)</f>
        <v/>
      </c>
      <c r="U606" s="20">
        <f>ROUND(U605+IF(AND(E606=20,F606&lt;&gt;"ASTM A416"),L606,0),3)</f>
        <v/>
      </c>
      <c r="V606" s="20">
        <f>ROUND(V605+IF(AND(E606=22,F606&lt;&gt;"ASTM A416"),L606,0),3)</f>
        <v/>
      </c>
      <c r="W606" s="20">
        <f>ROUND(W605+IF(AND(E606=25,F606&lt;&gt;"ASTM A416"),L606,0),3)</f>
        <v/>
      </c>
      <c r="X606" s="20">
        <f>ROUND(X605+IF(AND(E606=28,F606&lt;&gt;"ASTM A416"),L606,0),3)</f>
        <v/>
      </c>
      <c r="Y606" s="20">
        <f>ROUND(Y605+IF(AND(E606=32,F606&lt;&gt;"ASTM A416"),L606,0),3)</f>
        <v/>
      </c>
      <c r="Z606" s="20">
        <f>ROUND(Z605+IF(F606="ASTM A416",L606,0),3)</f>
        <v/>
      </c>
      <c r="AA606" s="11">
        <f>IF(ROUNDUP(P606/20,0)&gt;ROUNDUP(P605/20,0),"Lần " &amp; ROUNDUP(P606/20,0),"")</f>
        <v/>
      </c>
      <c r="AB606" s="11">
        <f>IF(ROUNDUP(Q606/20,0)&gt;ROUNDUP(Q605/20,0),"Lần " &amp; ROUNDUP(Q606/20,0),"")</f>
        <v/>
      </c>
      <c r="AC606" s="11">
        <f>IF(ROUNDUP(R606/20,0)&gt;ROUNDUP(R605/20,0),"Lần " &amp; ROUNDUP(R606/20,0),"")</f>
        <v/>
      </c>
      <c r="AD606" s="11">
        <f>IF(ROUNDUP(S606/20,0)&gt;ROUNDUP(S605/20,0),"Lần " &amp; ROUNDUP(S606/20,0),"")</f>
        <v/>
      </c>
      <c r="AE606" s="11">
        <f>IF(ROUNDUP(T606/20,0)&gt;ROUNDUP(T605/20,0),"Lần " &amp; ROUNDUP(T606/20,0),"")</f>
        <v/>
      </c>
      <c r="AF606" s="11">
        <f>IF(ROUNDUP(U606/20,0)&gt;ROUNDUP(U605/20,0),"Lần " &amp; ROUNDUP(U606/20,0),"")</f>
        <v/>
      </c>
      <c r="AG606" s="11">
        <f>IF(ROUNDUP(V606/20,0)&gt;ROUNDUP(V605/20,0),"Lần " &amp; ROUNDUP(V606/20,0),"")</f>
        <v/>
      </c>
      <c r="AH606" s="11">
        <f>IF(ROUNDUP(W606/20,0)&gt;ROUNDUP(W605/20,0),"Lần " &amp; ROUNDUP(W606/20,0),"")</f>
        <v/>
      </c>
      <c r="AI606" s="11">
        <f>IF(ROUNDUP(X606/20,0)&gt;ROUNDUP(X605/20,0),"Lần " &amp; ROUNDUP(X606/20,0),"")</f>
        <v/>
      </c>
      <c r="AJ606" s="11">
        <f>IF(ROUNDUP(Y606/20,0)&gt;ROUNDUP(Y605/20,0),"Lần " &amp; ROUNDUP(Y606/20,0),"")</f>
        <v/>
      </c>
      <c r="AK606" s="11">
        <f>IF(ROUNDUP(Z606/20,0)&gt;ROUNDUP(Z605/20,0),"Lần " &amp; ROUNDUP(Z606/20,0),"")</f>
        <v/>
      </c>
      <c r="AL606" s="6" t="n"/>
      <c r="AN606" t="inlineStr">
        <is>
          <t>Coc</t>
        </is>
      </c>
      <c r="AO606" t="n">
        <v>17</v>
      </c>
    </row>
    <row r="607" ht="19" customHeight="1">
      <c r="A607" s="6" t="n">
        <v>577</v>
      </c>
      <c r="B607" s="7" t="inlineStr">
        <is>
          <t>Cọc khoan nhồi C3 Trụ T2 (D1.2m, L=30.0m)</t>
        </is>
      </c>
      <c r="C607" s="7" t="inlineStr">
        <is>
          <t>Cọc trụ T2 L=30m (tr.70)</t>
        </is>
      </c>
      <c r="D607" s="18" t="inlineStr">
        <is>
          <t>P1D</t>
        </is>
      </c>
      <c r="E607" s="19" t="n">
        <v>10</v>
      </c>
      <c r="F607" s="6" t="inlineStr">
        <is>
          <t>CB240-T</t>
        </is>
      </c>
      <c r="G607" s="7" t="inlineStr"/>
      <c r="H607" s="20" t="n">
        <v>19.721</v>
      </c>
      <c r="I607" s="21" t="n">
        <v>1</v>
      </c>
      <c r="J607" s="22" t="n">
        <v>0.617</v>
      </c>
      <c r="K607" s="9">
        <f>ROUND(H607*I607*J607, 2)</f>
        <v/>
      </c>
      <c r="L607" s="23">
        <f>ROUND(K607/1000, 3)</f>
        <v/>
      </c>
      <c r="M607" s="8">
        <f>IF(AO607="","",IF(INDEX(Theo_Doi_Tan_Suat_Be_Tong!$C:$C,AO607)="","",INDEX(Theo_Doi_Tan_Suat_Be_Tong!$C:$C,AO607)-VLOOKUP(AN607,$AQ$2:$AR$7,2,FALSE)))</f>
        <v/>
      </c>
      <c r="N607" s="6" t="n"/>
      <c r="O607" s="24">
        <f>IF(ROUNDUP(P607/20,0)&gt;ROUNDUP(P606/20,0),"TN Ø10 (Lần " &amp; ROUNDUP(P607/20,0) &amp; ")","")</f>
        <v/>
      </c>
      <c r="P607" s="20">
        <f>ROUND(P606+IF(AND(E607&lt;=10,F607&lt;&gt;"ASTM A416"),L607,0),3)</f>
        <v/>
      </c>
      <c r="Q607" s="20">
        <f>ROUND(Q606+IF(AND(E607=12,F607&lt;&gt;"ASTM A416"),L607,0),3)</f>
        <v/>
      </c>
      <c r="R607" s="20">
        <f>ROUND(R606+IF(AND(E607=14,F607&lt;&gt;"ASTM A416"),L607,0),3)</f>
        <v/>
      </c>
      <c r="S607" s="20">
        <f>ROUND(S606+IF(AND(E607=16,F607&lt;&gt;"ASTM A416"),L607,0),3)</f>
        <v/>
      </c>
      <c r="T607" s="20">
        <f>ROUND(T606+IF(AND(E607=18,F607&lt;&gt;"ASTM A416"),L607,0),3)</f>
        <v/>
      </c>
      <c r="U607" s="20">
        <f>ROUND(U606+IF(AND(E607=20,F607&lt;&gt;"ASTM A416"),L607,0),3)</f>
        <v/>
      </c>
      <c r="V607" s="20">
        <f>ROUND(V606+IF(AND(E607=22,F607&lt;&gt;"ASTM A416"),L607,0),3)</f>
        <v/>
      </c>
      <c r="W607" s="20">
        <f>ROUND(W606+IF(AND(E607=25,F607&lt;&gt;"ASTM A416"),L607,0),3)</f>
        <v/>
      </c>
      <c r="X607" s="20">
        <f>ROUND(X606+IF(AND(E607=28,F607&lt;&gt;"ASTM A416"),L607,0),3)</f>
        <v/>
      </c>
      <c r="Y607" s="20">
        <f>ROUND(Y606+IF(AND(E607=32,F607&lt;&gt;"ASTM A416"),L607,0),3)</f>
        <v/>
      </c>
      <c r="Z607" s="20">
        <f>ROUND(Z606+IF(F607="ASTM A416",L607,0),3)</f>
        <v/>
      </c>
      <c r="AA607" s="11">
        <f>IF(ROUNDUP(P607/20,0)&gt;ROUNDUP(P606/20,0),"Lần " &amp; ROUNDUP(P607/20,0),"")</f>
        <v/>
      </c>
      <c r="AB607" s="11">
        <f>IF(ROUNDUP(Q607/20,0)&gt;ROUNDUP(Q606/20,0),"Lần " &amp; ROUNDUP(Q607/20,0),"")</f>
        <v/>
      </c>
      <c r="AC607" s="11">
        <f>IF(ROUNDUP(R607/20,0)&gt;ROUNDUP(R606/20,0),"Lần " &amp; ROUNDUP(R607/20,0),"")</f>
        <v/>
      </c>
      <c r="AD607" s="11">
        <f>IF(ROUNDUP(S607/20,0)&gt;ROUNDUP(S606/20,0),"Lần " &amp; ROUNDUP(S607/20,0),"")</f>
        <v/>
      </c>
      <c r="AE607" s="11">
        <f>IF(ROUNDUP(T607/20,0)&gt;ROUNDUP(T606/20,0),"Lần " &amp; ROUNDUP(T607/20,0),"")</f>
        <v/>
      </c>
      <c r="AF607" s="11">
        <f>IF(ROUNDUP(U607/20,0)&gt;ROUNDUP(U606/20,0),"Lần " &amp; ROUNDUP(U607/20,0),"")</f>
        <v/>
      </c>
      <c r="AG607" s="11">
        <f>IF(ROUNDUP(V607/20,0)&gt;ROUNDUP(V606/20,0),"Lần " &amp; ROUNDUP(V607/20,0),"")</f>
        <v/>
      </c>
      <c r="AH607" s="11">
        <f>IF(ROUNDUP(W607/20,0)&gt;ROUNDUP(W606/20,0),"Lần " &amp; ROUNDUP(W607/20,0),"")</f>
        <v/>
      </c>
      <c r="AI607" s="11">
        <f>IF(ROUNDUP(X607/20,0)&gt;ROUNDUP(X606/20,0),"Lần " &amp; ROUNDUP(X607/20,0),"")</f>
        <v/>
      </c>
      <c r="AJ607" s="11">
        <f>IF(ROUNDUP(Y607/20,0)&gt;ROUNDUP(Y606/20,0),"Lần " &amp; ROUNDUP(Y607/20,0),"")</f>
        <v/>
      </c>
      <c r="AK607" s="11">
        <f>IF(ROUNDUP(Z607/20,0)&gt;ROUNDUP(Z606/20,0),"Lần " &amp; ROUNDUP(Z607/20,0),"")</f>
        <v/>
      </c>
      <c r="AL607" s="6" t="n"/>
      <c r="AN607" t="inlineStr">
        <is>
          <t>Coc</t>
        </is>
      </c>
      <c r="AO607" t="n">
        <v>17</v>
      </c>
    </row>
    <row r="608" ht="19" customHeight="1">
      <c r="A608" s="6" t="n">
        <v>578</v>
      </c>
      <c r="B608" s="7" t="inlineStr">
        <is>
          <t>Cọc khoan nhồi C3 Trụ T2 (D1.2m, L=30.0m)</t>
        </is>
      </c>
      <c r="C608" s="7" t="inlineStr">
        <is>
          <t>Cọc trụ T2 L=30m (tr.70)</t>
        </is>
      </c>
      <c r="D608" s="18" t="inlineStr">
        <is>
          <t>P2B</t>
        </is>
      </c>
      <c r="E608" s="19" t="n">
        <v>25</v>
      </c>
      <c r="F608" s="6" t="inlineStr">
        <is>
          <t>CB400-V</t>
        </is>
      </c>
      <c r="G608" s="7" t="inlineStr"/>
      <c r="H608" s="20" t="n">
        <v>2.985</v>
      </c>
      <c r="I608" s="21" t="n">
        <v>12</v>
      </c>
      <c r="J608" s="22" t="n">
        <v>3.853</v>
      </c>
      <c r="K608" s="9">
        <f>ROUND(H608*I608*J608, 2)</f>
        <v/>
      </c>
      <c r="L608" s="23">
        <f>ROUND(K608/1000, 3)</f>
        <v/>
      </c>
      <c r="M608" s="8">
        <f>IF(AO608="","",IF(INDEX(Theo_Doi_Tan_Suat_Be_Tong!$C:$C,AO608)="","",INDEX(Theo_Doi_Tan_Suat_Be_Tong!$C:$C,AO608)-VLOOKUP(AN608,$AQ$2:$AR$7,2,FALSE)))</f>
        <v/>
      </c>
      <c r="N608" s="6" t="n"/>
      <c r="O608" s="24">
        <f>IF(ROUNDUP(W608/20,0)&gt;ROUNDUP(W607/20,0),"TN Ø25 (Lần " &amp; ROUNDUP(W608/20,0) &amp; ")","")</f>
        <v/>
      </c>
      <c r="P608" s="20">
        <f>ROUND(P607+IF(AND(E608&lt;=10,F608&lt;&gt;"ASTM A416"),L608,0),3)</f>
        <v/>
      </c>
      <c r="Q608" s="20">
        <f>ROUND(Q607+IF(AND(E608=12,F608&lt;&gt;"ASTM A416"),L608,0),3)</f>
        <v/>
      </c>
      <c r="R608" s="20">
        <f>ROUND(R607+IF(AND(E608=14,F608&lt;&gt;"ASTM A416"),L608,0),3)</f>
        <v/>
      </c>
      <c r="S608" s="20">
        <f>ROUND(S607+IF(AND(E608=16,F608&lt;&gt;"ASTM A416"),L608,0),3)</f>
        <v/>
      </c>
      <c r="T608" s="20">
        <f>ROUND(T607+IF(AND(E608=18,F608&lt;&gt;"ASTM A416"),L608,0),3)</f>
        <v/>
      </c>
      <c r="U608" s="20">
        <f>ROUND(U607+IF(AND(E608=20,F608&lt;&gt;"ASTM A416"),L608,0),3)</f>
        <v/>
      </c>
      <c r="V608" s="20">
        <f>ROUND(V607+IF(AND(E608=22,F608&lt;&gt;"ASTM A416"),L608,0),3)</f>
        <v/>
      </c>
      <c r="W608" s="20">
        <f>ROUND(W607+IF(AND(E608=25,F608&lt;&gt;"ASTM A416"),L608,0),3)</f>
        <v/>
      </c>
      <c r="X608" s="20">
        <f>ROUND(X607+IF(AND(E608=28,F608&lt;&gt;"ASTM A416"),L608,0),3)</f>
        <v/>
      </c>
      <c r="Y608" s="20">
        <f>ROUND(Y607+IF(AND(E608=32,F608&lt;&gt;"ASTM A416"),L608,0),3)</f>
        <v/>
      </c>
      <c r="Z608" s="20">
        <f>ROUND(Z607+IF(F608="ASTM A416",L608,0),3)</f>
        <v/>
      </c>
      <c r="AA608" s="11">
        <f>IF(ROUNDUP(P608/20,0)&gt;ROUNDUP(P607/20,0),"Lần " &amp; ROUNDUP(P608/20,0),"")</f>
        <v/>
      </c>
      <c r="AB608" s="11">
        <f>IF(ROUNDUP(Q608/20,0)&gt;ROUNDUP(Q607/20,0),"Lần " &amp; ROUNDUP(Q608/20,0),"")</f>
        <v/>
      </c>
      <c r="AC608" s="11">
        <f>IF(ROUNDUP(R608/20,0)&gt;ROUNDUP(R607/20,0),"Lần " &amp; ROUNDUP(R608/20,0),"")</f>
        <v/>
      </c>
      <c r="AD608" s="11">
        <f>IF(ROUNDUP(S608/20,0)&gt;ROUNDUP(S607/20,0),"Lần " &amp; ROUNDUP(S608/20,0),"")</f>
        <v/>
      </c>
      <c r="AE608" s="11">
        <f>IF(ROUNDUP(T608/20,0)&gt;ROUNDUP(T607/20,0),"Lần " &amp; ROUNDUP(T608/20,0),"")</f>
        <v/>
      </c>
      <c r="AF608" s="11">
        <f>IF(ROUNDUP(U608/20,0)&gt;ROUNDUP(U607/20,0),"Lần " &amp; ROUNDUP(U608/20,0),"")</f>
        <v/>
      </c>
      <c r="AG608" s="11">
        <f>IF(ROUNDUP(V608/20,0)&gt;ROUNDUP(V607/20,0),"Lần " &amp; ROUNDUP(V608/20,0),"")</f>
        <v/>
      </c>
      <c r="AH608" s="11">
        <f>IF(ROUNDUP(W608/20,0)&gt;ROUNDUP(W607/20,0),"Lần " &amp; ROUNDUP(W608/20,0),"")</f>
        <v/>
      </c>
      <c r="AI608" s="11">
        <f>IF(ROUNDUP(X608/20,0)&gt;ROUNDUP(X607/20,0),"Lần " &amp; ROUNDUP(X608/20,0),"")</f>
        <v/>
      </c>
      <c r="AJ608" s="11">
        <f>IF(ROUNDUP(Y608/20,0)&gt;ROUNDUP(Y607/20,0),"Lần " &amp; ROUNDUP(Y608/20,0),"")</f>
        <v/>
      </c>
      <c r="AK608" s="11">
        <f>IF(ROUNDUP(Z608/20,0)&gt;ROUNDUP(Z607/20,0),"Lần " &amp; ROUNDUP(Z608/20,0),"")</f>
        <v/>
      </c>
      <c r="AL608" s="6" t="n"/>
      <c r="AN608" t="inlineStr">
        <is>
          <t>Coc</t>
        </is>
      </c>
      <c r="AO608" t="n">
        <v>17</v>
      </c>
    </row>
    <row r="609" ht="19" customHeight="1">
      <c r="A609" s="6" t="n">
        <v>579</v>
      </c>
      <c r="B609" s="7" t="inlineStr">
        <is>
          <t>Cọc khoan nhồi C3 Trụ T2 (D1.2m, L=30.0m)</t>
        </is>
      </c>
      <c r="C609" s="7" t="inlineStr">
        <is>
          <t>Cọc trụ T2 L=30m (tr.70)</t>
        </is>
      </c>
      <c r="D609" s="18" t="inlineStr">
        <is>
          <t>P3</t>
        </is>
      </c>
      <c r="E609" s="19" t="n">
        <v>25</v>
      </c>
      <c r="F609" s="6" t="inlineStr">
        <is>
          <t>CB400-V</t>
        </is>
      </c>
      <c r="G609" s="7" t="inlineStr"/>
      <c r="H609" s="20" t="n">
        <v>10.7</v>
      </c>
      <c r="I609" s="21" t="n">
        <v>12</v>
      </c>
      <c r="J609" s="22" t="n">
        <v>3.853</v>
      </c>
      <c r="K609" s="9">
        <f>ROUND(H609*I609*J609, 2)</f>
        <v/>
      </c>
      <c r="L609" s="23">
        <f>ROUND(K609/1000, 3)</f>
        <v/>
      </c>
      <c r="M609" s="8">
        <f>IF(AO609="","",IF(INDEX(Theo_Doi_Tan_Suat_Be_Tong!$C:$C,AO609)="","",INDEX(Theo_Doi_Tan_Suat_Be_Tong!$C:$C,AO609)-VLOOKUP(AN609,$AQ$2:$AR$7,2,FALSE)))</f>
        <v/>
      </c>
      <c r="N609" s="6" t="n"/>
      <c r="O609" s="24">
        <f>IF(ROUNDUP(W609/20,0)&gt;ROUNDUP(W608/20,0),"TN Ø25 (Lần " &amp; ROUNDUP(W609/20,0) &amp; ")","")</f>
        <v/>
      </c>
      <c r="P609" s="20">
        <f>ROUND(P608+IF(AND(E609&lt;=10,F609&lt;&gt;"ASTM A416"),L609,0),3)</f>
        <v/>
      </c>
      <c r="Q609" s="20">
        <f>ROUND(Q608+IF(AND(E609=12,F609&lt;&gt;"ASTM A416"),L609,0),3)</f>
        <v/>
      </c>
      <c r="R609" s="20">
        <f>ROUND(R608+IF(AND(E609=14,F609&lt;&gt;"ASTM A416"),L609,0),3)</f>
        <v/>
      </c>
      <c r="S609" s="20">
        <f>ROUND(S608+IF(AND(E609=16,F609&lt;&gt;"ASTM A416"),L609,0),3)</f>
        <v/>
      </c>
      <c r="T609" s="20">
        <f>ROUND(T608+IF(AND(E609=18,F609&lt;&gt;"ASTM A416"),L609,0),3)</f>
        <v/>
      </c>
      <c r="U609" s="20">
        <f>ROUND(U608+IF(AND(E609=20,F609&lt;&gt;"ASTM A416"),L609,0),3)</f>
        <v/>
      </c>
      <c r="V609" s="20">
        <f>ROUND(V608+IF(AND(E609=22,F609&lt;&gt;"ASTM A416"),L609,0),3)</f>
        <v/>
      </c>
      <c r="W609" s="20">
        <f>ROUND(W608+IF(AND(E609=25,F609&lt;&gt;"ASTM A416"),L609,0),3)</f>
        <v/>
      </c>
      <c r="X609" s="20">
        <f>ROUND(X608+IF(AND(E609=28,F609&lt;&gt;"ASTM A416"),L609,0),3)</f>
        <v/>
      </c>
      <c r="Y609" s="20">
        <f>ROUND(Y608+IF(AND(E609=32,F609&lt;&gt;"ASTM A416"),L609,0),3)</f>
        <v/>
      </c>
      <c r="Z609" s="20">
        <f>ROUND(Z608+IF(F609="ASTM A416",L609,0),3)</f>
        <v/>
      </c>
      <c r="AA609" s="11">
        <f>IF(ROUNDUP(P609/20,0)&gt;ROUNDUP(P608/20,0),"Lần " &amp; ROUNDUP(P609/20,0),"")</f>
        <v/>
      </c>
      <c r="AB609" s="11">
        <f>IF(ROUNDUP(Q609/20,0)&gt;ROUNDUP(Q608/20,0),"Lần " &amp; ROUNDUP(Q609/20,0),"")</f>
        <v/>
      </c>
      <c r="AC609" s="11">
        <f>IF(ROUNDUP(R609/20,0)&gt;ROUNDUP(R608/20,0),"Lần " &amp; ROUNDUP(R609/20,0),"")</f>
        <v/>
      </c>
      <c r="AD609" s="11">
        <f>IF(ROUNDUP(S609/20,0)&gt;ROUNDUP(S608/20,0),"Lần " &amp; ROUNDUP(S609/20,0),"")</f>
        <v/>
      </c>
      <c r="AE609" s="11">
        <f>IF(ROUNDUP(T609/20,0)&gt;ROUNDUP(T608/20,0),"Lần " &amp; ROUNDUP(T609/20,0),"")</f>
        <v/>
      </c>
      <c r="AF609" s="11">
        <f>IF(ROUNDUP(U609/20,0)&gt;ROUNDUP(U608/20,0),"Lần " &amp; ROUNDUP(U609/20,0),"")</f>
        <v/>
      </c>
      <c r="AG609" s="11">
        <f>IF(ROUNDUP(V609/20,0)&gt;ROUNDUP(V608/20,0),"Lần " &amp; ROUNDUP(V609/20,0),"")</f>
        <v/>
      </c>
      <c r="AH609" s="11">
        <f>IF(ROUNDUP(W609/20,0)&gt;ROUNDUP(W608/20,0),"Lần " &amp; ROUNDUP(W609/20,0),"")</f>
        <v/>
      </c>
      <c r="AI609" s="11">
        <f>IF(ROUNDUP(X609/20,0)&gt;ROUNDUP(X608/20,0),"Lần " &amp; ROUNDUP(X609/20,0),"")</f>
        <v/>
      </c>
      <c r="AJ609" s="11">
        <f>IF(ROUNDUP(Y609/20,0)&gt;ROUNDUP(Y608/20,0),"Lần " &amp; ROUNDUP(Y609/20,0),"")</f>
        <v/>
      </c>
      <c r="AK609" s="11">
        <f>IF(ROUNDUP(Z609/20,0)&gt;ROUNDUP(Z608/20,0),"Lần " &amp; ROUNDUP(Z609/20,0),"")</f>
        <v/>
      </c>
      <c r="AL609" s="6" t="n"/>
      <c r="AN609" t="inlineStr">
        <is>
          <t>Coc</t>
        </is>
      </c>
      <c r="AO609" t="n">
        <v>17</v>
      </c>
    </row>
    <row r="610" ht="19" customHeight="1">
      <c r="A610" s="6" t="n">
        <v>580</v>
      </c>
      <c r="B610" s="7" t="inlineStr">
        <is>
          <t>Cọc khoan nhồi C3 Trụ T2 (D1.2m, L=30.0m)</t>
        </is>
      </c>
      <c r="C610" s="7" t="inlineStr">
        <is>
          <t>Cọc trụ T2 L=30m (tr.70)</t>
        </is>
      </c>
      <c r="D610" s="18" t="inlineStr">
        <is>
          <t>P4</t>
        </is>
      </c>
      <c r="E610" s="19" t="n">
        <v>25</v>
      </c>
      <c r="F610" s="6" t="inlineStr">
        <is>
          <t>CB400-V</t>
        </is>
      </c>
      <c r="G610" s="7" t="inlineStr"/>
      <c r="H610" s="20" t="n">
        <v>11.7</v>
      </c>
      <c r="I610" s="21" t="n">
        <v>36</v>
      </c>
      <c r="J610" s="22" t="n">
        <v>3.853</v>
      </c>
      <c r="K610" s="9">
        <f>ROUND(H610*I610*J610, 2)</f>
        <v/>
      </c>
      <c r="L610" s="23">
        <f>ROUND(K610/1000, 3)</f>
        <v/>
      </c>
      <c r="M610" s="8">
        <f>IF(AO610="","",IF(INDEX(Theo_Doi_Tan_Suat_Be_Tong!$C:$C,AO610)="","",INDEX(Theo_Doi_Tan_Suat_Be_Tong!$C:$C,AO610)-VLOOKUP(AN610,$AQ$2:$AR$7,2,FALSE)))</f>
        <v/>
      </c>
      <c r="N610" s="6" t="n"/>
      <c r="O610" s="24">
        <f>IF(ROUNDUP(W610/20,0)&gt;ROUNDUP(W609/20,0),"TN Ø25 (Lần " &amp; ROUNDUP(W610/20,0) &amp; ")","")</f>
        <v/>
      </c>
      <c r="P610" s="20">
        <f>ROUND(P609+IF(AND(E610&lt;=10,F610&lt;&gt;"ASTM A416"),L610,0),3)</f>
        <v/>
      </c>
      <c r="Q610" s="20">
        <f>ROUND(Q609+IF(AND(E610=12,F610&lt;&gt;"ASTM A416"),L610,0),3)</f>
        <v/>
      </c>
      <c r="R610" s="20">
        <f>ROUND(R609+IF(AND(E610=14,F610&lt;&gt;"ASTM A416"),L610,0),3)</f>
        <v/>
      </c>
      <c r="S610" s="20">
        <f>ROUND(S609+IF(AND(E610=16,F610&lt;&gt;"ASTM A416"),L610,0),3)</f>
        <v/>
      </c>
      <c r="T610" s="20">
        <f>ROUND(T609+IF(AND(E610=18,F610&lt;&gt;"ASTM A416"),L610,0),3)</f>
        <v/>
      </c>
      <c r="U610" s="20">
        <f>ROUND(U609+IF(AND(E610=20,F610&lt;&gt;"ASTM A416"),L610,0),3)</f>
        <v/>
      </c>
      <c r="V610" s="20">
        <f>ROUND(V609+IF(AND(E610=22,F610&lt;&gt;"ASTM A416"),L610,0),3)</f>
        <v/>
      </c>
      <c r="W610" s="20">
        <f>ROUND(W609+IF(AND(E610=25,F610&lt;&gt;"ASTM A416"),L610,0),3)</f>
        <v/>
      </c>
      <c r="X610" s="20">
        <f>ROUND(X609+IF(AND(E610=28,F610&lt;&gt;"ASTM A416"),L610,0),3)</f>
        <v/>
      </c>
      <c r="Y610" s="20">
        <f>ROUND(Y609+IF(AND(E610=32,F610&lt;&gt;"ASTM A416"),L610,0),3)</f>
        <v/>
      </c>
      <c r="Z610" s="20">
        <f>ROUND(Z609+IF(F610="ASTM A416",L610,0),3)</f>
        <v/>
      </c>
      <c r="AA610" s="11">
        <f>IF(ROUNDUP(P610/20,0)&gt;ROUNDUP(P609/20,0),"Lần " &amp; ROUNDUP(P610/20,0),"")</f>
        <v/>
      </c>
      <c r="AB610" s="11">
        <f>IF(ROUNDUP(Q610/20,0)&gt;ROUNDUP(Q609/20,0),"Lần " &amp; ROUNDUP(Q610/20,0),"")</f>
        <v/>
      </c>
      <c r="AC610" s="11">
        <f>IF(ROUNDUP(R610/20,0)&gt;ROUNDUP(R609/20,0),"Lần " &amp; ROUNDUP(R610/20,0),"")</f>
        <v/>
      </c>
      <c r="AD610" s="11">
        <f>IF(ROUNDUP(S610/20,0)&gt;ROUNDUP(S609/20,0),"Lần " &amp; ROUNDUP(S610/20,0),"")</f>
        <v/>
      </c>
      <c r="AE610" s="11">
        <f>IF(ROUNDUP(T610/20,0)&gt;ROUNDUP(T609/20,0),"Lần " &amp; ROUNDUP(T610/20,0),"")</f>
        <v/>
      </c>
      <c r="AF610" s="11">
        <f>IF(ROUNDUP(U610/20,0)&gt;ROUNDUP(U609/20,0),"Lần " &amp; ROUNDUP(U610/20,0),"")</f>
        <v/>
      </c>
      <c r="AG610" s="11">
        <f>IF(ROUNDUP(V610/20,0)&gt;ROUNDUP(V609/20,0),"Lần " &amp; ROUNDUP(V610/20,0),"")</f>
        <v/>
      </c>
      <c r="AH610" s="11">
        <f>IF(ROUNDUP(W610/20,0)&gt;ROUNDUP(W609/20,0),"Lần " &amp; ROUNDUP(W610/20,0),"")</f>
        <v/>
      </c>
      <c r="AI610" s="11">
        <f>IF(ROUNDUP(X610/20,0)&gt;ROUNDUP(X609/20,0),"Lần " &amp; ROUNDUP(X610/20,0),"")</f>
        <v/>
      </c>
      <c r="AJ610" s="11">
        <f>IF(ROUNDUP(Y610/20,0)&gt;ROUNDUP(Y609/20,0),"Lần " &amp; ROUNDUP(Y610/20,0),"")</f>
        <v/>
      </c>
      <c r="AK610" s="11">
        <f>IF(ROUNDUP(Z610/20,0)&gt;ROUNDUP(Z609/20,0),"Lần " &amp; ROUNDUP(Z610/20,0),"")</f>
        <v/>
      </c>
      <c r="AL610" s="6" t="n"/>
      <c r="AN610" t="inlineStr">
        <is>
          <t>Coc</t>
        </is>
      </c>
      <c r="AO610" t="n">
        <v>17</v>
      </c>
    </row>
    <row r="611" ht="19" customHeight="1">
      <c r="A611" s="6" t="n">
        <v>581</v>
      </c>
      <c r="B611" s="7" t="inlineStr">
        <is>
          <t>Cọc khoan nhồi C3 Trụ T2 (D1.2m, L=30.0m)</t>
        </is>
      </c>
      <c r="C611" s="7" t="inlineStr">
        <is>
          <t>Cọc trụ T2 L=30m (tr.70)</t>
        </is>
      </c>
      <c r="D611" s="18" t="inlineStr">
        <is>
          <t>P6</t>
        </is>
      </c>
      <c r="E611" s="19" t="n">
        <v>25</v>
      </c>
      <c r="F611" s="6" t="inlineStr">
        <is>
          <t>CB400-V</t>
        </is>
      </c>
      <c r="G611" s="7" t="inlineStr"/>
      <c r="H611" s="20" t="n">
        <v>9.733000000000001</v>
      </c>
      <c r="I611" s="21" t="n">
        <v>12</v>
      </c>
      <c r="J611" s="22" t="n">
        <v>3.853</v>
      </c>
      <c r="K611" s="9">
        <f>ROUND(H611*I611*J611, 2)</f>
        <v/>
      </c>
      <c r="L611" s="23">
        <f>ROUND(K611/1000, 3)</f>
        <v/>
      </c>
      <c r="M611" s="8">
        <f>IF(AO611="","",IF(INDEX(Theo_Doi_Tan_Suat_Be_Tong!$C:$C,AO611)="","",INDEX(Theo_Doi_Tan_Suat_Be_Tong!$C:$C,AO611)-VLOOKUP(AN611,$AQ$2:$AR$7,2,FALSE)))</f>
        <v/>
      </c>
      <c r="N611" s="6" t="n"/>
      <c r="O611" s="24">
        <f>IF(ROUNDUP(W611/20,0)&gt;ROUNDUP(W610/20,0),"TN Ø25 (Lần " &amp; ROUNDUP(W611/20,0) &amp; ")","")</f>
        <v/>
      </c>
      <c r="P611" s="20">
        <f>ROUND(P610+IF(AND(E611&lt;=10,F611&lt;&gt;"ASTM A416"),L611,0),3)</f>
        <v/>
      </c>
      <c r="Q611" s="20">
        <f>ROUND(Q610+IF(AND(E611=12,F611&lt;&gt;"ASTM A416"),L611,0),3)</f>
        <v/>
      </c>
      <c r="R611" s="20">
        <f>ROUND(R610+IF(AND(E611=14,F611&lt;&gt;"ASTM A416"),L611,0),3)</f>
        <v/>
      </c>
      <c r="S611" s="20">
        <f>ROUND(S610+IF(AND(E611=16,F611&lt;&gt;"ASTM A416"),L611,0),3)</f>
        <v/>
      </c>
      <c r="T611" s="20">
        <f>ROUND(T610+IF(AND(E611=18,F611&lt;&gt;"ASTM A416"),L611,0),3)</f>
        <v/>
      </c>
      <c r="U611" s="20">
        <f>ROUND(U610+IF(AND(E611=20,F611&lt;&gt;"ASTM A416"),L611,0),3)</f>
        <v/>
      </c>
      <c r="V611" s="20">
        <f>ROUND(V610+IF(AND(E611=22,F611&lt;&gt;"ASTM A416"),L611,0),3)</f>
        <v/>
      </c>
      <c r="W611" s="20">
        <f>ROUND(W610+IF(AND(E611=25,F611&lt;&gt;"ASTM A416"),L611,0),3)</f>
        <v/>
      </c>
      <c r="X611" s="20">
        <f>ROUND(X610+IF(AND(E611=28,F611&lt;&gt;"ASTM A416"),L611,0),3)</f>
        <v/>
      </c>
      <c r="Y611" s="20">
        <f>ROUND(Y610+IF(AND(E611=32,F611&lt;&gt;"ASTM A416"),L611,0),3)</f>
        <v/>
      </c>
      <c r="Z611" s="20">
        <f>ROUND(Z610+IF(F611="ASTM A416",L611,0),3)</f>
        <v/>
      </c>
      <c r="AA611" s="11">
        <f>IF(ROUNDUP(P611/20,0)&gt;ROUNDUP(P610/20,0),"Lần " &amp; ROUNDUP(P611/20,0),"")</f>
        <v/>
      </c>
      <c r="AB611" s="11">
        <f>IF(ROUNDUP(Q611/20,0)&gt;ROUNDUP(Q610/20,0),"Lần " &amp; ROUNDUP(Q611/20,0),"")</f>
        <v/>
      </c>
      <c r="AC611" s="11">
        <f>IF(ROUNDUP(R611/20,0)&gt;ROUNDUP(R610/20,0),"Lần " &amp; ROUNDUP(R611/20,0),"")</f>
        <v/>
      </c>
      <c r="AD611" s="11">
        <f>IF(ROUNDUP(S611/20,0)&gt;ROUNDUP(S610/20,0),"Lần " &amp; ROUNDUP(S611/20,0),"")</f>
        <v/>
      </c>
      <c r="AE611" s="11">
        <f>IF(ROUNDUP(T611/20,0)&gt;ROUNDUP(T610/20,0),"Lần " &amp; ROUNDUP(T611/20,0),"")</f>
        <v/>
      </c>
      <c r="AF611" s="11">
        <f>IF(ROUNDUP(U611/20,0)&gt;ROUNDUP(U610/20,0),"Lần " &amp; ROUNDUP(U611/20,0),"")</f>
        <v/>
      </c>
      <c r="AG611" s="11">
        <f>IF(ROUNDUP(V611/20,0)&gt;ROUNDUP(V610/20,0),"Lần " &amp; ROUNDUP(V611/20,0),"")</f>
        <v/>
      </c>
      <c r="AH611" s="11">
        <f>IF(ROUNDUP(W611/20,0)&gt;ROUNDUP(W610/20,0),"Lần " &amp; ROUNDUP(W611/20,0),"")</f>
        <v/>
      </c>
      <c r="AI611" s="11">
        <f>IF(ROUNDUP(X611/20,0)&gt;ROUNDUP(X610/20,0),"Lần " &amp; ROUNDUP(X611/20,0),"")</f>
        <v/>
      </c>
      <c r="AJ611" s="11">
        <f>IF(ROUNDUP(Y611/20,0)&gt;ROUNDUP(Y610/20,0),"Lần " &amp; ROUNDUP(Y611/20,0),"")</f>
        <v/>
      </c>
      <c r="AK611" s="11">
        <f>IF(ROUNDUP(Z611/20,0)&gt;ROUNDUP(Z610/20,0),"Lần " &amp; ROUNDUP(Z611/20,0),"")</f>
        <v/>
      </c>
      <c r="AL611" s="6" t="n"/>
      <c r="AN611" t="inlineStr">
        <is>
          <t>Coc</t>
        </is>
      </c>
      <c r="AO611" t="n">
        <v>17</v>
      </c>
    </row>
    <row r="612" ht="19" customHeight="1">
      <c r="A612" s="6" t="n">
        <v>582</v>
      </c>
      <c r="B612" s="7" t="inlineStr">
        <is>
          <t>Cọc khoan nhồi C3 Trụ T2 (D1.2m, L=30.0m)</t>
        </is>
      </c>
      <c r="C612" s="7" t="inlineStr">
        <is>
          <t>Cọc trụ T2 L=30m (tr.70)</t>
        </is>
      </c>
      <c r="D612" s="18" t="inlineStr">
        <is>
          <t>P7</t>
        </is>
      </c>
      <c r="E612" s="19" t="n">
        <v>25</v>
      </c>
      <c r="F612" s="6" t="inlineStr">
        <is>
          <t>CB400-V</t>
        </is>
      </c>
      <c r="G612" s="7" t="inlineStr"/>
      <c r="H612" s="20" t="n">
        <v>10.733</v>
      </c>
      <c r="I612" s="21" t="n">
        <v>12</v>
      </c>
      <c r="J612" s="22" t="n">
        <v>3.853</v>
      </c>
      <c r="K612" s="9">
        <f>ROUND(H612*I612*J612, 2)</f>
        <v/>
      </c>
      <c r="L612" s="23">
        <f>ROUND(K612/1000, 3)</f>
        <v/>
      </c>
      <c r="M612" s="8">
        <f>IF(AO612="","",IF(INDEX(Theo_Doi_Tan_Suat_Be_Tong!$C:$C,AO612)="","",INDEX(Theo_Doi_Tan_Suat_Be_Tong!$C:$C,AO612)-VLOOKUP(AN612,$AQ$2:$AR$7,2,FALSE)))</f>
        <v/>
      </c>
      <c r="N612" s="6" t="n"/>
      <c r="O612" s="24">
        <f>IF(ROUNDUP(W612/20,0)&gt;ROUNDUP(W611/20,0),"TN Ø25 (Lần " &amp; ROUNDUP(W612/20,0) &amp; ")","")</f>
        <v/>
      </c>
      <c r="P612" s="20">
        <f>ROUND(P611+IF(AND(E612&lt;=10,F612&lt;&gt;"ASTM A416"),L612,0),3)</f>
        <v/>
      </c>
      <c r="Q612" s="20">
        <f>ROUND(Q611+IF(AND(E612=12,F612&lt;&gt;"ASTM A416"),L612,0),3)</f>
        <v/>
      </c>
      <c r="R612" s="20">
        <f>ROUND(R611+IF(AND(E612=14,F612&lt;&gt;"ASTM A416"),L612,0),3)</f>
        <v/>
      </c>
      <c r="S612" s="20">
        <f>ROUND(S611+IF(AND(E612=16,F612&lt;&gt;"ASTM A416"),L612,0),3)</f>
        <v/>
      </c>
      <c r="T612" s="20">
        <f>ROUND(T611+IF(AND(E612=18,F612&lt;&gt;"ASTM A416"),L612,0),3)</f>
        <v/>
      </c>
      <c r="U612" s="20">
        <f>ROUND(U611+IF(AND(E612=20,F612&lt;&gt;"ASTM A416"),L612,0),3)</f>
        <v/>
      </c>
      <c r="V612" s="20">
        <f>ROUND(V611+IF(AND(E612=22,F612&lt;&gt;"ASTM A416"),L612,0),3)</f>
        <v/>
      </c>
      <c r="W612" s="20">
        <f>ROUND(W611+IF(AND(E612=25,F612&lt;&gt;"ASTM A416"),L612,0),3)</f>
        <v/>
      </c>
      <c r="X612" s="20">
        <f>ROUND(X611+IF(AND(E612=28,F612&lt;&gt;"ASTM A416"),L612,0),3)</f>
        <v/>
      </c>
      <c r="Y612" s="20">
        <f>ROUND(Y611+IF(AND(E612=32,F612&lt;&gt;"ASTM A416"),L612,0),3)</f>
        <v/>
      </c>
      <c r="Z612" s="20">
        <f>ROUND(Z611+IF(F612="ASTM A416",L612,0),3)</f>
        <v/>
      </c>
      <c r="AA612" s="11">
        <f>IF(ROUNDUP(P612/20,0)&gt;ROUNDUP(P611/20,0),"Lần " &amp; ROUNDUP(P612/20,0),"")</f>
        <v/>
      </c>
      <c r="AB612" s="11">
        <f>IF(ROUNDUP(Q612/20,0)&gt;ROUNDUP(Q611/20,0),"Lần " &amp; ROUNDUP(Q612/20,0),"")</f>
        <v/>
      </c>
      <c r="AC612" s="11">
        <f>IF(ROUNDUP(R612/20,0)&gt;ROUNDUP(R611/20,0),"Lần " &amp; ROUNDUP(R612/20,0),"")</f>
        <v/>
      </c>
      <c r="AD612" s="11">
        <f>IF(ROUNDUP(S612/20,0)&gt;ROUNDUP(S611/20,0),"Lần " &amp; ROUNDUP(S612/20,0),"")</f>
        <v/>
      </c>
      <c r="AE612" s="11">
        <f>IF(ROUNDUP(T612/20,0)&gt;ROUNDUP(T611/20,0),"Lần " &amp; ROUNDUP(T612/20,0),"")</f>
        <v/>
      </c>
      <c r="AF612" s="11">
        <f>IF(ROUNDUP(U612/20,0)&gt;ROUNDUP(U611/20,0),"Lần " &amp; ROUNDUP(U612/20,0),"")</f>
        <v/>
      </c>
      <c r="AG612" s="11">
        <f>IF(ROUNDUP(V612/20,0)&gt;ROUNDUP(V611/20,0),"Lần " &amp; ROUNDUP(V612/20,0),"")</f>
        <v/>
      </c>
      <c r="AH612" s="11">
        <f>IF(ROUNDUP(W612/20,0)&gt;ROUNDUP(W611/20,0),"Lần " &amp; ROUNDUP(W612/20,0),"")</f>
        <v/>
      </c>
      <c r="AI612" s="11">
        <f>IF(ROUNDUP(X612/20,0)&gt;ROUNDUP(X611/20,0),"Lần " &amp; ROUNDUP(X612/20,0),"")</f>
        <v/>
      </c>
      <c r="AJ612" s="11">
        <f>IF(ROUNDUP(Y612/20,0)&gt;ROUNDUP(Y611/20,0),"Lần " &amp; ROUNDUP(Y612/20,0),"")</f>
        <v/>
      </c>
      <c r="AK612" s="11">
        <f>IF(ROUNDUP(Z612/20,0)&gt;ROUNDUP(Z611/20,0),"Lần " &amp; ROUNDUP(Z612/20,0),"")</f>
        <v/>
      </c>
      <c r="AL612" s="6" t="n"/>
      <c r="AN612" t="inlineStr">
        <is>
          <t>Coc</t>
        </is>
      </c>
      <c r="AO612" t="n">
        <v>17</v>
      </c>
    </row>
    <row r="613" ht="19" customHeight="1">
      <c r="A613" s="6" t="n">
        <v>583</v>
      </c>
      <c r="B613" s="7" t="inlineStr">
        <is>
          <t>Cọc khoan nhồi C3 Trụ T2 (D1.2m, L=30.0m)</t>
        </is>
      </c>
      <c r="C613" s="7" t="inlineStr">
        <is>
          <t>Cọc trụ T2 L=30m (tr.70)</t>
        </is>
      </c>
      <c r="D613" s="18" t="inlineStr">
        <is>
          <t>P8</t>
        </is>
      </c>
      <c r="E613" s="19" t="n">
        <v>12</v>
      </c>
      <c r="F613" s="6" t="inlineStr">
        <is>
          <t>CB400-V</t>
        </is>
      </c>
      <c r="G613" s="7" t="inlineStr"/>
      <c r="H613" s="20" t="n">
        <v>0.647</v>
      </c>
      <c r="I613" s="21" t="n">
        <v>12</v>
      </c>
      <c r="J613" s="22" t="n">
        <v>0.888</v>
      </c>
      <c r="K613" s="9">
        <f>ROUND(H613*I613*J613, 2)</f>
        <v/>
      </c>
      <c r="L613" s="23">
        <f>ROUND(K613/1000, 3)</f>
        <v/>
      </c>
      <c r="M613" s="8">
        <f>IF(AO613="","",IF(INDEX(Theo_Doi_Tan_Suat_Be_Tong!$C:$C,AO613)="","",INDEX(Theo_Doi_Tan_Suat_Be_Tong!$C:$C,AO613)-VLOOKUP(AN613,$AQ$2:$AR$7,2,FALSE)))</f>
        <v/>
      </c>
      <c r="N613" s="6" t="n"/>
      <c r="O613" s="24">
        <f>IF(ROUNDUP(Q613/20,0)&gt;ROUNDUP(Q612/20,0),"TN Ø12 (Lần " &amp; ROUNDUP(Q613/20,0) &amp; ")","")</f>
        <v/>
      </c>
      <c r="P613" s="20">
        <f>ROUND(P612+IF(AND(E613&lt;=10,F613&lt;&gt;"ASTM A416"),L613,0),3)</f>
        <v/>
      </c>
      <c r="Q613" s="20">
        <f>ROUND(Q612+IF(AND(E613=12,F613&lt;&gt;"ASTM A416"),L613,0),3)</f>
        <v/>
      </c>
      <c r="R613" s="20">
        <f>ROUND(R612+IF(AND(E613=14,F613&lt;&gt;"ASTM A416"),L613,0),3)</f>
        <v/>
      </c>
      <c r="S613" s="20">
        <f>ROUND(S612+IF(AND(E613=16,F613&lt;&gt;"ASTM A416"),L613,0),3)</f>
        <v/>
      </c>
      <c r="T613" s="20">
        <f>ROUND(T612+IF(AND(E613=18,F613&lt;&gt;"ASTM A416"),L613,0),3)</f>
        <v/>
      </c>
      <c r="U613" s="20">
        <f>ROUND(U612+IF(AND(E613=20,F613&lt;&gt;"ASTM A416"),L613,0),3)</f>
        <v/>
      </c>
      <c r="V613" s="20">
        <f>ROUND(V612+IF(AND(E613=22,F613&lt;&gt;"ASTM A416"),L613,0),3)</f>
        <v/>
      </c>
      <c r="W613" s="20">
        <f>ROUND(W612+IF(AND(E613=25,F613&lt;&gt;"ASTM A416"),L613,0),3)</f>
        <v/>
      </c>
      <c r="X613" s="20">
        <f>ROUND(X612+IF(AND(E613=28,F613&lt;&gt;"ASTM A416"),L613,0),3)</f>
        <v/>
      </c>
      <c r="Y613" s="20">
        <f>ROUND(Y612+IF(AND(E613=32,F613&lt;&gt;"ASTM A416"),L613,0),3)</f>
        <v/>
      </c>
      <c r="Z613" s="20">
        <f>ROUND(Z612+IF(F613="ASTM A416",L613,0),3)</f>
        <v/>
      </c>
      <c r="AA613" s="11">
        <f>IF(ROUNDUP(P613/20,0)&gt;ROUNDUP(P612/20,0),"Lần " &amp; ROUNDUP(P613/20,0),"")</f>
        <v/>
      </c>
      <c r="AB613" s="11">
        <f>IF(ROUNDUP(Q613/20,0)&gt;ROUNDUP(Q612/20,0),"Lần " &amp; ROUNDUP(Q613/20,0),"")</f>
        <v/>
      </c>
      <c r="AC613" s="11">
        <f>IF(ROUNDUP(R613/20,0)&gt;ROUNDUP(R612/20,0),"Lần " &amp; ROUNDUP(R613/20,0),"")</f>
        <v/>
      </c>
      <c r="AD613" s="11">
        <f>IF(ROUNDUP(S613/20,0)&gt;ROUNDUP(S612/20,0),"Lần " &amp; ROUNDUP(S613/20,0),"")</f>
        <v/>
      </c>
      <c r="AE613" s="11">
        <f>IF(ROUNDUP(T613/20,0)&gt;ROUNDUP(T612/20,0),"Lần " &amp; ROUNDUP(T613/20,0),"")</f>
        <v/>
      </c>
      <c r="AF613" s="11">
        <f>IF(ROUNDUP(U613/20,0)&gt;ROUNDUP(U612/20,0),"Lần " &amp; ROUNDUP(U613/20,0),"")</f>
        <v/>
      </c>
      <c r="AG613" s="11">
        <f>IF(ROUNDUP(V613/20,0)&gt;ROUNDUP(V612/20,0),"Lần " &amp; ROUNDUP(V613/20,0),"")</f>
        <v/>
      </c>
      <c r="AH613" s="11">
        <f>IF(ROUNDUP(W613/20,0)&gt;ROUNDUP(W612/20,0),"Lần " &amp; ROUNDUP(W613/20,0),"")</f>
        <v/>
      </c>
      <c r="AI613" s="11">
        <f>IF(ROUNDUP(X613/20,0)&gt;ROUNDUP(X612/20,0),"Lần " &amp; ROUNDUP(X613/20,0),"")</f>
        <v/>
      </c>
      <c r="AJ613" s="11">
        <f>IF(ROUNDUP(Y613/20,0)&gt;ROUNDUP(Y612/20,0),"Lần " &amp; ROUNDUP(Y613/20,0),"")</f>
        <v/>
      </c>
      <c r="AK613" s="11">
        <f>IF(ROUNDUP(Z613/20,0)&gt;ROUNDUP(Z612/20,0),"Lần " &amp; ROUNDUP(Z613/20,0),"")</f>
        <v/>
      </c>
      <c r="AL613" s="6" t="n"/>
      <c r="AN613" t="inlineStr">
        <is>
          <t>Coc</t>
        </is>
      </c>
      <c r="AO613" t="n">
        <v>17</v>
      </c>
    </row>
    <row r="614" ht="19" customHeight="1">
      <c r="A614" s="6" t="n">
        <v>584</v>
      </c>
      <c r="B614" s="7" t="inlineStr">
        <is>
          <t>Cọc khoan nhồi C3 Trụ T2 (D1.2m, L=30.0m)</t>
        </is>
      </c>
      <c r="C614" s="7" t="inlineStr">
        <is>
          <t>Cọc trụ T2 L=30m (tr.70)</t>
        </is>
      </c>
      <c r="D614" s="18" t="inlineStr">
        <is>
          <t>P9</t>
        </is>
      </c>
      <c r="E614" s="19" t="n">
        <v>12</v>
      </c>
      <c r="F614" s="6" t="inlineStr">
        <is>
          <t>CB400-V</t>
        </is>
      </c>
      <c r="G614" s="7" t="inlineStr"/>
      <c r="H614" s="20" t="n">
        <v>0.379</v>
      </c>
      <c r="I614" s="21" t="n">
        <v>36</v>
      </c>
      <c r="J614" s="22" t="n">
        <v>0.888</v>
      </c>
      <c r="K614" s="9">
        <f>ROUND(H614*I614*J614, 2)</f>
        <v/>
      </c>
      <c r="L614" s="23">
        <f>ROUND(K614/1000, 3)</f>
        <v/>
      </c>
      <c r="M614" s="8">
        <f>IF(AO614="","",IF(INDEX(Theo_Doi_Tan_Suat_Be_Tong!$C:$C,AO614)="","",INDEX(Theo_Doi_Tan_Suat_Be_Tong!$C:$C,AO614)-VLOOKUP(AN614,$AQ$2:$AR$7,2,FALSE)))</f>
        <v/>
      </c>
      <c r="N614" s="6" t="n"/>
      <c r="O614" s="24">
        <f>IF(ROUNDUP(Q614/20,0)&gt;ROUNDUP(Q613/20,0),"TN Ø12 (Lần " &amp; ROUNDUP(Q614/20,0) &amp; ")","")</f>
        <v/>
      </c>
      <c r="P614" s="20">
        <f>ROUND(P613+IF(AND(E614&lt;=10,F614&lt;&gt;"ASTM A416"),L614,0),3)</f>
        <v/>
      </c>
      <c r="Q614" s="20">
        <f>ROUND(Q613+IF(AND(E614=12,F614&lt;&gt;"ASTM A416"),L614,0),3)</f>
        <v/>
      </c>
      <c r="R614" s="20">
        <f>ROUND(R613+IF(AND(E614=14,F614&lt;&gt;"ASTM A416"),L614,0),3)</f>
        <v/>
      </c>
      <c r="S614" s="20">
        <f>ROUND(S613+IF(AND(E614=16,F614&lt;&gt;"ASTM A416"),L614,0),3)</f>
        <v/>
      </c>
      <c r="T614" s="20">
        <f>ROUND(T613+IF(AND(E614=18,F614&lt;&gt;"ASTM A416"),L614,0),3)</f>
        <v/>
      </c>
      <c r="U614" s="20">
        <f>ROUND(U613+IF(AND(E614=20,F614&lt;&gt;"ASTM A416"),L614,0),3)</f>
        <v/>
      </c>
      <c r="V614" s="20">
        <f>ROUND(V613+IF(AND(E614=22,F614&lt;&gt;"ASTM A416"),L614,0),3)</f>
        <v/>
      </c>
      <c r="W614" s="20">
        <f>ROUND(W613+IF(AND(E614=25,F614&lt;&gt;"ASTM A416"),L614,0),3)</f>
        <v/>
      </c>
      <c r="X614" s="20">
        <f>ROUND(X613+IF(AND(E614=28,F614&lt;&gt;"ASTM A416"),L614,0),3)</f>
        <v/>
      </c>
      <c r="Y614" s="20">
        <f>ROUND(Y613+IF(AND(E614=32,F614&lt;&gt;"ASTM A416"),L614,0),3)</f>
        <v/>
      </c>
      <c r="Z614" s="20">
        <f>ROUND(Z613+IF(F614="ASTM A416",L614,0),3)</f>
        <v/>
      </c>
      <c r="AA614" s="11">
        <f>IF(ROUNDUP(P614/20,0)&gt;ROUNDUP(P613/20,0),"Lần " &amp; ROUNDUP(P614/20,0),"")</f>
        <v/>
      </c>
      <c r="AB614" s="11">
        <f>IF(ROUNDUP(Q614/20,0)&gt;ROUNDUP(Q613/20,0),"Lần " &amp; ROUNDUP(Q614/20,0),"")</f>
        <v/>
      </c>
      <c r="AC614" s="11">
        <f>IF(ROUNDUP(R614/20,0)&gt;ROUNDUP(R613/20,0),"Lần " &amp; ROUNDUP(R614/20,0),"")</f>
        <v/>
      </c>
      <c r="AD614" s="11">
        <f>IF(ROUNDUP(S614/20,0)&gt;ROUNDUP(S613/20,0),"Lần " &amp; ROUNDUP(S614/20,0),"")</f>
        <v/>
      </c>
      <c r="AE614" s="11">
        <f>IF(ROUNDUP(T614/20,0)&gt;ROUNDUP(T613/20,0),"Lần " &amp; ROUNDUP(T614/20,0),"")</f>
        <v/>
      </c>
      <c r="AF614" s="11">
        <f>IF(ROUNDUP(U614/20,0)&gt;ROUNDUP(U613/20,0),"Lần " &amp; ROUNDUP(U614/20,0),"")</f>
        <v/>
      </c>
      <c r="AG614" s="11">
        <f>IF(ROUNDUP(V614/20,0)&gt;ROUNDUP(V613/20,0),"Lần " &amp; ROUNDUP(V614/20,0),"")</f>
        <v/>
      </c>
      <c r="AH614" s="11">
        <f>IF(ROUNDUP(W614/20,0)&gt;ROUNDUP(W613/20,0),"Lần " &amp; ROUNDUP(W614/20,0),"")</f>
        <v/>
      </c>
      <c r="AI614" s="11">
        <f>IF(ROUNDUP(X614/20,0)&gt;ROUNDUP(X613/20,0),"Lần " &amp; ROUNDUP(X614/20,0),"")</f>
        <v/>
      </c>
      <c r="AJ614" s="11">
        <f>IF(ROUNDUP(Y614/20,0)&gt;ROUNDUP(Y613/20,0),"Lần " &amp; ROUNDUP(Y614/20,0),"")</f>
        <v/>
      </c>
      <c r="AK614" s="11">
        <f>IF(ROUNDUP(Z614/20,0)&gt;ROUNDUP(Z613/20,0),"Lần " &amp; ROUNDUP(Z614/20,0),"")</f>
        <v/>
      </c>
      <c r="AL614" s="6" t="n"/>
      <c r="AN614" t="inlineStr">
        <is>
          <t>Coc</t>
        </is>
      </c>
      <c r="AO614" t="n">
        <v>17</v>
      </c>
    </row>
    <row r="615" ht="19" customHeight="1">
      <c r="A615" s="6" t="n">
        <v>585</v>
      </c>
      <c r="B615" s="7" t="inlineStr">
        <is>
          <t>Cọc khoan nhồi C3 Trụ T2 (D1.2m, L=30.0m)</t>
        </is>
      </c>
      <c r="C615" s="7" t="inlineStr">
        <is>
          <t>Cọc trụ T2 L=30m (tr.70)</t>
        </is>
      </c>
      <c r="D615" s="18" t="inlineStr">
        <is>
          <t>P10</t>
        </is>
      </c>
      <c r="E615" s="19" t="n">
        <v>20</v>
      </c>
      <c r="F615" s="6" t="inlineStr">
        <is>
          <t>CB400-V</t>
        </is>
      </c>
      <c r="G615" s="7" t="inlineStr"/>
      <c r="H615" s="20" t="n">
        <v>2.057</v>
      </c>
      <c r="I615" s="21" t="n">
        <v>1</v>
      </c>
      <c r="J615" s="22" t="n">
        <v>2.466</v>
      </c>
      <c r="K615" s="9">
        <f>ROUND(H615*I615*J615, 2)</f>
        <v/>
      </c>
      <c r="L615" s="23">
        <f>ROUND(K615/1000, 3)</f>
        <v/>
      </c>
      <c r="M615" s="8">
        <f>IF(AO615="","",IF(INDEX(Theo_Doi_Tan_Suat_Be_Tong!$C:$C,AO615)="","",INDEX(Theo_Doi_Tan_Suat_Be_Tong!$C:$C,AO615)-VLOOKUP(AN615,$AQ$2:$AR$7,2,FALSE)))</f>
        <v/>
      </c>
      <c r="N615" s="6" t="n"/>
      <c r="O615" s="24">
        <f>IF(ROUNDUP(U615/20,0)&gt;ROUNDUP(U614/20,0),"TN Ø20 (Lần " &amp; ROUNDUP(U615/20,0) &amp; ")","")</f>
        <v/>
      </c>
      <c r="P615" s="20">
        <f>ROUND(P614+IF(AND(E615&lt;=10,F615&lt;&gt;"ASTM A416"),L615,0),3)</f>
        <v/>
      </c>
      <c r="Q615" s="20">
        <f>ROUND(Q614+IF(AND(E615=12,F615&lt;&gt;"ASTM A416"),L615,0),3)</f>
        <v/>
      </c>
      <c r="R615" s="20">
        <f>ROUND(R614+IF(AND(E615=14,F615&lt;&gt;"ASTM A416"),L615,0),3)</f>
        <v/>
      </c>
      <c r="S615" s="20">
        <f>ROUND(S614+IF(AND(E615=16,F615&lt;&gt;"ASTM A416"),L615,0),3)</f>
        <v/>
      </c>
      <c r="T615" s="20">
        <f>ROUND(T614+IF(AND(E615=18,F615&lt;&gt;"ASTM A416"),L615,0),3)</f>
        <v/>
      </c>
      <c r="U615" s="20">
        <f>ROUND(U614+IF(AND(E615=20,F615&lt;&gt;"ASTM A416"),L615,0),3)</f>
        <v/>
      </c>
      <c r="V615" s="20">
        <f>ROUND(V614+IF(AND(E615=22,F615&lt;&gt;"ASTM A416"),L615,0),3)</f>
        <v/>
      </c>
      <c r="W615" s="20">
        <f>ROUND(W614+IF(AND(E615=25,F615&lt;&gt;"ASTM A416"),L615,0),3)</f>
        <v/>
      </c>
      <c r="X615" s="20">
        <f>ROUND(X614+IF(AND(E615=28,F615&lt;&gt;"ASTM A416"),L615,0),3)</f>
        <v/>
      </c>
      <c r="Y615" s="20">
        <f>ROUND(Y614+IF(AND(E615=32,F615&lt;&gt;"ASTM A416"),L615,0),3)</f>
        <v/>
      </c>
      <c r="Z615" s="20">
        <f>ROUND(Z614+IF(F615="ASTM A416",L615,0),3)</f>
        <v/>
      </c>
      <c r="AA615" s="11">
        <f>IF(ROUNDUP(P615/20,0)&gt;ROUNDUP(P614/20,0),"Lần " &amp; ROUNDUP(P615/20,0),"")</f>
        <v/>
      </c>
      <c r="AB615" s="11">
        <f>IF(ROUNDUP(Q615/20,0)&gt;ROUNDUP(Q614/20,0),"Lần " &amp; ROUNDUP(Q615/20,0),"")</f>
        <v/>
      </c>
      <c r="AC615" s="11">
        <f>IF(ROUNDUP(R615/20,0)&gt;ROUNDUP(R614/20,0),"Lần " &amp; ROUNDUP(R615/20,0),"")</f>
        <v/>
      </c>
      <c r="AD615" s="11">
        <f>IF(ROUNDUP(S615/20,0)&gt;ROUNDUP(S614/20,0),"Lần " &amp; ROUNDUP(S615/20,0),"")</f>
        <v/>
      </c>
      <c r="AE615" s="11">
        <f>IF(ROUNDUP(T615/20,0)&gt;ROUNDUP(T614/20,0),"Lần " &amp; ROUNDUP(T615/20,0),"")</f>
        <v/>
      </c>
      <c r="AF615" s="11">
        <f>IF(ROUNDUP(U615/20,0)&gt;ROUNDUP(U614/20,0),"Lần " &amp; ROUNDUP(U615/20,0),"")</f>
        <v/>
      </c>
      <c r="AG615" s="11">
        <f>IF(ROUNDUP(V615/20,0)&gt;ROUNDUP(V614/20,0),"Lần " &amp; ROUNDUP(V615/20,0),"")</f>
        <v/>
      </c>
      <c r="AH615" s="11">
        <f>IF(ROUNDUP(W615/20,0)&gt;ROUNDUP(W614/20,0),"Lần " &amp; ROUNDUP(W615/20,0),"")</f>
        <v/>
      </c>
      <c r="AI615" s="11">
        <f>IF(ROUNDUP(X615/20,0)&gt;ROUNDUP(X614/20,0),"Lần " &amp; ROUNDUP(X615/20,0),"")</f>
        <v/>
      </c>
      <c r="AJ615" s="11">
        <f>IF(ROUNDUP(Y615/20,0)&gt;ROUNDUP(Y614/20,0),"Lần " &amp; ROUNDUP(Y615/20,0),"")</f>
        <v/>
      </c>
      <c r="AK615" s="11">
        <f>IF(ROUNDUP(Z615/20,0)&gt;ROUNDUP(Z614/20,0),"Lần " &amp; ROUNDUP(Z615/20,0),"")</f>
        <v/>
      </c>
      <c r="AL615" s="6" t="n"/>
      <c r="AN615" t="inlineStr">
        <is>
          <t>Coc</t>
        </is>
      </c>
      <c r="AO615" t="n">
        <v>17</v>
      </c>
    </row>
    <row r="616" ht="19" customHeight="1">
      <c r="A616" s="6" t="n">
        <v>586</v>
      </c>
      <c r="B616" s="7" t="inlineStr">
        <is>
          <t>Cọc khoan nhồi C3 Trụ T2 (D1.2m, L=30.0m)</t>
        </is>
      </c>
      <c r="C616" s="7" t="inlineStr">
        <is>
          <t>Cọc trụ T2 L=30m (tr.70)</t>
        </is>
      </c>
      <c r="D616" s="18" t="inlineStr">
        <is>
          <t>P12</t>
        </is>
      </c>
      <c r="E616" s="19" t="n">
        <v>20</v>
      </c>
      <c r="F616" s="6" t="inlineStr">
        <is>
          <t>CB400-V</t>
        </is>
      </c>
      <c r="G616" s="7" t="inlineStr"/>
      <c r="H616" s="20" t="n">
        <v>0.583</v>
      </c>
      <c r="I616" s="21" t="n">
        <v>48</v>
      </c>
      <c r="J616" s="22" t="n">
        <v>2.466</v>
      </c>
      <c r="K616" s="9">
        <f>ROUND(H616*I616*J616, 2)</f>
        <v/>
      </c>
      <c r="L616" s="23">
        <f>ROUND(K616/1000, 3)</f>
        <v/>
      </c>
      <c r="M616" s="8">
        <f>IF(AO616="","",IF(INDEX(Theo_Doi_Tan_Suat_Be_Tong!$C:$C,AO616)="","",INDEX(Theo_Doi_Tan_Suat_Be_Tong!$C:$C,AO616)-VLOOKUP(AN616,$AQ$2:$AR$7,2,FALSE)))</f>
        <v/>
      </c>
      <c r="N616" s="6" t="n"/>
      <c r="O616" s="24">
        <f>IF(ROUNDUP(U616/20,0)&gt;ROUNDUP(U615/20,0),"TN Ø20 (Lần " &amp; ROUNDUP(U616/20,0) &amp; ")","")</f>
        <v/>
      </c>
      <c r="P616" s="20">
        <f>ROUND(P615+IF(AND(E616&lt;=10,F616&lt;&gt;"ASTM A416"),L616,0),3)</f>
        <v/>
      </c>
      <c r="Q616" s="20">
        <f>ROUND(Q615+IF(AND(E616=12,F616&lt;&gt;"ASTM A416"),L616,0),3)</f>
        <v/>
      </c>
      <c r="R616" s="20">
        <f>ROUND(R615+IF(AND(E616=14,F616&lt;&gt;"ASTM A416"),L616,0),3)</f>
        <v/>
      </c>
      <c r="S616" s="20">
        <f>ROUND(S615+IF(AND(E616=16,F616&lt;&gt;"ASTM A416"),L616,0),3)</f>
        <v/>
      </c>
      <c r="T616" s="20">
        <f>ROUND(T615+IF(AND(E616=18,F616&lt;&gt;"ASTM A416"),L616,0),3)</f>
        <v/>
      </c>
      <c r="U616" s="20">
        <f>ROUND(U615+IF(AND(E616=20,F616&lt;&gt;"ASTM A416"),L616,0),3)</f>
        <v/>
      </c>
      <c r="V616" s="20">
        <f>ROUND(V615+IF(AND(E616=22,F616&lt;&gt;"ASTM A416"),L616,0),3)</f>
        <v/>
      </c>
      <c r="W616" s="20">
        <f>ROUND(W615+IF(AND(E616=25,F616&lt;&gt;"ASTM A416"),L616,0),3)</f>
        <v/>
      </c>
      <c r="X616" s="20">
        <f>ROUND(X615+IF(AND(E616=28,F616&lt;&gt;"ASTM A416"),L616,0),3)</f>
        <v/>
      </c>
      <c r="Y616" s="20">
        <f>ROUND(Y615+IF(AND(E616=32,F616&lt;&gt;"ASTM A416"),L616,0),3)</f>
        <v/>
      </c>
      <c r="Z616" s="20">
        <f>ROUND(Z615+IF(F616="ASTM A416",L616,0),3)</f>
        <v/>
      </c>
      <c r="AA616" s="11">
        <f>IF(ROUNDUP(P616/20,0)&gt;ROUNDUP(P615/20,0),"Lần " &amp; ROUNDUP(P616/20,0),"")</f>
        <v/>
      </c>
      <c r="AB616" s="11">
        <f>IF(ROUNDUP(Q616/20,0)&gt;ROUNDUP(Q615/20,0),"Lần " &amp; ROUNDUP(Q616/20,0),"")</f>
        <v/>
      </c>
      <c r="AC616" s="11">
        <f>IF(ROUNDUP(R616/20,0)&gt;ROUNDUP(R615/20,0),"Lần " &amp; ROUNDUP(R616/20,0),"")</f>
        <v/>
      </c>
      <c r="AD616" s="11">
        <f>IF(ROUNDUP(S616/20,0)&gt;ROUNDUP(S615/20,0),"Lần " &amp; ROUNDUP(S616/20,0),"")</f>
        <v/>
      </c>
      <c r="AE616" s="11">
        <f>IF(ROUNDUP(T616/20,0)&gt;ROUNDUP(T615/20,0),"Lần " &amp; ROUNDUP(T616/20,0),"")</f>
        <v/>
      </c>
      <c r="AF616" s="11">
        <f>IF(ROUNDUP(U616/20,0)&gt;ROUNDUP(U615/20,0),"Lần " &amp; ROUNDUP(U616/20,0),"")</f>
        <v/>
      </c>
      <c r="AG616" s="11">
        <f>IF(ROUNDUP(V616/20,0)&gt;ROUNDUP(V615/20,0),"Lần " &amp; ROUNDUP(V616/20,0),"")</f>
        <v/>
      </c>
      <c r="AH616" s="11">
        <f>IF(ROUNDUP(W616/20,0)&gt;ROUNDUP(W615/20,0),"Lần " &amp; ROUNDUP(W616/20,0),"")</f>
        <v/>
      </c>
      <c r="AI616" s="11">
        <f>IF(ROUNDUP(X616/20,0)&gt;ROUNDUP(X615/20,0),"Lần " &amp; ROUNDUP(X616/20,0),"")</f>
        <v/>
      </c>
      <c r="AJ616" s="11">
        <f>IF(ROUNDUP(Y616/20,0)&gt;ROUNDUP(Y615/20,0),"Lần " &amp; ROUNDUP(Y616/20,0),"")</f>
        <v/>
      </c>
      <c r="AK616" s="11">
        <f>IF(ROUNDUP(Z616/20,0)&gt;ROUNDUP(Z615/20,0),"Lần " &amp; ROUNDUP(Z616/20,0),"")</f>
        <v/>
      </c>
      <c r="AL616" s="6" t="n"/>
      <c r="AN616" t="inlineStr">
        <is>
          <t>Coc</t>
        </is>
      </c>
      <c r="AO616" t="n">
        <v>17</v>
      </c>
    </row>
    <row r="617" ht="19" customHeight="1">
      <c r="A617" s="6" t="n">
        <v>587</v>
      </c>
      <c r="B617" s="7" t="inlineStr">
        <is>
          <t>Cọc khoan nhồi C3 Trụ T2 (D1.2m, L=30.0m)</t>
        </is>
      </c>
      <c r="C617" s="7" t="inlineStr">
        <is>
          <t>Cọc trụ T2 L=30m (tr.70)</t>
        </is>
      </c>
      <c r="D617" s="18" t="inlineStr">
        <is>
          <t>P11</t>
        </is>
      </c>
      <c r="E617" s="19" t="n">
        <v>16</v>
      </c>
      <c r="F617" s="6" t="inlineStr">
        <is>
          <t>CB400-V</t>
        </is>
      </c>
      <c r="G617" s="7" t="inlineStr"/>
      <c r="H617" s="20" t="n">
        <v>2.604</v>
      </c>
      <c r="I617" s="21" t="n">
        <v>4</v>
      </c>
      <c r="J617" s="22" t="n">
        <v>1.578</v>
      </c>
      <c r="K617" s="9">
        <f>ROUND(H617*I617*J617, 2)</f>
        <v/>
      </c>
      <c r="L617" s="23">
        <f>ROUND(K617/1000, 3)</f>
        <v/>
      </c>
      <c r="M617" s="8">
        <f>IF(AO617="","",IF(INDEX(Theo_Doi_Tan_Suat_Be_Tong!$C:$C,AO617)="","",INDEX(Theo_Doi_Tan_Suat_Be_Tong!$C:$C,AO617)-VLOOKUP(AN617,$AQ$2:$AR$7,2,FALSE)))</f>
        <v/>
      </c>
      <c r="N617" s="6" t="n"/>
      <c r="O617" s="24">
        <f>IF(ROUNDUP(S617/20,0)&gt;ROUNDUP(S616/20,0),"TN Ø16 (Lần " &amp; ROUNDUP(S617/20,0) &amp; ")","")</f>
        <v/>
      </c>
      <c r="P617" s="20">
        <f>ROUND(P616+IF(AND(E617&lt;=10,F617&lt;&gt;"ASTM A416"),L617,0),3)</f>
        <v/>
      </c>
      <c r="Q617" s="20">
        <f>ROUND(Q616+IF(AND(E617=12,F617&lt;&gt;"ASTM A416"),L617,0),3)</f>
        <v/>
      </c>
      <c r="R617" s="20">
        <f>ROUND(R616+IF(AND(E617=14,F617&lt;&gt;"ASTM A416"),L617,0),3)</f>
        <v/>
      </c>
      <c r="S617" s="20">
        <f>ROUND(S616+IF(AND(E617=16,F617&lt;&gt;"ASTM A416"),L617,0),3)</f>
        <v/>
      </c>
      <c r="T617" s="20">
        <f>ROUND(T616+IF(AND(E617=18,F617&lt;&gt;"ASTM A416"),L617,0),3)</f>
        <v/>
      </c>
      <c r="U617" s="20">
        <f>ROUND(U616+IF(AND(E617=20,F617&lt;&gt;"ASTM A416"),L617,0),3)</f>
        <v/>
      </c>
      <c r="V617" s="20">
        <f>ROUND(V616+IF(AND(E617=22,F617&lt;&gt;"ASTM A416"),L617,0),3)</f>
        <v/>
      </c>
      <c r="W617" s="20">
        <f>ROUND(W616+IF(AND(E617=25,F617&lt;&gt;"ASTM A416"),L617,0),3)</f>
        <v/>
      </c>
      <c r="X617" s="20">
        <f>ROUND(X616+IF(AND(E617=28,F617&lt;&gt;"ASTM A416"),L617,0),3)</f>
        <v/>
      </c>
      <c r="Y617" s="20">
        <f>ROUND(Y616+IF(AND(E617=32,F617&lt;&gt;"ASTM A416"),L617,0),3)</f>
        <v/>
      </c>
      <c r="Z617" s="20">
        <f>ROUND(Z616+IF(F617="ASTM A416",L617,0),3)</f>
        <v/>
      </c>
      <c r="AA617" s="11">
        <f>IF(ROUNDUP(P617/20,0)&gt;ROUNDUP(P616/20,0),"Lần " &amp; ROUNDUP(P617/20,0),"")</f>
        <v/>
      </c>
      <c r="AB617" s="11">
        <f>IF(ROUNDUP(Q617/20,0)&gt;ROUNDUP(Q616/20,0),"Lần " &amp; ROUNDUP(Q617/20,0),"")</f>
        <v/>
      </c>
      <c r="AC617" s="11">
        <f>IF(ROUNDUP(R617/20,0)&gt;ROUNDUP(R616/20,0),"Lần " &amp; ROUNDUP(R617/20,0),"")</f>
        <v/>
      </c>
      <c r="AD617" s="11">
        <f>IF(ROUNDUP(S617/20,0)&gt;ROUNDUP(S616/20,0),"Lần " &amp; ROUNDUP(S617/20,0),"")</f>
        <v/>
      </c>
      <c r="AE617" s="11">
        <f>IF(ROUNDUP(T617/20,0)&gt;ROUNDUP(T616/20,0),"Lần " &amp; ROUNDUP(T617/20,0),"")</f>
        <v/>
      </c>
      <c r="AF617" s="11">
        <f>IF(ROUNDUP(U617/20,0)&gt;ROUNDUP(U616/20,0),"Lần " &amp; ROUNDUP(U617/20,0),"")</f>
        <v/>
      </c>
      <c r="AG617" s="11">
        <f>IF(ROUNDUP(V617/20,0)&gt;ROUNDUP(V616/20,0),"Lần " &amp; ROUNDUP(V617/20,0),"")</f>
        <v/>
      </c>
      <c r="AH617" s="11">
        <f>IF(ROUNDUP(W617/20,0)&gt;ROUNDUP(W616/20,0),"Lần " &amp; ROUNDUP(W617/20,0),"")</f>
        <v/>
      </c>
      <c r="AI617" s="11">
        <f>IF(ROUNDUP(X617/20,0)&gt;ROUNDUP(X616/20,0),"Lần " &amp; ROUNDUP(X617/20,0),"")</f>
        <v/>
      </c>
      <c r="AJ617" s="11">
        <f>IF(ROUNDUP(Y617/20,0)&gt;ROUNDUP(Y616/20,0),"Lần " &amp; ROUNDUP(Y617/20,0),"")</f>
        <v/>
      </c>
      <c r="AK617" s="11">
        <f>IF(ROUNDUP(Z617/20,0)&gt;ROUNDUP(Z616/20,0),"Lần " &amp; ROUNDUP(Z617/20,0),"")</f>
        <v/>
      </c>
      <c r="AL617" s="6" t="n"/>
      <c r="AN617" t="inlineStr">
        <is>
          <t>Coc</t>
        </is>
      </c>
      <c r="AO617" t="n">
        <v>17</v>
      </c>
    </row>
    <row r="618" ht="19" customHeight="1">
      <c r="A618" s="17" t="inlineStr">
        <is>
          <t>--- CỌC KHOAN NHỒI C4 TRỤ T2 (D1.2M, L=30.0M) ---</t>
        </is>
      </c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  <c r="AG618" s="35" t="n"/>
      <c r="AH618" s="35" t="n"/>
      <c r="AI618" s="35" t="n"/>
      <c r="AJ618" s="35" t="n"/>
      <c r="AK618" s="35" t="n"/>
      <c r="AL618" s="34" t="n"/>
    </row>
    <row r="619" ht="19" customHeight="1">
      <c r="A619" s="6" t="n">
        <v>588</v>
      </c>
      <c r="B619" s="7" t="inlineStr">
        <is>
          <t>Cọc khoan nhồi C4 Trụ T2 (D1.2m, L=30.0m)</t>
        </is>
      </c>
      <c r="C619" s="7" t="inlineStr">
        <is>
          <t>Cọc trụ T2 L=30m (tr.70)</t>
        </is>
      </c>
      <c r="D619" s="18" t="inlineStr">
        <is>
          <t>P1</t>
        </is>
      </c>
      <c r="E619" s="19" t="n">
        <v>10</v>
      </c>
      <c r="F619" s="6" t="inlineStr">
        <is>
          <t>CB240-T</t>
        </is>
      </c>
      <c r="G619" s="7" t="inlineStr"/>
      <c r="H619" s="20" t="n">
        <v>96.604</v>
      </c>
      <c r="I619" s="21" t="n">
        <v>1</v>
      </c>
      <c r="J619" s="22" t="n">
        <v>0.617</v>
      </c>
      <c r="K619" s="9">
        <f>ROUND(H619*I619*J619, 2)</f>
        <v/>
      </c>
      <c r="L619" s="23">
        <f>ROUND(K619/1000, 3)</f>
        <v/>
      </c>
      <c r="M619" s="8">
        <f>IF(AO619="","",IF(INDEX(Theo_Doi_Tan_Suat_Be_Tong!$C:$C,AO619)="","",INDEX(Theo_Doi_Tan_Suat_Be_Tong!$C:$C,AO619)-VLOOKUP(AN619,$AQ$2:$AR$7,2,FALSE)))</f>
        <v/>
      </c>
      <c r="N619" s="6" t="n"/>
      <c r="O619" s="24">
        <f>IF(ROUNDUP(P619/20,0)&gt;ROUNDUP(P617/20,0),"TN Ø10 (Lần " &amp; ROUNDUP(P619/20,0) &amp; ")","")</f>
        <v/>
      </c>
      <c r="P619" s="20">
        <f>ROUND(P617+IF(AND(E619&lt;=10,F619&lt;&gt;"ASTM A416"),L619,0),3)</f>
        <v/>
      </c>
      <c r="Q619" s="20">
        <f>ROUND(Q617+IF(AND(E619=12,F619&lt;&gt;"ASTM A416"),L619,0),3)</f>
        <v/>
      </c>
      <c r="R619" s="20">
        <f>ROUND(R617+IF(AND(E619=14,F619&lt;&gt;"ASTM A416"),L619,0),3)</f>
        <v/>
      </c>
      <c r="S619" s="20">
        <f>ROUND(S617+IF(AND(E619=16,F619&lt;&gt;"ASTM A416"),L619,0),3)</f>
        <v/>
      </c>
      <c r="T619" s="20">
        <f>ROUND(T617+IF(AND(E619=18,F619&lt;&gt;"ASTM A416"),L619,0),3)</f>
        <v/>
      </c>
      <c r="U619" s="20">
        <f>ROUND(U617+IF(AND(E619=20,F619&lt;&gt;"ASTM A416"),L619,0),3)</f>
        <v/>
      </c>
      <c r="V619" s="20">
        <f>ROUND(V617+IF(AND(E619=22,F619&lt;&gt;"ASTM A416"),L619,0),3)</f>
        <v/>
      </c>
      <c r="W619" s="20">
        <f>ROUND(W617+IF(AND(E619=25,F619&lt;&gt;"ASTM A416"),L619,0),3)</f>
        <v/>
      </c>
      <c r="X619" s="20">
        <f>ROUND(X617+IF(AND(E619=28,F619&lt;&gt;"ASTM A416"),L619,0),3)</f>
        <v/>
      </c>
      <c r="Y619" s="20">
        <f>ROUND(Y617+IF(AND(E619=32,F619&lt;&gt;"ASTM A416"),L619,0),3)</f>
        <v/>
      </c>
      <c r="Z619" s="20">
        <f>ROUND(Z617+IF(F619="ASTM A416",L619,0),3)</f>
        <v/>
      </c>
      <c r="AA619" s="11">
        <f>IF(ROUNDUP(P619/20,0)&gt;ROUNDUP(P617/20,0),"Lần " &amp; ROUNDUP(P619/20,0),"")</f>
        <v/>
      </c>
      <c r="AB619" s="11">
        <f>IF(ROUNDUP(Q619/20,0)&gt;ROUNDUP(Q617/20,0),"Lần " &amp; ROUNDUP(Q619/20,0),"")</f>
        <v/>
      </c>
      <c r="AC619" s="11">
        <f>IF(ROUNDUP(R619/20,0)&gt;ROUNDUP(R617/20,0),"Lần " &amp; ROUNDUP(R619/20,0),"")</f>
        <v/>
      </c>
      <c r="AD619" s="11">
        <f>IF(ROUNDUP(S619/20,0)&gt;ROUNDUP(S617/20,0),"Lần " &amp; ROUNDUP(S619/20,0),"")</f>
        <v/>
      </c>
      <c r="AE619" s="11">
        <f>IF(ROUNDUP(T619/20,0)&gt;ROUNDUP(T617/20,0),"Lần " &amp; ROUNDUP(T619/20,0),"")</f>
        <v/>
      </c>
      <c r="AF619" s="11">
        <f>IF(ROUNDUP(U619/20,0)&gt;ROUNDUP(U617/20,0),"Lần " &amp; ROUNDUP(U619/20,0),"")</f>
        <v/>
      </c>
      <c r="AG619" s="11">
        <f>IF(ROUNDUP(V619/20,0)&gt;ROUNDUP(V617/20,0),"Lần " &amp; ROUNDUP(V619/20,0),"")</f>
        <v/>
      </c>
      <c r="AH619" s="11">
        <f>IF(ROUNDUP(W619/20,0)&gt;ROUNDUP(W617/20,0),"Lần " &amp; ROUNDUP(W619/20,0),"")</f>
        <v/>
      </c>
      <c r="AI619" s="11">
        <f>IF(ROUNDUP(X619/20,0)&gt;ROUNDUP(X617/20,0),"Lần " &amp; ROUNDUP(X619/20,0),"")</f>
        <v/>
      </c>
      <c r="AJ619" s="11">
        <f>IF(ROUNDUP(Y619/20,0)&gt;ROUNDUP(Y617/20,0),"Lần " &amp; ROUNDUP(Y619/20,0),"")</f>
        <v/>
      </c>
      <c r="AK619" s="11">
        <f>IF(ROUNDUP(Z619/20,0)&gt;ROUNDUP(Z617/20,0),"Lần " &amp; ROUNDUP(Z619/20,0),"")</f>
        <v/>
      </c>
      <c r="AL619" s="6" t="n"/>
      <c r="AN619" t="inlineStr">
        <is>
          <t>Coc</t>
        </is>
      </c>
      <c r="AO619" t="n">
        <v>18</v>
      </c>
    </row>
    <row r="620" ht="19" customHeight="1">
      <c r="A620" s="6" t="n">
        <v>589</v>
      </c>
      <c r="B620" s="7" t="inlineStr">
        <is>
          <t>Cọc khoan nhồi C4 Trụ T2 (D1.2m, L=30.0m)</t>
        </is>
      </c>
      <c r="C620" s="7" t="inlineStr">
        <is>
          <t>Cọc trụ T2 L=30m (tr.70)</t>
        </is>
      </c>
      <c r="D620" s="18" t="inlineStr">
        <is>
          <t>P1A</t>
        </is>
      </c>
      <c r="E620" s="19" t="n">
        <v>10</v>
      </c>
      <c r="F620" s="6" t="inlineStr">
        <is>
          <t>CB240-T</t>
        </is>
      </c>
      <c r="G620" s="7" t="inlineStr"/>
      <c r="H620" s="20" t="n">
        <v>389.636</v>
      </c>
      <c r="I620" s="21" t="n">
        <v>1</v>
      </c>
      <c r="J620" s="22" t="n">
        <v>0.617</v>
      </c>
      <c r="K620" s="9">
        <f>ROUND(H620*I620*J620, 2)</f>
        <v/>
      </c>
      <c r="L620" s="23">
        <f>ROUND(K620/1000, 3)</f>
        <v/>
      </c>
      <c r="M620" s="8">
        <f>IF(AO620="","",IF(INDEX(Theo_Doi_Tan_Suat_Be_Tong!$C:$C,AO620)="","",INDEX(Theo_Doi_Tan_Suat_Be_Tong!$C:$C,AO620)-VLOOKUP(AN620,$AQ$2:$AR$7,2,FALSE)))</f>
        <v/>
      </c>
      <c r="N620" s="6" t="n"/>
      <c r="O620" s="24">
        <f>IF(ROUNDUP(P620/20,0)&gt;ROUNDUP(P619/20,0),"TN Ø10 (Lần " &amp; ROUNDUP(P620/20,0) &amp; ")","")</f>
        <v/>
      </c>
      <c r="P620" s="20">
        <f>ROUND(P619+IF(AND(E620&lt;=10,F620&lt;&gt;"ASTM A416"),L620,0),3)</f>
        <v/>
      </c>
      <c r="Q620" s="20">
        <f>ROUND(Q619+IF(AND(E620=12,F620&lt;&gt;"ASTM A416"),L620,0),3)</f>
        <v/>
      </c>
      <c r="R620" s="20">
        <f>ROUND(R619+IF(AND(E620=14,F620&lt;&gt;"ASTM A416"),L620,0),3)</f>
        <v/>
      </c>
      <c r="S620" s="20">
        <f>ROUND(S619+IF(AND(E620=16,F620&lt;&gt;"ASTM A416"),L620,0),3)</f>
        <v/>
      </c>
      <c r="T620" s="20">
        <f>ROUND(T619+IF(AND(E620=18,F620&lt;&gt;"ASTM A416"),L620,0),3)</f>
        <v/>
      </c>
      <c r="U620" s="20">
        <f>ROUND(U619+IF(AND(E620=20,F620&lt;&gt;"ASTM A416"),L620,0),3)</f>
        <v/>
      </c>
      <c r="V620" s="20">
        <f>ROUND(V619+IF(AND(E620=22,F620&lt;&gt;"ASTM A416"),L620,0),3)</f>
        <v/>
      </c>
      <c r="W620" s="20">
        <f>ROUND(W619+IF(AND(E620=25,F620&lt;&gt;"ASTM A416"),L620,0),3)</f>
        <v/>
      </c>
      <c r="X620" s="20">
        <f>ROUND(X619+IF(AND(E620=28,F620&lt;&gt;"ASTM A416"),L620,0),3)</f>
        <v/>
      </c>
      <c r="Y620" s="20">
        <f>ROUND(Y619+IF(AND(E620=32,F620&lt;&gt;"ASTM A416"),L620,0),3)</f>
        <v/>
      </c>
      <c r="Z620" s="20">
        <f>ROUND(Z619+IF(F620="ASTM A416",L620,0),3)</f>
        <v/>
      </c>
      <c r="AA620" s="11">
        <f>IF(ROUNDUP(P620/20,0)&gt;ROUNDUP(P619/20,0),"Lần " &amp; ROUNDUP(P620/20,0),"")</f>
        <v/>
      </c>
      <c r="AB620" s="11">
        <f>IF(ROUNDUP(Q620/20,0)&gt;ROUNDUP(Q619/20,0),"Lần " &amp; ROUNDUP(Q620/20,0),"")</f>
        <v/>
      </c>
      <c r="AC620" s="11">
        <f>IF(ROUNDUP(R620/20,0)&gt;ROUNDUP(R619/20,0),"Lần " &amp; ROUNDUP(R620/20,0),"")</f>
        <v/>
      </c>
      <c r="AD620" s="11">
        <f>IF(ROUNDUP(S620/20,0)&gt;ROUNDUP(S619/20,0),"Lần " &amp; ROUNDUP(S620/20,0),"")</f>
        <v/>
      </c>
      <c r="AE620" s="11">
        <f>IF(ROUNDUP(T620/20,0)&gt;ROUNDUP(T619/20,0),"Lần " &amp; ROUNDUP(T620/20,0),"")</f>
        <v/>
      </c>
      <c r="AF620" s="11">
        <f>IF(ROUNDUP(U620/20,0)&gt;ROUNDUP(U619/20,0),"Lần " &amp; ROUNDUP(U620/20,0),"")</f>
        <v/>
      </c>
      <c r="AG620" s="11">
        <f>IF(ROUNDUP(V620/20,0)&gt;ROUNDUP(V619/20,0),"Lần " &amp; ROUNDUP(V620/20,0),"")</f>
        <v/>
      </c>
      <c r="AH620" s="11">
        <f>IF(ROUNDUP(W620/20,0)&gt;ROUNDUP(W619/20,0),"Lần " &amp; ROUNDUP(W620/20,0),"")</f>
        <v/>
      </c>
      <c r="AI620" s="11">
        <f>IF(ROUNDUP(X620/20,0)&gt;ROUNDUP(X619/20,0),"Lần " &amp; ROUNDUP(X620/20,0),"")</f>
        <v/>
      </c>
      <c r="AJ620" s="11">
        <f>IF(ROUNDUP(Y620/20,0)&gt;ROUNDUP(Y619/20,0),"Lần " &amp; ROUNDUP(Y620/20,0),"")</f>
        <v/>
      </c>
      <c r="AK620" s="11">
        <f>IF(ROUNDUP(Z620/20,0)&gt;ROUNDUP(Z619/20,0),"Lần " &amp; ROUNDUP(Z620/20,0),"")</f>
        <v/>
      </c>
      <c r="AL620" s="6" t="n"/>
      <c r="AN620" t="inlineStr">
        <is>
          <t>Coc</t>
        </is>
      </c>
      <c r="AO620" t="n">
        <v>18</v>
      </c>
    </row>
    <row r="621" ht="19" customHeight="1">
      <c r="A621" s="6" t="n">
        <v>590</v>
      </c>
      <c r="B621" s="7" t="inlineStr">
        <is>
          <t>Cọc khoan nhồi C4 Trụ T2 (D1.2m, L=30.0m)</t>
        </is>
      </c>
      <c r="C621" s="7" t="inlineStr">
        <is>
          <t>Cọc trụ T2 L=30m (tr.70)</t>
        </is>
      </c>
      <c r="D621" s="18" t="inlineStr">
        <is>
          <t>P1B</t>
        </is>
      </c>
      <c r="E621" s="19" t="n">
        <v>10</v>
      </c>
      <c r="F621" s="6" t="inlineStr">
        <is>
          <t>CB240-T</t>
        </is>
      </c>
      <c r="G621" s="7" t="inlineStr"/>
      <c r="H621" s="20" t="n">
        <v>100.256</v>
      </c>
      <c r="I621" s="21" t="n">
        <v>1</v>
      </c>
      <c r="J621" s="22" t="n">
        <v>0.617</v>
      </c>
      <c r="K621" s="9">
        <f>ROUND(H621*I621*J621, 2)</f>
        <v/>
      </c>
      <c r="L621" s="23">
        <f>ROUND(K621/1000, 3)</f>
        <v/>
      </c>
      <c r="M621" s="8">
        <f>IF(AO621="","",IF(INDEX(Theo_Doi_Tan_Suat_Be_Tong!$C:$C,AO621)="","",INDEX(Theo_Doi_Tan_Suat_Be_Tong!$C:$C,AO621)-VLOOKUP(AN621,$AQ$2:$AR$7,2,FALSE)))</f>
        <v/>
      </c>
      <c r="N621" s="6" t="n"/>
      <c r="O621" s="24">
        <f>IF(ROUNDUP(P621/20,0)&gt;ROUNDUP(P620/20,0),"TN Ø10 (Lần " &amp; ROUNDUP(P621/20,0) &amp; ")","")</f>
        <v/>
      </c>
      <c r="P621" s="20">
        <f>ROUND(P620+IF(AND(E621&lt;=10,F621&lt;&gt;"ASTM A416"),L621,0),3)</f>
        <v/>
      </c>
      <c r="Q621" s="20">
        <f>ROUND(Q620+IF(AND(E621=12,F621&lt;&gt;"ASTM A416"),L621,0),3)</f>
        <v/>
      </c>
      <c r="R621" s="20">
        <f>ROUND(R620+IF(AND(E621=14,F621&lt;&gt;"ASTM A416"),L621,0),3)</f>
        <v/>
      </c>
      <c r="S621" s="20">
        <f>ROUND(S620+IF(AND(E621=16,F621&lt;&gt;"ASTM A416"),L621,0),3)</f>
        <v/>
      </c>
      <c r="T621" s="20">
        <f>ROUND(T620+IF(AND(E621=18,F621&lt;&gt;"ASTM A416"),L621,0),3)</f>
        <v/>
      </c>
      <c r="U621" s="20">
        <f>ROUND(U620+IF(AND(E621=20,F621&lt;&gt;"ASTM A416"),L621,0),3)</f>
        <v/>
      </c>
      <c r="V621" s="20">
        <f>ROUND(V620+IF(AND(E621=22,F621&lt;&gt;"ASTM A416"),L621,0),3)</f>
        <v/>
      </c>
      <c r="W621" s="20">
        <f>ROUND(W620+IF(AND(E621=25,F621&lt;&gt;"ASTM A416"),L621,0),3)</f>
        <v/>
      </c>
      <c r="X621" s="20">
        <f>ROUND(X620+IF(AND(E621=28,F621&lt;&gt;"ASTM A416"),L621,0),3)</f>
        <v/>
      </c>
      <c r="Y621" s="20">
        <f>ROUND(Y620+IF(AND(E621=32,F621&lt;&gt;"ASTM A416"),L621,0),3)</f>
        <v/>
      </c>
      <c r="Z621" s="20">
        <f>ROUND(Z620+IF(F621="ASTM A416",L621,0),3)</f>
        <v/>
      </c>
      <c r="AA621" s="11">
        <f>IF(ROUNDUP(P621/20,0)&gt;ROUNDUP(P620/20,0),"Lần " &amp; ROUNDUP(P621/20,0),"")</f>
        <v/>
      </c>
      <c r="AB621" s="11">
        <f>IF(ROUNDUP(Q621/20,0)&gt;ROUNDUP(Q620/20,0),"Lần " &amp; ROUNDUP(Q621/20,0),"")</f>
        <v/>
      </c>
      <c r="AC621" s="11">
        <f>IF(ROUNDUP(R621/20,0)&gt;ROUNDUP(R620/20,0),"Lần " &amp; ROUNDUP(R621/20,0),"")</f>
        <v/>
      </c>
      <c r="AD621" s="11">
        <f>IF(ROUNDUP(S621/20,0)&gt;ROUNDUP(S620/20,0),"Lần " &amp; ROUNDUP(S621/20,0),"")</f>
        <v/>
      </c>
      <c r="AE621" s="11">
        <f>IF(ROUNDUP(T621/20,0)&gt;ROUNDUP(T620/20,0),"Lần " &amp; ROUNDUP(T621/20,0),"")</f>
        <v/>
      </c>
      <c r="AF621" s="11">
        <f>IF(ROUNDUP(U621/20,0)&gt;ROUNDUP(U620/20,0),"Lần " &amp; ROUNDUP(U621/20,0),"")</f>
        <v/>
      </c>
      <c r="AG621" s="11">
        <f>IF(ROUNDUP(V621/20,0)&gt;ROUNDUP(V620/20,0),"Lần " &amp; ROUNDUP(V621/20,0),"")</f>
        <v/>
      </c>
      <c r="AH621" s="11">
        <f>IF(ROUNDUP(W621/20,0)&gt;ROUNDUP(W620/20,0),"Lần " &amp; ROUNDUP(W621/20,0),"")</f>
        <v/>
      </c>
      <c r="AI621" s="11">
        <f>IF(ROUNDUP(X621/20,0)&gt;ROUNDUP(X620/20,0),"Lần " &amp; ROUNDUP(X621/20,0),"")</f>
        <v/>
      </c>
      <c r="AJ621" s="11">
        <f>IF(ROUNDUP(Y621/20,0)&gt;ROUNDUP(Y620/20,0),"Lần " &amp; ROUNDUP(Y621/20,0),"")</f>
        <v/>
      </c>
      <c r="AK621" s="11">
        <f>IF(ROUNDUP(Z621/20,0)&gt;ROUNDUP(Z620/20,0),"Lần " &amp; ROUNDUP(Z621/20,0),"")</f>
        <v/>
      </c>
      <c r="AL621" s="6" t="n"/>
      <c r="AN621" t="inlineStr">
        <is>
          <t>Coc</t>
        </is>
      </c>
      <c r="AO621" t="n">
        <v>18</v>
      </c>
    </row>
    <row r="622" ht="19" customHeight="1">
      <c r="A622" s="6" t="n">
        <v>591</v>
      </c>
      <c r="B622" s="7" t="inlineStr">
        <is>
          <t>Cọc khoan nhồi C4 Trụ T2 (D1.2m, L=30.0m)</t>
        </is>
      </c>
      <c r="C622" s="7" t="inlineStr">
        <is>
          <t>Cọc trụ T2 L=30m (tr.70)</t>
        </is>
      </c>
      <c r="D622" s="18" t="inlineStr">
        <is>
          <t>P1C</t>
        </is>
      </c>
      <c r="E622" s="19" t="n">
        <v>10</v>
      </c>
      <c r="F622" s="6" t="inlineStr">
        <is>
          <t>CB240-T</t>
        </is>
      </c>
      <c r="G622" s="7" t="inlineStr"/>
      <c r="H622" s="20" t="n">
        <v>3.592</v>
      </c>
      <c r="I622" s="21" t="n">
        <v>2</v>
      </c>
      <c r="J622" s="22" t="n">
        <v>0.617</v>
      </c>
      <c r="K622" s="9">
        <f>ROUND(H622*I622*J622, 2)</f>
        <v/>
      </c>
      <c r="L622" s="23">
        <f>ROUND(K622/1000, 3)</f>
        <v/>
      </c>
      <c r="M622" s="8">
        <f>IF(AO622="","",IF(INDEX(Theo_Doi_Tan_Suat_Be_Tong!$C:$C,AO622)="","",INDEX(Theo_Doi_Tan_Suat_Be_Tong!$C:$C,AO622)-VLOOKUP(AN622,$AQ$2:$AR$7,2,FALSE)))</f>
        <v/>
      </c>
      <c r="N622" s="6" t="n"/>
      <c r="O622" s="24">
        <f>IF(ROUNDUP(P622/20,0)&gt;ROUNDUP(P621/20,0),"TN Ø10 (Lần " &amp; ROUNDUP(P622/20,0) &amp; ")","")</f>
        <v/>
      </c>
      <c r="P622" s="20">
        <f>ROUND(P621+IF(AND(E622&lt;=10,F622&lt;&gt;"ASTM A416"),L622,0),3)</f>
        <v/>
      </c>
      <c r="Q622" s="20">
        <f>ROUND(Q621+IF(AND(E622=12,F622&lt;&gt;"ASTM A416"),L622,0),3)</f>
        <v/>
      </c>
      <c r="R622" s="20">
        <f>ROUND(R621+IF(AND(E622=14,F622&lt;&gt;"ASTM A416"),L622,0),3)</f>
        <v/>
      </c>
      <c r="S622" s="20">
        <f>ROUND(S621+IF(AND(E622=16,F622&lt;&gt;"ASTM A416"),L622,0),3)</f>
        <v/>
      </c>
      <c r="T622" s="20">
        <f>ROUND(T621+IF(AND(E622=18,F622&lt;&gt;"ASTM A416"),L622,0),3)</f>
        <v/>
      </c>
      <c r="U622" s="20">
        <f>ROUND(U621+IF(AND(E622=20,F622&lt;&gt;"ASTM A416"),L622,0),3)</f>
        <v/>
      </c>
      <c r="V622" s="20">
        <f>ROUND(V621+IF(AND(E622=22,F622&lt;&gt;"ASTM A416"),L622,0),3)</f>
        <v/>
      </c>
      <c r="W622" s="20">
        <f>ROUND(W621+IF(AND(E622=25,F622&lt;&gt;"ASTM A416"),L622,0),3)</f>
        <v/>
      </c>
      <c r="X622" s="20">
        <f>ROUND(X621+IF(AND(E622=28,F622&lt;&gt;"ASTM A416"),L622,0),3)</f>
        <v/>
      </c>
      <c r="Y622" s="20">
        <f>ROUND(Y621+IF(AND(E622=32,F622&lt;&gt;"ASTM A416"),L622,0),3)</f>
        <v/>
      </c>
      <c r="Z622" s="20">
        <f>ROUND(Z621+IF(F622="ASTM A416",L622,0),3)</f>
        <v/>
      </c>
      <c r="AA622" s="11">
        <f>IF(ROUNDUP(P622/20,0)&gt;ROUNDUP(P621/20,0),"Lần " &amp; ROUNDUP(P622/20,0),"")</f>
        <v/>
      </c>
      <c r="AB622" s="11">
        <f>IF(ROUNDUP(Q622/20,0)&gt;ROUNDUP(Q621/20,0),"Lần " &amp; ROUNDUP(Q622/20,0),"")</f>
        <v/>
      </c>
      <c r="AC622" s="11">
        <f>IF(ROUNDUP(R622/20,0)&gt;ROUNDUP(R621/20,0),"Lần " &amp; ROUNDUP(R622/20,0),"")</f>
        <v/>
      </c>
      <c r="AD622" s="11">
        <f>IF(ROUNDUP(S622/20,0)&gt;ROUNDUP(S621/20,0),"Lần " &amp; ROUNDUP(S622/20,0),"")</f>
        <v/>
      </c>
      <c r="AE622" s="11">
        <f>IF(ROUNDUP(T622/20,0)&gt;ROUNDUP(T621/20,0),"Lần " &amp; ROUNDUP(T622/20,0),"")</f>
        <v/>
      </c>
      <c r="AF622" s="11">
        <f>IF(ROUNDUP(U622/20,0)&gt;ROUNDUP(U621/20,0),"Lần " &amp; ROUNDUP(U622/20,0),"")</f>
        <v/>
      </c>
      <c r="AG622" s="11">
        <f>IF(ROUNDUP(V622/20,0)&gt;ROUNDUP(V621/20,0),"Lần " &amp; ROUNDUP(V622/20,0),"")</f>
        <v/>
      </c>
      <c r="AH622" s="11">
        <f>IF(ROUNDUP(W622/20,0)&gt;ROUNDUP(W621/20,0),"Lần " &amp; ROUNDUP(W622/20,0),"")</f>
        <v/>
      </c>
      <c r="AI622" s="11">
        <f>IF(ROUNDUP(X622/20,0)&gt;ROUNDUP(X621/20,0),"Lần " &amp; ROUNDUP(X622/20,0),"")</f>
        <v/>
      </c>
      <c r="AJ622" s="11">
        <f>IF(ROUNDUP(Y622/20,0)&gt;ROUNDUP(Y621/20,0),"Lần " &amp; ROUNDUP(Y622/20,0),"")</f>
        <v/>
      </c>
      <c r="AK622" s="11">
        <f>IF(ROUNDUP(Z622/20,0)&gt;ROUNDUP(Z621/20,0),"Lần " &amp; ROUNDUP(Z622/20,0),"")</f>
        <v/>
      </c>
      <c r="AL622" s="6" t="n"/>
      <c r="AN622" t="inlineStr">
        <is>
          <t>Coc</t>
        </is>
      </c>
      <c r="AO622" t="n">
        <v>18</v>
      </c>
    </row>
    <row r="623" ht="19" customHeight="1">
      <c r="A623" s="6" t="n">
        <v>592</v>
      </c>
      <c r="B623" s="7" t="inlineStr">
        <is>
          <t>Cọc khoan nhồi C4 Trụ T2 (D1.2m, L=30.0m)</t>
        </is>
      </c>
      <c r="C623" s="7" t="inlineStr">
        <is>
          <t>Cọc trụ T2 L=30m (tr.70)</t>
        </is>
      </c>
      <c r="D623" s="18" t="inlineStr">
        <is>
          <t>P1D</t>
        </is>
      </c>
      <c r="E623" s="19" t="n">
        <v>10</v>
      </c>
      <c r="F623" s="6" t="inlineStr">
        <is>
          <t>CB240-T</t>
        </is>
      </c>
      <c r="G623" s="7" t="inlineStr"/>
      <c r="H623" s="20" t="n">
        <v>19.721</v>
      </c>
      <c r="I623" s="21" t="n">
        <v>1</v>
      </c>
      <c r="J623" s="22" t="n">
        <v>0.617</v>
      </c>
      <c r="K623" s="9">
        <f>ROUND(H623*I623*J623, 2)</f>
        <v/>
      </c>
      <c r="L623" s="23">
        <f>ROUND(K623/1000, 3)</f>
        <v/>
      </c>
      <c r="M623" s="8">
        <f>IF(AO623="","",IF(INDEX(Theo_Doi_Tan_Suat_Be_Tong!$C:$C,AO623)="","",INDEX(Theo_Doi_Tan_Suat_Be_Tong!$C:$C,AO623)-VLOOKUP(AN623,$AQ$2:$AR$7,2,FALSE)))</f>
        <v/>
      </c>
      <c r="N623" s="6" t="n"/>
      <c r="O623" s="24">
        <f>IF(ROUNDUP(P623/20,0)&gt;ROUNDUP(P622/20,0),"TN Ø10 (Lần " &amp; ROUNDUP(P623/20,0) &amp; ")","")</f>
        <v/>
      </c>
      <c r="P623" s="20">
        <f>ROUND(P622+IF(AND(E623&lt;=10,F623&lt;&gt;"ASTM A416"),L623,0),3)</f>
        <v/>
      </c>
      <c r="Q623" s="20">
        <f>ROUND(Q622+IF(AND(E623=12,F623&lt;&gt;"ASTM A416"),L623,0),3)</f>
        <v/>
      </c>
      <c r="R623" s="20">
        <f>ROUND(R622+IF(AND(E623=14,F623&lt;&gt;"ASTM A416"),L623,0),3)</f>
        <v/>
      </c>
      <c r="S623" s="20">
        <f>ROUND(S622+IF(AND(E623=16,F623&lt;&gt;"ASTM A416"),L623,0),3)</f>
        <v/>
      </c>
      <c r="T623" s="20">
        <f>ROUND(T622+IF(AND(E623=18,F623&lt;&gt;"ASTM A416"),L623,0),3)</f>
        <v/>
      </c>
      <c r="U623" s="20">
        <f>ROUND(U622+IF(AND(E623=20,F623&lt;&gt;"ASTM A416"),L623,0),3)</f>
        <v/>
      </c>
      <c r="V623" s="20">
        <f>ROUND(V622+IF(AND(E623=22,F623&lt;&gt;"ASTM A416"),L623,0),3)</f>
        <v/>
      </c>
      <c r="W623" s="20">
        <f>ROUND(W622+IF(AND(E623=25,F623&lt;&gt;"ASTM A416"),L623,0),3)</f>
        <v/>
      </c>
      <c r="X623" s="20">
        <f>ROUND(X622+IF(AND(E623=28,F623&lt;&gt;"ASTM A416"),L623,0),3)</f>
        <v/>
      </c>
      <c r="Y623" s="20">
        <f>ROUND(Y622+IF(AND(E623=32,F623&lt;&gt;"ASTM A416"),L623,0),3)</f>
        <v/>
      </c>
      <c r="Z623" s="20">
        <f>ROUND(Z622+IF(F623="ASTM A416",L623,0),3)</f>
        <v/>
      </c>
      <c r="AA623" s="11">
        <f>IF(ROUNDUP(P623/20,0)&gt;ROUNDUP(P622/20,0),"Lần " &amp; ROUNDUP(P623/20,0),"")</f>
        <v/>
      </c>
      <c r="AB623" s="11">
        <f>IF(ROUNDUP(Q623/20,0)&gt;ROUNDUP(Q622/20,0),"Lần " &amp; ROUNDUP(Q623/20,0),"")</f>
        <v/>
      </c>
      <c r="AC623" s="11">
        <f>IF(ROUNDUP(R623/20,0)&gt;ROUNDUP(R622/20,0),"Lần " &amp; ROUNDUP(R623/20,0),"")</f>
        <v/>
      </c>
      <c r="AD623" s="11">
        <f>IF(ROUNDUP(S623/20,0)&gt;ROUNDUP(S622/20,0),"Lần " &amp; ROUNDUP(S623/20,0),"")</f>
        <v/>
      </c>
      <c r="AE623" s="11">
        <f>IF(ROUNDUP(T623/20,0)&gt;ROUNDUP(T622/20,0),"Lần " &amp; ROUNDUP(T623/20,0),"")</f>
        <v/>
      </c>
      <c r="AF623" s="11">
        <f>IF(ROUNDUP(U623/20,0)&gt;ROUNDUP(U622/20,0),"Lần " &amp; ROUNDUP(U623/20,0),"")</f>
        <v/>
      </c>
      <c r="AG623" s="11">
        <f>IF(ROUNDUP(V623/20,0)&gt;ROUNDUP(V622/20,0),"Lần " &amp; ROUNDUP(V623/20,0),"")</f>
        <v/>
      </c>
      <c r="AH623" s="11">
        <f>IF(ROUNDUP(W623/20,0)&gt;ROUNDUP(W622/20,0),"Lần " &amp; ROUNDUP(W623/20,0),"")</f>
        <v/>
      </c>
      <c r="AI623" s="11">
        <f>IF(ROUNDUP(X623/20,0)&gt;ROUNDUP(X622/20,0),"Lần " &amp; ROUNDUP(X623/20,0),"")</f>
        <v/>
      </c>
      <c r="AJ623" s="11">
        <f>IF(ROUNDUP(Y623/20,0)&gt;ROUNDUP(Y622/20,0),"Lần " &amp; ROUNDUP(Y623/20,0),"")</f>
        <v/>
      </c>
      <c r="AK623" s="11">
        <f>IF(ROUNDUP(Z623/20,0)&gt;ROUNDUP(Z622/20,0),"Lần " &amp; ROUNDUP(Z623/20,0),"")</f>
        <v/>
      </c>
      <c r="AL623" s="6" t="n"/>
      <c r="AN623" t="inlineStr">
        <is>
          <t>Coc</t>
        </is>
      </c>
      <c r="AO623" t="n">
        <v>18</v>
      </c>
    </row>
    <row r="624" ht="19" customHeight="1">
      <c r="A624" s="6" t="n">
        <v>593</v>
      </c>
      <c r="B624" s="7" t="inlineStr">
        <is>
          <t>Cọc khoan nhồi C4 Trụ T2 (D1.2m, L=30.0m)</t>
        </is>
      </c>
      <c r="C624" s="7" t="inlineStr">
        <is>
          <t>Cọc trụ T2 L=30m (tr.70)</t>
        </is>
      </c>
      <c r="D624" s="18" t="inlineStr">
        <is>
          <t>P2B</t>
        </is>
      </c>
      <c r="E624" s="19" t="n">
        <v>25</v>
      </c>
      <c r="F624" s="6" t="inlineStr">
        <is>
          <t>CB400-V</t>
        </is>
      </c>
      <c r="G624" s="7" t="inlineStr"/>
      <c r="H624" s="20" t="n">
        <v>2.985</v>
      </c>
      <c r="I624" s="21" t="n">
        <v>12</v>
      </c>
      <c r="J624" s="22" t="n">
        <v>3.853</v>
      </c>
      <c r="K624" s="9">
        <f>ROUND(H624*I624*J624, 2)</f>
        <v/>
      </c>
      <c r="L624" s="23">
        <f>ROUND(K624/1000, 3)</f>
        <v/>
      </c>
      <c r="M624" s="8">
        <f>IF(AO624="","",IF(INDEX(Theo_Doi_Tan_Suat_Be_Tong!$C:$C,AO624)="","",INDEX(Theo_Doi_Tan_Suat_Be_Tong!$C:$C,AO624)-VLOOKUP(AN624,$AQ$2:$AR$7,2,FALSE)))</f>
        <v/>
      </c>
      <c r="N624" s="6" t="n"/>
      <c r="O624" s="24">
        <f>IF(ROUNDUP(W624/20,0)&gt;ROUNDUP(W623/20,0),"TN Ø25 (Lần " &amp; ROUNDUP(W624/20,0) &amp; ")","")</f>
        <v/>
      </c>
      <c r="P624" s="20">
        <f>ROUND(P623+IF(AND(E624&lt;=10,F624&lt;&gt;"ASTM A416"),L624,0),3)</f>
        <v/>
      </c>
      <c r="Q624" s="20">
        <f>ROUND(Q623+IF(AND(E624=12,F624&lt;&gt;"ASTM A416"),L624,0),3)</f>
        <v/>
      </c>
      <c r="R624" s="20">
        <f>ROUND(R623+IF(AND(E624=14,F624&lt;&gt;"ASTM A416"),L624,0),3)</f>
        <v/>
      </c>
      <c r="S624" s="20">
        <f>ROUND(S623+IF(AND(E624=16,F624&lt;&gt;"ASTM A416"),L624,0),3)</f>
        <v/>
      </c>
      <c r="T624" s="20">
        <f>ROUND(T623+IF(AND(E624=18,F624&lt;&gt;"ASTM A416"),L624,0),3)</f>
        <v/>
      </c>
      <c r="U624" s="20">
        <f>ROUND(U623+IF(AND(E624=20,F624&lt;&gt;"ASTM A416"),L624,0),3)</f>
        <v/>
      </c>
      <c r="V624" s="20">
        <f>ROUND(V623+IF(AND(E624=22,F624&lt;&gt;"ASTM A416"),L624,0),3)</f>
        <v/>
      </c>
      <c r="W624" s="20">
        <f>ROUND(W623+IF(AND(E624=25,F624&lt;&gt;"ASTM A416"),L624,0),3)</f>
        <v/>
      </c>
      <c r="X624" s="20">
        <f>ROUND(X623+IF(AND(E624=28,F624&lt;&gt;"ASTM A416"),L624,0),3)</f>
        <v/>
      </c>
      <c r="Y624" s="20">
        <f>ROUND(Y623+IF(AND(E624=32,F624&lt;&gt;"ASTM A416"),L624,0),3)</f>
        <v/>
      </c>
      <c r="Z624" s="20">
        <f>ROUND(Z623+IF(F624="ASTM A416",L624,0),3)</f>
        <v/>
      </c>
      <c r="AA624" s="11">
        <f>IF(ROUNDUP(P624/20,0)&gt;ROUNDUP(P623/20,0),"Lần " &amp; ROUNDUP(P624/20,0),"")</f>
        <v/>
      </c>
      <c r="AB624" s="11">
        <f>IF(ROUNDUP(Q624/20,0)&gt;ROUNDUP(Q623/20,0),"Lần " &amp; ROUNDUP(Q624/20,0),"")</f>
        <v/>
      </c>
      <c r="AC624" s="11">
        <f>IF(ROUNDUP(R624/20,0)&gt;ROUNDUP(R623/20,0),"Lần " &amp; ROUNDUP(R624/20,0),"")</f>
        <v/>
      </c>
      <c r="AD624" s="11">
        <f>IF(ROUNDUP(S624/20,0)&gt;ROUNDUP(S623/20,0),"Lần " &amp; ROUNDUP(S624/20,0),"")</f>
        <v/>
      </c>
      <c r="AE624" s="11">
        <f>IF(ROUNDUP(T624/20,0)&gt;ROUNDUP(T623/20,0),"Lần " &amp; ROUNDUP(T624/20,0),"")</f>
        <v/>
      </c>
      <c r="AF624" s="11">
        <f>IF(ROUNDUP(U624/20,0)&gt;ROUNDUP(U623/20,0),"Lần " &amp; ROUNDUP(U624/20,0),"")</f>
        <v/>
      </c>
      <c r="AG624" s="11">
        <f>IF(ROUNDUP(V624/20,0)&gt;ROUNDUP(V623/20,0),"Lần " &amp; ROUNDUP(V624/20,0),"")</f>
        <v/>
      </c>
      <c r="AH624" s="11">
        <f>IF(ROUNDUP(W624/20,0)&gt;ROUNDUP(W623/20,0),"Lần " &amp; ROUNDUP(W624/20,0),"")</f>
        <v/>
      </c>
      <c r="AI624" s="11">
        <f>IF(ROUNDUP(X624/20,0)&gt;ROUNDUP(X623/20,0),"Lần " &amp; ROUNDUP(X624/20,0),"")</f>
        <v/>
      </c>
      <c r="AJ624" s="11">
        <f>IF(ROUNDUP(Y624/20,0)&gt;ROUNDUP(Y623/20,0),"Lần " &amp; ROUNDUP(Y624/20,0),"")</f>
        <v/>
      </c>
      <c r="AK624" s="11">
        <f>IF(ROUNDUP(Z624/20,0)&gt;ROUNDUP(Z623/20,0),"Lần " &amp; ROUNDUP(Z624/20,0),"")</f>
        <v/>
      </c>
      <c r="AL624" s="6" t="n"/>
      <c r="AN624" t="inlineStr">
        <is>
          <t>Coc</t>
        </is>
      </c>
      <c r="AO624" t="n">
        <v>18</v>
      </c>
    </row>
    <row r="625" ht="19" customHeight="1">
      <c r="A625" s="6" t="n">
        <v>594</v>
      </c>
      <c r="B625" s="7" t="inlineStr">
        <is>
          <t>Cọc khoan nhồi C4 Trụ T2 (D1.2m, L=30.0m)</t>
        </is>
      </c>
      <c r="C625" s="7" t="inlineStr">
        <is>
          <t>Cọc trụ T2 L=30m (tr.70)</t>
        </is>
      </c>
      <c r="D625" s="18" t="inlineStr">
        <is>
          <t>P3</t>
        </is>
      </c>
      <c r="E625" s="19" t="n">
        <v>25</v>
      </c>
      <c r="F625" s="6" t="inlineStr">
        <is>
          <t>CB400-V</t>
        </is>
      </c>
      <c r="G625" s="7" t="inlineStr"/>
      <c r="H625" s="20" t="n">
        <v>10.7</v>
      </c>
      <c r="I625" s="21" t="n">
        <v>12</v>
      </c>
      <c r="J625" s="22" t="n">
        <v>3.853</v>
      </c>
      <c r="K625" s="9">
        <f>ROUND(H625*I625*J625, 2)</f>
        <v/>
      </c>
      <c r="L625" s="23">
        <f>ROUND(K625/1000, 3)</f>
        <v/>
      </c>
      <c r="M625" s="8">
        <f>IF(AO625="","",IF(INDEX(Theo_Doi_Tan_Suat_Be_Tong!$C:$C,AO625)="","",INDEX(Theo_Doi_Tan_Suat_Be_Tong!$C:$C,AO625)-VLOOKUP(AN625,$AQ$2:$AR$7,2,FALSE)))</f>
        <v/>
      </c>
      <c r="N625" s="6" t="n"/>
      <c r="O625" s="24">
        <f>IF(ROUNDUP(W625/20,0)&gt;ROUNDUP(W624/20,0),"TN Ø25 (Lần " &amp; ROUNDUP(W625/20,0) &amp; ")","")</f>
        <v/>
      </c>
      <c r="P625" s="20">
        <f>ROUND(P624+IF(AND(E625&lt;=10,F625&lt;&gt;"ASTM A416"),L625,0),3)</f>
        <v/>
      </c>
      <c r="Q625" s="20">
        <f>ROUND(Q624+IF(AND(E625=12,F625&lt;&gt;"ASTM A416"),L625,0),3)</f>
        <v/>
      </c>
      <c r="R625" s="20">
        <f>ROUND(R624+IF(AND(E625=14,F625&lt;&gt;"ASTM A416"),L625,0),3)</f>
        <v/>
      </c>
      <c r="S625" s="20">
        <f>ROUND(S624+IF(AND(E625=16,F625&lt;&gt;"ASTM A416"),L625,0),3)</f>
        <v/>
      </c>
      <c r="T625" s="20">
        <f>ROUND(T624+IF(AND(E625=18,F625&lt;&gt;"ASTM A416"),L625,0),3)</f>
        <v/>
      </c>
      <c r="U625" s="20">
        <f>ROUND(U624+IF(AND(E625=20,F625&lt;&gt;"ASTM A416"),L625,0),3)</f>
        <v/>
      </c>
      <c r="V625" s="20">
        <f>ROUND(V624+IF(AND(E625=22,F625&lt;&gt;"ASTM A416"),L625,0),3)</f>
        <v/>
      </c>
      <c r="W625" s="20">
        <f>ROUND(W624+IF(AND(E625=25,F625&lt;&gt;"ASTM A416"),L625,0),3)</f>
        <v/>
      </c>
      <c r="X625" s="20">
        <f>ROUND(X624+IF(AND(E625=28,F625&lt;&gt;"ASTM A416"),L625,0),3)</f>
        <v/>
      </c>
      <c r="Y625" s="20">
        <f>ROUND(Y624+IF(AND(E625=32,F625&lt;&gt;"ASTM A416"),L625,0),3)</f>
        <v/>
      </c>
      <c r="Z625" s="20">
        <f>ROUND(Z624+IF(F625="ASTM A416",L625,0),3)</f>
        <v/>
      </c>
      <c r="AA625" s="11">
        <f>IF(ROUNDUP(P625/20,0)&gt;ROUNDUP(P624/20,0),"Lần " &amp; ROUNDUP(P625/20,0),"")</f>
        <v/>
      </c>
      <c r="AB625" s="11">
        <f>IF(ROUNDUP(Q625/20,0)&gt;ROUNDUP(Q624/20,0),"Lần " &amp; ROUNDUP(Q625/20,0),"")</f>
        <v/>
      </c>
      <c r="AC625" s="11">
        <f>IF(ROUNDUP(R625/20,0)&gt;ROUNDUP(R624/20,0),"Lần " &amp; ROUNDUP(R625/20,0),"")</f>
        <v/>
      </c>
      <c r="AD625" s="11">
        <f>IF(ROUNDUP(S625/20,0)&gt;ROUNDUP(S624/20,0),"Lần " &amp; ROUNDUP(S625/20,0),"")</f>
        <v/>
      </c>
      <c r="AE625" s="11">
        <f>IF(ROUNDUP(T625/20,0)&gt;ROUNDUP(T624/20,0),"Lần " &amp; ROUNDUP(T625/20,0),"")</f>
        <v/>
      </c>
      <c r="AF625" s="11">
        <f>IF(ROUNDUP(U625/20,0)&gt;ROUNDUP(U624/20,0),"Lần " &amp; ROUNDUP(U625/20,0),"")</f>
        <v/>
      </c>
      <c r="AG625" s="11">
        <f>IF(ROUNDUP(V625/20,0)&gt;ROUNDUP(V624/20,0),"Lần " &amp; ROUNDUP(V625/20,0),"")</f>
        <v/>
      </c>
      <c r="AH625" s="11">
        <f>IF(ROUNDUP(W625/20,0)&gt;ROUNDUP(W624/20,0),"Lần " &amp; ROUNDUP(W625/20,0),"")</f>
        <v/>
      </c>
      <c r="AI625" s="11">
        <f>IF(ROUNDUP(X625/20,0)&gt;ROUNDUP(X624/20,0),"Lần " &amp; ROUNDUP(X625/20,0),"")</f>
        <v/>
      </c>
      <c r="AJ625" s="11">
        <f>IF(ROUNDUP(Y625/20,0)&gt;ROUNDUP(Y624/20,0),"Lần " &amp; ROUNDUP(Y625/20,0),"")</f>
        <v/>
      </c>
      <c r="AK625" s="11">
        <f>IF(ROUNDUP(Z625/20,0)&gt;ROUNDUP(Z624/20,0),"Lần " &amp; ROUNDUP(Z625/20,0),"")</f>
        <v/>
      </c>
      <c r="AL625" s="6" t="n"/>
      <c r="AN625" t="inlineStr">
        <is>
          <t>Coc</t>
        </is>
      </c>
      <c r="AO625" t="n">
        <v>18</v>
      </c>
    </row>
    <row r="626" ht="19" customHeight="1">
      <c r="A626" s="6" t="n">
        <v>595</v>
      </c>
      <c r="B626" s="7" t="inlineStr">
        <is>
          <t>Cọc khoan nhồi C4 Trụ T2 (D1.2m, L=30.0m)</t>
        </is>
      </c>
      <c r="C626" s="7" t="inlineStr">
        <is>
          <t>Cọc trụ T2 L=30m (tr.70)</t>
        </is>
      </c>
      <c r="D626" s="18" t="inlineStr">
        <is>
          <t>P4</t>
        </is>
      </c>
      <c r="E626" s="19" t="n">
        <v>25</v>
      </c>
      <c r="F626" s="6" t="inlineStr">
        <is>
          <t>CB400-V</t>
        </is>
      </c>
      <c r="G626" s="7" t="inlineStr"/>
      <c r="H626" s="20" t="n">
        <v>11.7</v>
      </c>
      <c r="I626" s="21" t="n">
        <v>36</v>
      </c>
      <c r="J626" s="22" t="n">
        <v>3.853</v>
      </c>
      <c r="K626" s="9">
        <f>ROUND(H626*I626*J626, 2)</f>
        <v/>
      </c>
      <c r="L626" s="23">
        <f>ROUND(K626/1000, 3)</f>
        <v/>
      </c>
      <c r="M626" s="8">
        <f>IF(AO626="","",IF(INDEX(Theo_Doi_Tan_Suat_Be_Tong!$C:$C,AO626)="","",INDEX(Theo_Doi_Tan_Suat_Be_Tong!$C:$C,AO626)-VLOOKUP(AN626,$AQ$2:$AR$7,2,FALSE)))</f>
        <v/>
      </c>
      <c r="N626" s="6" t="n"/>
      <c r="O626" s="24">
        <f>IF(ROUNDUP(W626/20,0)&gt;ROUNDUP(W625/20,0),"TN Ø25 (Lần " &amp; ROUNDUP(W626/20,0) &amp; ")","")</f>
        <v/>
      </c>
      <c r="P626" s="20">
        <f>ROUND(P625+IF(AND(E626&lt;=10,F626&lt;&gt;"ASTM A416"),L626,0),3)</f>
        <v/>
      </c>
      <c r="Q626" s="20">
        <f>ROUND(Q625+IF(AND(E626=12,F626&lt;&gt;"ASTM A416"),L626,0),3)</f>
        <v/>
      </c>
      <c r="R626" s="20">
        <f>ROUND(R625+IF(AND(E626=14,F626&lt;&gt;"ASTM A416"),L626,0),3)</f>
        <v/>
      </c>
      <c r="S626" s="20">
        <f>ROUND(S625+IF(AND(E626=16,F626&lt;&gt;"ASTM A416"),L626,0),3)</f>
        <v/>
      </c>
      <c r="T626" s="20">
        <f>ROUND(T625+IF(AND(E626=18,F626&lt;&gt;"ASTM A416"),L626,0),3)</f>
        <v/>
      </c>
      <c r="U626" s="20">
        <f>ROUND(U625+IF(AND(E626=20,F626&lt;&gt;"ASTM A416"),L626,0),3)</f>
        <v/>
      </c>
      <c r="V626" s="20">
        <f>ROUND(V625+IF(AND(E626=22,F626&lt;&gt;"ASTM A416"),L626,0),3)</f>
        <v/>
      </c>
      <c r="W626" s="20">
        <f>ROUND(W625+IF(AND(E626=25,F626&lt;&gt;"ASTM A416"),L626,0),3)</f>
        <v/>
      </c>
      <c r="X626" s="20">
        <f>ROUND(X625+IF(AND(E626=28,F626&lt;&gt;"ASTM A416"),L626,0),3)</f>
        <v/>
      </c>
      <c r="Y626" s="20">
        <f>ROUND(Y625+IF(AND(E626=32,F626&lt;&gt;"ASTM A416"),L626,0),3)</f>
        <v/>
      </c>
      <c r="Z626" s="20">
        <f>ROUND(Z625+IF(F626="ASTM A416",L626,0),3)</f>
        <v/>
      </c>
      <c r="AA626" s="11">
        <f>IF(ROUNDUP(P626/20,0)&gt;ROUNDUP(P625/20,0),"Lần " &amp; ROUNDUP(P626/20,0),"")</f>
        <v/>
      </c>
      <c r="AB626" s="11">
        <f>IF(ROUNDUP(Q626/20,0)&gt;ROUNDUP(Q625/20,0),"Lần " &amp; ROUNDUP(Q626/20,0),"")</f>
        <v/>
      </c>
      <c r="AC626" s="11">
        <f>IF(ROUNDUP(R626/20,0)&gt;ROUNDUP(R625/20,0),"Lần " &amp; ROUNDUP(R626/20,0),"")</f>
        <v/>
      </c>
      <c r="AD626" s="11">
        <f>IF(ROUNDUP(S626/20,0)&gt;ROUNDUP(S625/20,0),"Lần " &amp; ROUNDUP(S626/20,0),"")</f>
        <v/>
      </c>
      <c r="AE626" s="11">
        <f>IF(ROUNDUP(T626/20,0)&gt;ROUNDUP(T625/20,0),"Lần " &amp; ROUNDUP(T626/20,0),"")</f>
        <v/>
      </c>
      <c r="AF626" s="11">
        <f>IF(ROUNDUP(U626/20,0)&gt;ROUNDUP(U625/20,0),"Lần " &amp; ROUNDUP(U626/20,0),"")</f>
        <v/>
      </c>
      <c r="AG626" s="11">
        <f>IF(ROUNDUP(V626/20,0)&gt;ROUNDUP(V625/20,0),"Lần " &amp; ROUNDUP(V626/20,0),"")</f>
        <v/>
      </c>
      <c r="AH626" s="11">
        <f>IF(ROUNDUP(W626/20,0)&gt;ROUNDUP(W625/20,0),"Lần " &amp; ROUNDUP(W626/20,0),"")</f>
        <v/>
      </c>
      <c r="AI626" s="11">
        <f>IF(ROUNDUP(X626/20,0)&gt;ROUNDUP(X625/20,0),"Lần " &amp; ROUNDUP(X626/20,0),"")</f>
        <v/>
      </c>
      <c r="AJ626" s="11">
        <f>IF(ROUNDUP(Y626/20,0)&gt;ROUNDUP(Y625/20,0),"Lần " &amp; ROUNDUP(Y626/20,0),"")</f>
        <v/>
      </c>
      <c r="AK626" s="11">
        <f>IF(ROUNDUP(Z626/20,0)&gt;ROUNDUP(Z625/20,0),"Lần " &amp; ROUNDUP(Z626/20,0),"")</f>
        <v/>
      </c>
      <c r="AL626" s="6" t="n"/>
      <c r="AN626" t="inlineStr">
        <is>
          <t>Coc</t>
        </is>
      </c>
      <c r="AO626" t="n">
        <v>18</v>
      </c>
    </row>
    <row r="627" ht="19" customHeight="1">
      <c r="A627" s="6" t="n">
        <v>596</v>
      </c>
      <c r="B627" s="7" t="inlineStr">
        <is>
          <t>Cọc khoan nhồi C4 Trụ T2 (D1.2m, L=30.0m)</t>
        </is>
      </c>
      <c r="C627" s="7" t="inlineStr">
        <is>
          <t>Cọc trụ T2 L=30m (tr.70)</t>
        </is>
      </c>
      <c r="D627" s="18" t="inlineStr">
        <is>
          <t>P6</t>
        </is>
      </c>
      <c r="E627" s="19" t="n">
        <v>25</v>
      </c>
      <c r="F627" s="6" t="inlineStr">
        <is>
          <t>CB400-V</t>
        </is>
      </c>
      <c r="G627" s="7" t="inlineStr"/>
      <c r="H627" s="20" t="n">
        <v>9.733000000000001</v>
      </c>
      <c r="I627" s="21" t="n">
        <v>12</v>
      </c>
      <c r="J627" s="22" t="n">
        <v>3.853</v>
      </c>
      <c r="K627" s="9">
        <f>ROUND(H627*I627*J627, 2)</f>
        <v/>
      </c>
      <c r="L627" s="23">
        <f>ROUND(K627/1000, 3)</f>
        <v/>
      </c>
      <c r="M627" s="8">
        <f>IF(AO627="","",IF(INDEX(Theo_Doi_Tan_Suat_Be_Tong!$C:$C,AO627)="","",INDEX(Theo_Doi_Tan_Suat_Be_Tong!$C:$C,AO627)-VLOOKUP(AN627,$AQ$2:$AR$7,2,FALSE)))</f>
        <v/>
      </c>
      <c r="N627" s="6" t="n"/>
      <c r="O627" s="24">
        <f>IF(ROUNDUP(W627/20,0)&gt;ROUNDUP(W626/20,0),"TN Ø25 (Lần " &amp; ROUNDUP(W627/20,0) &amp; ")","")</f>
        <v/>
      </c>
      <c r="P627" s="20">
        <f>ROUND(P626+IF(AND(E627&lt;=10,F627&lt;&gt;"ASTM A416"),L627,0),3)</f>
        <v/>
      </c>
      <c r="Q627" s="20">
        <f>ROUND(Q626+IF(AND(E627=12,F627&lt;&gt;"ASTM A416"),L627,0),3)</f>
        <v/>
      </c>
      <c r="R627" s="20">
        <f>ROUND(R626+IF(AND(E627=14,F627&lt;&gt;"ASTM A416"),L627,0),3)</f>
        <v/>
      </c>
      <c r="S627" s="20">
        <f>ROUND(S626+IF(AND(E627=16,F627&lt;&gt;"ASTM A416"),L627,0),3)</f>
        <v/>
      </c>
      <c r="T627" s="20">
        <f>ROUND(T626+IF(AND(E627=18,F627&lt;&gt;"ASTM A416"),L627,0),3)</f>
        <v/>
      </c>
      <c r="U627" s="20">
        <f>ROUND(U626+IF(AND(E627=20,F627&lt;&gt;"ASTM A416"),L627,0),3)</f>
        <v/>
      </c>
      <c r="V627" s="20">
        <f>ROUND(V626+IF(AND(E627=22,F627&lt;&gt;"ASTM A416"),L627,0),3)</f>
        <v/>
      </c>
      <c r="W627" s="20">
        <f>ROUND(W626+IF(AND(E627=25,F627&lt;&gt;"ASTM A416"),L627,0),3)</f>
        <v/>
      </c>
      <c r="X627" s="20">
        <f>ROUND(X626+IF(AND(E627=28,F627&lt;&gt;"ASTM A416"),L627,0),3)</f>
        <v/>
      </c>
      <c r="Y627" s="20">
        <f>ROUND(Y626+IF(AND(E627=32,F627&lt;&gt;"ASTM A416"),L627,0),3)</f>
        <v/>
      </c>
      <c r="Z627" s="20">
        <f>ROUND(Z626+IF(F627="ASTM A416",L627,0),3)</f>
        <v/>
      </c>
      <c r="AA627" s="11">
        <f>IF(ROUNDUP(P627/20,0)&gt;ROUNDUP(P626/20,0),"Lần " &amp; ROUNDUP(P627/20,0),"")</f>
        <v/>
      </c>
      <c r="AB627" s="11">
        <f>IF(ROUNDUP(Q627/20,0)&gt;ROUNDUP(Q626/20,0),"Lần " &amp; ROUNDUP(Q627/20,0),"")</f>
        <v/>
      </c>
      <c r="AC627" s="11">
        <f>IF(ROUNDUP(R627/20,0)&gt;ROUNDUP(R626/20,0),"Lần " &amp; ROUNDUP(R627/20,0),"")</f>
        <v/>
      </c>
      <c r="AD627" s="11">
        <f>IF(ROUNDUP(S627/20,0)&gt;ROUNDUP(S626/20,0),"Lần " &amp; ROUNDUP(S627/20,0),"")</f>
        <v/>
      </c>
      <c r="AE627" s="11">
        <f>IF(ROUNDUP(T627/20,0)&gt;ROUNDUP(T626/20,0),"Lần " &amp; ROUNDUP(T627/20,0),"")</f>
        <v/>
      </c>
      <c r="AF627" s="11">
        <f>IF(ROUNDUP(U627/20,0)&gt;ROUNDUP(U626/20,0),"Lần " &amp; ROUNDUP(U627/20,0),"")</f>
        <v/>
      </c>
      <c r="AG627" s="11">
        <f>IF(ROUNDUP(V627/20,0)&gt;ROUNDUP(V626/20,0),"Lần " &amp; ROUNDUP(V627/20,0),"")</f>
        <v/>
      </c>
      <c r="AH627" s="11">
        <f>IF(ROUNDUP(W627/20,0)&gt;ROUNDUP(W626/20,0),"Lần " &amp; ROUNDUP(W627/20,0),"")</f>
        <v/>
      </c>
      <c r="AI627" s="11">
        <f>IF(ROUNDUP(X627/20,0)&gt;ROUNDUP(X626/20,0),"Lần " &amp; ROUNDUP(X627/20,0),"")</f>
        <v/>
      </c>
      <c r="AJ627" s="11">
        <f>IF(ROUNDUP(Y627/20,0)&gt;ROUNDUP(Y626/20,0),"Lần " &amp; ROUNDUP(Y627/20,0),"")</f>
        <v/>
      </c>
      <c r="AK627" s="11">
        <f>IF(ROUNDUP(Z627/20,0)&gt;ROUNDUP(Z626/20,0),"Lần " &amp; ROUNDUP(Z627/20,0),"")</f>
        <v/>
      </c>
      <c r="AL627" s="6" t="n"/>
      <c r="AN627" t="inlineStr">
        <is>
          <t>Coc</t>
        </is>
      </c>
      <c r="AO627" t="n">
        <v>18</v>
      </c>
    </row>
    <row r="628" ht="19" customHeight="1">
      <c r="A628" s="6" t="n">
        <v>597</v>
      </c>
      <c r="B628" s="7" t="inlineStr">
        <is>
          <t>Cọc khoan nhồi C4 Trụ T2 (D1.2m, L=30.0m)</t>
        </is>
      </c>
      <c r="C628" s="7" t="inlineStr">
        <is>
          <t>Cọc trụ T2 L=30m (tr.70)</t>
        </is>
      </c>
      <c r="D628" s="18" t="inlineStr">
        <is>
          <t>P7</t>
        </is>
      </c>
      <c r="E628" s="19" t="n">
        <v>25</v>
      </c>
      <c r="F628" s="6" t="inlineStr">
        <is>
          <t>CB400-V</t>
        </is>
      </c>
      <c r="G628" s="7" t="inlineStr"/>
      <c r="H628" s="20" t="n">
        <v>10.733</v>
      </c>
      <c r="I628" s="21" t="n">
        <v>12</v>
      </c>
      <c r="J628" s="22" t="n">
        <v>3.853</v>
      </c>
      <c r="K628" s="9">
        <f>ROUND(H628*I628*J628, 2)</f>
        <v/>
      </c>
      <c r="L628" s="23">
        <f>ROUND(K628/1000, 3)</f>
        <v/>
      </c>
      <c r="M628" s="8">
        <f>IF(AO628="","",IF(INDEX(Theo_Doi_Tan_Suat_Be_Tong!$C:$C,AO628)="","",INDEX(Theo_Doi_Tan_Suat_Be_Tong!$C:$C,AO628)-VLOOKUP(AN628,$AQ$2:$AR$7,2,FALSE)))</f>
        <v/>
      </c>
      <c r="N628" s="6" t="n"/>
      <c r="O628" s="24">
        <f>IF(ROUNDUP(W628/20,0)&gt;ROUNDUP(W627/20,0),"TN Ø25 (Lần " &amp; ROUNDUP(W628/20,0) &amp; ")","")</f>
        <v/>
      </c>
      <c r="P628" s="20">
        <f>ROUND(P627+IF(AND(E628&lt;=10,F628&lt;&gt;"ASTM A416"),L628,0),3)</f>
        <v/>
      </c>
      <c r="Q628" s="20">
        <f>ROUND(Q627+IF(AND(E628=12,F628&lt;&gt;"ASTM A416"),L628,0),3)</f>
        <v/>
      </c>
      <c r="R628" s="20">
        <f>ROUND(R627+IF(AND(E628=14,F628&lt;&gt;"ASTM A416"),L628,0),3)</f>
        <v/>
      </c>
      <c r="S628" s="20">
        <f>ROUND(S627+IF(AND(E628=16,F628&lt;&gt;"ASTM A416"),L628,0),3)</f>
        <v/>
      </c>
      <c r="T628" s="20">
        <f>ROUND(T627+IF(AND(E628=18,F628&lt;&gt;"ASTM A416"),L628,0),3)</f>
        <v/>
      </c>
      <c r="U628" s="20">
        <f>ROUND(U627+IF(AND(E628=20,F628&lt;&gt;"ASTM A416"),L628,0),3)</f>
        <v/>
      </c>
      <c r="V628" s="20">
        <f>ROUND(V627+IF(AND(E628=22,F628&lt;&gt;"ASTM A416"),L628,0),3)</f>
        <v/>
      </c>
      <c r="W628" s="20">
        <f>ROUND(W627+IF(AND(E628=25,F628&lt;&gt;"ASTM A416"),L628,0),3)</f>
        <v/>
      </c>
      <c r="X628" s="20">
        <f>ROUND(X627+IF(AND(E628=28,F628&lt;&gt;"ASTM A416"),L628,0),3)</f>
        <v/>
      </c>
      <c r="Y628" s="20">
        <f>ROUND(Y627+IF(AND(E628=32,F628&lt;&gt;"ASTM A416"),L628,0),3)</f>
        <v/>
      </c>
      <c r="Z628" s="20">
        <f>ROUND(Z627+IF(F628="ASTM A416",L628,0),3)</f>
        <v/>
      </c>
      <c r="AA628" s="11">
        <f>IF(ROUNDUP(P628/20,0)&gt;ROUNDUP(P627/20,0),"Lần " &amp; ROUNDUP(P628/20,0),"")</f>
        <v/>
      </c>
      <c r="AB628" s="11">
        <f>IF(ROUNDUP(Q628/20,0)&gt;ROUNDUP(Q627/20,0),"Lần " &amp; ROUNDUP(Q628/20,0),"")</f>
        <v/>
      </c>
      <c r="AC628" s="11">
        <f>IF(ROUNDUP(R628/20,0)&gt;ROUNDUP(R627/20,0),"Lần " &amp; ROUNDUP(R628/20,0),"")</f>
        <v/>
      </c>
      <c r="AD628" s="11">
        <f>IF(ROUNDUP(S628/20,0)&gt;ROUNDUP(S627/20,0),"Lần " &amp; ROUNDUP(S628/20,0),"")</f>
        <v/>
      </c>
      <c r="AE628" s="11">
        <f>IF(ROUNDUP(T628/20,0)&gt;ROUNDUP(T627/20,0),"Lần " &amp; ROUNDUP(T628/20,0),"")</f>
        <v/>
      </c>
      <c r="AF628" s="11">
        <f>IF(ROUNDUP(U628/20,0)&gt;ROUNDUP(U627/20,0),"Lần " &amp; ROUNDUP(U628/20,0),"")</f>
        <v/>
      </c>
      <c r="AG628" s="11">
        <f>IF(ROUNDUP(V628/20,0)&gt;ROUNDUP(V627/20,0),"Lần " &amp; ROUNDUP(V628/20,0),"")</f>
        <v/>
      </c>
      <c r="AH628" s="11">
        <f>IF(ROUNDUP(W628/20,0)&gt;ROUNDUP(W627/20,0),"Lần " &amp; ROUNDUP(W628/20,0),"")</f>
        <v/>
      </c>
      <c r="AI628" s="11">
        <f>IF(ROUNDUP(X628/20,0)&gt;ROUNDUP(X627/20,0),"Lần " &amp; ROUNDUP(X628/20,0),"")</f>
        <v/>
      </c>
      <c r="AJ628" s="11">
        <f>IF(ROUNDUP(Y628/20,0)&gt;ROUNDUP(Y627/20,0),"Lần " &amp; ROUNDUP(Y628/20,0),"")</f>
        <v/>
      </c>
      <c r="AK628" s="11">
        <f>IF(ROUNDUP(Z628/20,0)&gt;ROUNDUP(Z627/20,0),"Lần " &amp; ROUNDUP(Z628/20,0),"")</f>
        <v/>
      </c>
      <c r="AL628" s="6" t="n"/>
      <c r="AN628" t="inlineStr">
        <is>
          <t>Coc</t>
        </is>
      </c>
      <c r="AO628" t="n">
        <v>18</v>
      </c>
    </row>
    <row r="629" ht="19" customHeight="1">
      <c r="A629" s="6" t="n">
        <v>598</v>
      </c>
      <c r="B629" s="7" t="inlineStr">
        <is>
          <t>Cọc khoan nhồi C4 Trụ T2 (D1.2m, L=30.0m)</t>
        </is>
      </c>
      <c r="C629" s="7" t="inlineStr">
        <is>
          <t>Cọc trụ T2 L=30m (tr.70)</t>
        </is>
      </c>
      <c r="D629" s="18" t="inlineStr">
        <is>
          <t>P8</t>
        </is>
      </c>
      <c r="E629" s="19" t="n">
        <v>12</v>
      </c>
      <c r="F629" s="6" t="inlineStr">
        <is>
          <t>CB400-V</t>
        </is>
      </c>
      <c r="G629" s="7" t="inlineStr"/>
      <c r="H629" s="20" t="n">
        <v>0.647</v>
      </c>
      <c r="I629" s="21" t="n">
        <v>12</v>
      </c>
      <c r="J629" s="22" t="n">
        <v>0.888</v>
      </c>
      <c r="K629" s="9">
        <f>ROUND(H629*I629*J629, 2)</f>
        <v/>
      </c>
      <c r="L629" s="23">
        <f>ROUND(K629/1000, 3)</f>
        <v/>
      </c>
      <c r="M629" s="8">
        <f>IF(AO629="","",IF(INDEX(Theo_Doi_Tan_Suat_Be_Tong!$C:$C,AO629)="","",INDEX(Theo_Doi_Tan_Suat_Be_Tong!$C:$C,AO629)-VLOOKUP(AN629,$AQ$2:$AR$7,2,FALSE)))</f>
        <v/>
      </c>
      <c r="N629" s="6" t="n"/>
      <c r="O629" s="24">
        <f>IF(ROUNDUP(Q629/20,0)&gt;ROUNDUP(Q628/20,0),"TN Ø12 (Lần " &amp; ROUNDUP(Q629/20,0) &amp; ")","")</f>
        <v/>
      </c>
      <c r="P629" s="20">
        <f>ROUND(P628+IF(AND(E629&lt;=10,F629&lt;&gt;"ASTM A416"),L629,0),3)</f>
        <v/>
      </c>
      <c r="Q629" s="20">
        <f>ROUND(Q628+IF(AND(E629=12,F629&lt;&gt;"ASTM A416"),L629,0),3)</f>
        <v/>
      </c>
      <c r="R629" s="20">
        <f>ROUND(R628+IF(AND(E629=14,F629&lt;&gt;"ASTM A416"),L629,0),3)</f>
        <v/>
      </c>
      <c r="S629" s="20">
        <f>ROUND(S628+IF(AND(E629=16,F629&lt;&gt;"ASTM A416"),L629,0),3)</f>
        <v/>
      </c>
      <c r="T629" s="20">
        <f>ROUND(T628+IF(AND(E629=18,F629&lt;&gt;"ASTM A416"),L629,0),3)</f>
        <v/>
      </c>
      <c r="U629" s="20">
        <f>ROUND(U628+IF(AND(E629=20,F629&lt;&gt;"ASTM A416"),L629,0),3)</f>
        <v/>
      </c>
      <c r="V629" s="20">
        <f>ROUND(V628+IF(AND(E629=22,F629&lt;&gt;"ASTM A416"),L629,0),3)</f>
        <v/>
      </c>
      <c r="W629" s="20">
        <f>ROUND(W628+IF(AND(E629=25,F629&lt;&gt;"ASTM A416"),L629,0),3)</f>
        <v/>
      </c>
      <c r="X629" s="20">
        <f>ROUND(X628+IF(AND(E629=28,F629&lt;&gt;"ASTM A416"),L629,0),3)</f>
        <v/>
      </c>
      <c r="Y629" s="20">
        <f>ROUND(Y628+IF(AND(E629=32,F629&lt;&gt;"ASTM A416"),L629,0),3)</f>
        <v/>
      </c>
      <c r="Z629" s="20">
        <f>ROUND(Z628+IF(F629="ASTM A416",L629,0),3)</f>
        <v/>
      </c>
      <c r="AA629" s="11">
        <f>IF(ROUNDUP(P629/20,0)&gt;ROUNDUP(P628/20,0),"Lần " &amp; ROUNDUP(P629/20,0),"")</f>
        <v/>
      </c>
      <c r="AB629" s="11">
        <f>IF(ROUNDUP(Q629/20,0)&gt;ROUNDUP(Q628/20,0),"Lần " &amp; ROUNDUP(Q629/20,0),"")</f>
        <v/>
      </c>
      <c r="AC629" s="11">
        <f>IF(ROUNDUP(R629/20,0)&gt;ROUNDUP(R628/20,0),"Lần " &amp; ROUNDUP(R629/20,0),"")</f>
        <v/>
      </c>
      <c r="AD629" s="11">
        <f>IF(ROUNDUP(S629/20,0)&gt;ROUNDUP(S628/20,0),"Lần " &amp; ROUNDUP(S629/20,0),"")</f>
        <v/>
      </c>
      <c r="AE629" s="11">
        <f>IF(ROUNDUP(T629/20,0)&gt;ROUNDUP(T628/20,0),"Lần " &amp; ROUNDUP(T629/20,0),"")</f>
        <v/>
      </c>
      <c r="AF629" s="11">
        <f>IF(ROUNDUP(U629/20,0)&gt;ROUNDUP(U628/20,0),"Lần " &amp; ROUNDUP(U629/20,0),"")</f>
        <v/>
      </c>
      <c r="AG629" s="11">
        <f>IF(ROUNDUP(V629/20,0)&gt;ROUNDUP(V628/20,0),"Lần " &amp; ROUNDUP(V629/20,0),"")</f>
        <v/>
      </c>
      <c r="AH629" s="11">
        <f>IF(ROUNDUP(W629/20,0)&gt;ROUNDUP(W628/20,0),"Lần " &amp; ROUNDUP(W629/20,0),"")</f>
        <v/>
      </c>
      <c r="AI629" s="11">
        <f>IF(ROUNDUP(X629/20,0)&gt;ROUNDUP(X628/20,0),"Lần " &amp; ROUNDUP(X629/20,0),"")</f>
        <v/>
      </c>
      <c r="AJ629" s="11">
        <f>IF(ROUNDUP(Y629/20,0)&gt;ROUNDUP(Y628/20,0),"Lần " &amp; ROUNDUP(Y629/20,0),"")</f>
        <v/>
      </c>
      <c r="AK629" s="11">
        <f>IF(ROUNDUP(Z629/20,0)&gt;ROUNDUP(Z628/20,0),"Lần " &amp; ROUNDUP(Z629/20,0),"")</f>
        <v/>
      </c>
      <c r="AL629" s="6" t="n"/>
      <c r="AN629" t="inlineStr">
        <is>
          <t>Coc</t>
        </is>
      </c>
      <c r="AO629" t="n">
        <v>18</v>
      </c>
    </row>
    <row r="630" ht="19" customHeight="1">
      <c r="A630" s="6" t="n">
        <v>599</v>
      </c>
      <c r="B630" s="7" t="inlineStr">
        <is>
          <t>Cọc khoan nhồi C4 Trụ T2 (D1.2m, L=30.0m)</t>
        </is>
      </c>
      <c r="C630" s="7" t="inlineStr">
        <is>
          <t>Cọc trụ T2 L=30m (tr.70)</t>
        </is>
      </c>
      <c r="D630" s="18" t="inlineStr">
        <is>
          <t>P9</t>
        </is>
      </c>
      <c r="E630" s="19" t="n">
        <v>12</v>
      </c>
      <c r="F630" s="6" t="inlineStr">
        <is>
          <t>CB400-V</t>
        </is>
      </c>
      <c r="G630" s="7" t="inlineStr"/>
      <c r="H630" s="20" t="n">
        <v>0.379</v>
      </c>
      <c r="I630" s="21" t="n">
        <v>36</v>
      </c>
      <c r="J630" s="22" t="n">
        <v>0.888</v>
      </c>
      <c r="K630" s="9">
        <f>ROUND(H630*I630*J630, 2)</f>
        <v/>
      </c>
      <c r="L630" s="23">
        <f>ROUND(K630/1000, 3)</f>
        <v/>
      </c>
      <c r="M630" s="8">
        <f>IF(AO630="","",IF(INDEX(Theo_Doi_Tan_Suat_Be_Tong!$C:$C,AO630)="","",INDEX(Theo_Doi_Tan_Suat_Be_Tong!$C:$C,AO630)-VLOOKUP(AN630,$AQ$2:$AR$7,2,FALSE)))</f>
        <v/>
      </c>
      <c r="N630" s="6" t="n"/>
      <c r="O630" s="24">
        <f>IF(ROUNDUP(Q630/20,0)&gt;ROUNDUP(Q629/20,0),"TN Ø12 (Lần " &amp; ROUNDUP(Q630/20,0) &amp; ")","")</f>
        <v/>
      </c>
      <c r="P630" s="20">
        <f>ROUND(P629+IF(AND(E630&lt;=10,F630&lt;&gt;"ASTM A416"),L630,0),3)</f>
        <v/>
      </c>
      <c r="Q630" s="20">
        <f>ROUND(Q629+IF(AND(E630=12,F630&lt;&gt;"ASTM A416"),L630,0),3)</f>
        <v/>
      </c>
      <c r="R630" s="20">
        <f>ROUND(R629+IF(AND(E630=14,F630&lt;&gt;"ASTM A416"),L630,0),3)</f>
        <v/>
      </c>
      <c r="S630" s="20">
        <f>ROUND(S629+IF(AND(E630=16,F630&lt;&gt;"ASTM A416"),L630,0),3)</f>
        <v/>
      </c>
      <c r="T630" s="20">
        <f>ROUND(T629+IF(AND(E630=18,F630&lt;&gt;"ASTM A416"),L630,0),3)</f>
        <v/>
      </c>
      <c r="U630" s="20">
        <f>ROUND(U629+IF(AND(E630=20,F630&lt;&gt;"ASTM A416"),L630,0),3)</f>
        <v/>
      </c>
      <c r="V630" s="20">
        <f>ROUND(V629+IF(AND(E630=22,F630&lt;&gt;"ASTM A416"),L630,0),3)</f>
        <v/>
      </c>
      <c r="W630" s="20">
        <f>ROUND(W629+IF(AND(E630=25,F630&lt;&gt;"ASTM A416"),L630,0),3)</f>
        <v/>
      </c>
      <c r="X630" s="20">
        <f>ROUND(X629+IF(AND(E630=28,F630&lt;&gt;"ASTM A416"),L630,0),3)</f>
        <v/>
      </c>
      <c r="Y630" s="20">
        <f>ROUND(Y629+IF(AND(E630=32,F630&lt;&gt;"ASTM A416"),L630,0),3)</f>
        <v/>
      </c>
      <c r="Z630" s="20">
        <f>ROUND(Z629+IF(F630="ASTM A416",L630,0),3)</f>
        <v/>
      </c>
      <c r="AA630" s="11">
        <f>IF(ROUNDUP(P630/20,0)&gt;ROUNDUP(P629/20,0),"Lần " &amp; ROUNDUP(P630/20,0),"")</f>
        <v/>
      </c>
      <c r="AB630" s="11">
        <f>IF(ROUNDUP(Q630/20,0)&gt;ROUNDUP(Q629/20,0),"Lần " &amp; ROUNDUP(Q630/20,0),"")</f>
        <v/>
      </c>
      <c r="AC630" s="11">
        <f>IF(ROUNDUP(R630/20,0)&gt;ROUNDUP(R629/20,0),"Lần " &amp; ROUNDUP(R630/20,0),"")</f>
        <v/>
      </c>
      <c r="AD630" s="11">
        <f>IF(ROUNDUP(S630/20,0)&gt;ROUNDUP(S629/20,0),"Lần " &amp; ROUNDUP(S630/20,0),"")</f>
        <v/>
      </c>
      <c r="AE630" s="11">
        <f>IF(ROUNDUP(T630/20,0)&gt;ROUNDUP(T629/20,0),"Lần " &amp; ROUNDUP(T630/20,0),"")</f>
        <v/>
      </c>
      <c r="AF630" s="11">
        <f>IF(ROUNDUP(U630/20,0)&gt;ROUNDUP(U629/20,0),"Lần " &amp; ROUNDUP(U630/20,0),"")</f>
        <v/>
      </c>
      <c r="AG630" s="11">
        <f>IF(ROUNDUP(V630/20,0)&gt;ROUNDUP(V629/20,0),"Lần " &amp; ROUNDUP(V630/20,0),"")</f>
        <v/>
      </c>
      <c r="AH630" s="11">
        <f>IF(ROUNDUP(W630/20,0)&gt;ROUNDUP(W629/20,0),"Lần " &amp; ROUNDUP(W630/20,0),"")</f>
        <v/>
      </c>
      <c r="AI630" s="11">
        <f>IF(ROUNDUP(X630/20,0)&gt;ROUNDUP(X629/20,0),"Lần " &amp; ROUNDUP(X630/20,0),"")</f>
        <v/>
      </c>
      <c r="AJ630" s="11">
        <f>IF(ROUNDUP(Y630/20,0)&gt;ROUNDUP(Y629/20,0),"Lần " &amp; ROUNDUP(Y630/20,0),"")</f>
        <v/>
      </c>
      <c r="AK630" s="11">
        <f>IF(ROUNDUP(Z630/20,0)&gt;ROUNDUP(Z629/20,0),"Lần " &amp; ROUNDUP(Z630/20,0),"")</f>
        <v/>
      </c>
      <c r="AL630" s="6" t="n"/>
      <c r="AN630" t="inlineStr">
        <is>
          <t>Coc</t>
        </is>
      </c>
      <c r="AO630" t="n">
        <v>18</v>
      </c>
    </row>
    <row r="631" ht="19" customHeight="1">
      <c r="A631" s="6" t="n">
        <v>600</v>
      </c>
      <c r="B631" s="7" t="inlineStr">
        <is>
          <t>Cọc khoan nhồi C4 Trụ T2 (D1.2m, L=30.0m)</t>
        </is>
      </c>
      <c r="C631" s="7" t="inlineStr">
        <is>
          <t>Cọc trụ T2 L=30m (tr.70)</t>
        </is>
      </c>
      <c r="D631" s="18" t="inlineStr">
        <is>
          <t>P10</t>
        </is>
      </c>
      <c r="E631" s="19" t="n">
        <v>20</v>
      </c>
      <c r="F631" s="6" t="inlineStr">
        <is>
          <t>CB400-V</t>
        </is>
      </c>
      <c r="G631" s="7" t="inlineStr"/>
      <c r="H631" s="20" t="n">
        <v>2.057</v>
      </c>
      <c r="I631" s="21" t="n">
        <v>1</v>
      </c>
      <c r="J631" s="22" t="n">
        <v>2.466</v>
      </c>
      <c r="K631" s="9">
        <f>ROUND(H631*I631*J631, 2)</f>
        <v/>
      </c>
      <c r="L631" s="23">
        <f>ROUND(K631/1000, 3)</f>
        <v/>
      </c>
      <c r="M631" s="8">
        <f>IF(AO631="","",IF(INDEX(Theo_Doi_Tan_Suat_Be_Tong!$C:$C,AO631)="","",INDEX(Theo_Doi_Tan_Suat_Be_Tong!$C:$C,AO631)-VLOOKUP(AN631,$AQ$2:$AR$7,2,FALSE)))</f>
        <v/>
      </c>
      <c r="N631" s="6" t="n"/>
      <c r="O631" s="24">
        <f>IF(ROUNDUP(U631/20,0)&gt;ROUNDUP(U630/20,0),"TN Ø20 (Lần " &amp; ROUNDUP(U631/20,0) &amp; ")","")</f>
        <v/>
      </c>
      <c r="P631" s="20">
        <f>ROUND(P630+IF(AND(E631&lt;=10,F631&lt;&gt;"ASTM A416"),L631,0),3)</f>
        <v/>
      </c>
      <c r="Q631" s="20">
        <f>ROUND(Q630+IF(AND(E631=12,F631&lt;&gt;"ASTM A416"),L631,0),3)</f>
        <v/>
      </c>
      <c r="R631" s="20">
        <f>ROUND(R630+IF(AND(E631=14,F631&lt;&gt;"ASTM A416"),L631,0),3)</f>
        <v/>
      </c>
      <c r="S631" s="20">
        <f>ROUND(S630+IF(AND(E631=16,F631&lt;&gt;"ASTM A416"),L631,0),3)</f>
        <v/>
      </c>
      <c r="T631" s="20">
        <f>ROUND(T630+IF(AND(E631=18,F631&lt;&gt;"ASTM A416"),L631,0),3)</f>
        <v/>
      </c>
      <c r="U631" s="20">
        <f>ROUND(U630+IF(AND(E631=20,F631&lt;&gt;"ASTM A416"),L631,0),3)</f>
        <v/>
      </c>
      <c r="V631" s="20">
        <f>ROUND(V630+IF(AND(E631=22,F631&lt;&gt;"ASTM A416"),L631,0),3)</f>
        <v/>
      </c>
      <c r="W631" s="20">
        <f>ROUND(W630+IF(AND(E631=25,F631&lt;&gt;"ASTM A416"),L631,0),3)</f>
        <v/>
      </c>
      <c r="X631" s="20">
        <f>ROUND(X630+IF(AND(E631=28,F631&lt;&gt;"ASTM A416"),L631,0),3)</f>
        <v/>
      </c>
      <c r="Y631" s="20">
        <f>ROUND(Y630+IF(AND(E631=32,F631&lt;&gt;"ASTM A416"),L631,0),3)</f>
        <v/>
      </c>
      <c r="Z631" s="20">
        <f>ROUND(Z630+IF(F631="ASTM A416",L631,0),3)</f>
        <v/>
      </c>
      <c r="AA631" s="11">
        <f>IF(ROUNDUP(P631/20,0)&gt;ROUNDUP(P630/20,0),"Lần " &amp; ROUNDUP(P631/20,0),"")</f>
        <v/>
      </c>
      <c r="AB631" s="11">
        <f>IF(ROUNDUP(Q631/20,0)&gt;ROUNDUP(Q630/20,0),"Lần " &amp; ROUNDUP(Q631/20,0),"")</f>
        <v/>
      </c>
      <c r="AC631" s="11">
        <f>IF(ROUNDUP(R631/20,0)&gt;ROUNDUP(R630/20,0),"Lần " &amp; ROUNDUP(R631/20,0),"")</f>
        <v/>
      </c>
      <c r="AD631" s="11">
        <f>IF(ROUNDUP(S631/20,0)&gt;ROUNDUP(S630/20,0),"Lần " &amp; ROUNDUP(S631/20,0),"")</f>
        <v/>
      </c>
      <c r="AE631" s="11">
        <f>IF(ROUNDUP(T631/20,0)&gt;ROUNDUP(T630/20,0),"Lần " &amp; ROUNDUP(T631/20,0),"")</f>
        <v/>
      </c>
      <c r="AF631" s="11">
        <f>IF(ROUNDUP(U631/20,0)&gt;ROUNDUP(U630/20,0),"Lần " &amp; ROUNDUP(U631/20,0),"")</f>
        <v/>
      </c>
      <c r="AG631" s="11">
        <f>IF(ROUNDUP(V631/20,0)&gt;ROUNDUP(V630/20,0),"Lần " &amp; ROUNDUP(V631/20,0),"")</f>
        <v/>
      </c>
      <c r="AH631" s="11">
        <f>IF(ROUNDUP(W631/20,0)&gt;ROUNDUP(W630/20,0),"Lần " &amp; ROUNDUP(W631/20,0),"")</f>
        <v/>
      </c>
      <c r="AI631" s="11">
        <f>IF(ROUNDUP(X631/20,0)&gt;ROUNDUP(X630/20,0),"Lần " &amp; ROUNDUP(X631/20,0),"")</f>
        <v/>
      </c>
      <c r="AJ631" s="11">
        <f>IF(ROUNDUP(Y631/20,0)&gt;ROUNDUP(Y630/20,0),"Lần " &amp; ROUNDUP(Y631/20,0),"")</f>
        <v/>
      </c>
      <c r="AK631" s="11">
        <f>IF(ROUNDUP(Z631/20,0)&gt;ROUNDUP(Z630/20,0),"Lần " &amp; ROUNDUP(Z631/20,0),"")</f>
        <v/>
      </c>
      <c r="AL631" s="6" t="n"/>
      <c r="AN631" t="inlineStr">
        <is>
          <t>Coc</t>
        </is>
      </c>
      <c r="AO631" t="n">
        <v>18</v>
      </c>
    </row>
    <row r="632" ht="19" customHeight="1">
      <c r="A632" s="6" t="n">
        <v>601</v>
      </c>
      <c r="B632" s="7" t="inlineStr">
        <is>
          <t>Cọc khoan nhồi C4 Trụ T2 (D1.2m, L=30.0m)</t>
        </is>
      </c>
      <c r="C632" s="7" t="inlineStr">
        <is>
          <t>Cọc trụ T2 L=30m (tr.70)</t>
        </is>
      </c>
      <c r="D632" s="18" t="inlineStr">
        <is>
          <t>P12</t>
        </is>
      </c>
      <c r="E632" s="19" t="n">
        <v>20</v>
      </c>
      <c r="F632" s="6" t="inlineStr">
        <is>
          <t>CB400-V</t>
        </is>
      </c>
      <c r="G632" s="7" t="inlineStr"/>
      <c r="H632" s="20" t="n">
        <v>0.583</v>
      </c>
      <c r="I632" s="21" t="n">
        <v>48</v>
      </c>
      <c r="J632" s="22" t="n">
        <v>2.466</v>
      </c>
      <c r="K632" s="9">
        <f>ROUND(H632*I632*J632, 2)</f>
        <v/>
      </c>
      <c r="L632" s="23">
        <f>ROUND(K632/1000, 3)</f>
        <v/>
      </c>
      <c r="M632" s="8">
        <f>IF(AO632="","",IF(INDEX(Theo_Doi_Tan_Suat_Be_Tong!$C:$C,AO632)="","",INDEX(Theo_Doi_Tan_Suat_Be_Tong!$C:$C,AO632)-VLOOKUP(AN632,$AQ$2:$AR$7,2,FALSE)))</f>
        <v/>
      </c>
      <c r="N632" s="6" t="n"/>
      <c r="O632" s="24">
        <f>IF(ROUNDUP(U632/20,0)&gt;ROUNDUP(U631/20,0),"TN Ø20 (Lần " &amp; ROUNDUP(U632/20,0) &amp; ")","")</f>
        <v/>
      </c>
      <c r="P632" s="20">
        <f>ROUND(P631+IF(AND(E632&lt;=10,F632&lt;&gt;"ASTM A416"),L632,0),3)</f>
        <v/>
      </c>
      <c r="Q632" s="20">
        <f>ROUND(Q631+IF(AND(E632=12,F632&lt;&gt;"ASTM A416"),L632,0),3)</f>
        <v/>
      </c>
      <c r="R632" s="20">
        <f>ROUND(R631+IF(AND(E632=14,F632&lt;&gt;"ASTM A416"),L632,0),3)</f>
        <v/>
      </c>
      <c r="S632" s="20">
        <f>ROUND(S631+IF(AND(E632=16,F632&lt;&gt;"ASTM A416"),L632,0),3)</f>
        <v/>
      </c>
      <c r="T632" s="20">
        <f>ROUND(T631+IF(AND(E632=18,F632&lt;&gt;"ASTM A416"),L632,0),3)</f>
        <v/>
      </c>
      <c r="U632" s="20">
        <f>ROUND(U631+IF(AND(E632=20,F632&lt;&gt;"ASTM A416"),L632,0),3)</f>
        <v/>
      </c>
      <c r="V632" s="20">
        <f>ROUND(V631+IF(AND(E632=22,F632&lt;&gt;"ASTM A416"),L632,0),3)</f>
        <v/>
      </c>
      <c r="W632" s="20">
        <f>ROUND(W631+IF(AND(E632=25,F632&lt;&gt;"ASTM A416"),L632,0),3)</f>
        <v/>
      </c>
      <c r="X632" s="20">
        <f>ROUND(X631+IF(AND(E632=28,F632&lt;&gt;"ASTM A416"),L632,0),3)</f>
        <v/>
      </c>
      <c r="Y632" s="20">
        <f>ROUND(Y631+IF(AND(E632=32,F632&lt;&gt;"ASTM A416"),L632,0),3)</f>
        <v/>
      </c>
      <c r="Z632" s="20">
        <f>ROUND(Z631+IF(F632="ASTM A416",L632,0),3)</f>
        <v/>
      </c>
      <c r="AA632" s="11">
        <f>IF(ROUNDUP(P632/20,0)&gt;ROUNDUP(P631/20,0),"Lần " &amp; ROUNDUP(P632/20,0),"")</f>
        <v/>
      </c>
      <c r="AB632" s="11">
        <f>IF(ROUNDUP(Q632/20,0)&gt;ROUNDUP(Q631/20,0),"Lần " &amp; ROUNDUP(Q632/20,0),"")</f>
        <v/>
      </c>
      <c r="AC632" s="11">
        <f>IF(ROUNDUP(R632/20,0)&gt;ROUNDUP(R631/20,0),"Lần " &amp; ROUNDUP(R632/20,0),"")</f>
        <v/>
      </c>
      <c r="AD632" s="11">
        <f>IF(ROUNDUP(S632/20,0)&gt;ROUNDUP(S631/20,0),"Lần " &amp; ROUNDUP(S632/20,0),"")</f>
        <v/>
      </c>
      <c r="AE632" s="11">
        <f>IF(ROUNDUP(T632/20,0)&gt;ROUNDUP(T631/20,0),"Lần " &amp; ROUNDUP(T632/20,0),"")</f>
        <v/>
      </c>
      <c r="AF632" s="11">
        <f>IF(ROUNDUP(U632/20,0)&gt;ROUNDUP(U631/20,0),"Lần " &amp; ROUNDUP(U632/20,0),"")</f>
        <v/>
      </c>
      <c r="AG632" s="11">
        <f>IF(ROUNDUP(V632/20,0)&gt;ROUNDUP(V631/20,0),"Lần " &amp; ROUNDUP(V632/20,0),"")</f>
        <v/>
      </c>
      <c r="AH632" s="11">
        <f>IF(ROUNDUP(W632/20,0)&gt;ROUNDUP(W631/20,0),"Lần " &amp; ROUNDUP(W632/20,0),"")</f>
        <v/>
      </c>
      <c r="AI632" s="11">
        <f>IF(ROUNDUP(X632/20,0)&gt;ROUNDUP(X631/20,0),"Lần " &amp; ROUNDUP(X632/20,0),"")</f>
        <v/>
      </c>
      <c r="AJ632" s="11">
        <f>IF(ROUNDUP(Y632/20,0)&gt;ROUNDUP(Y631/20,0),"Lần " &amp; ROUNDUP(Y632/20,0),"")</f>
        <v/>
      </c>
      <c r="AK632" s="11">
        <f>IF(ROUNDUP(Z632/20,0)&gt;ROUNDUP(Z631/20,0),"Lần " &amp; ROUNDUP(Z632/20,0),"")</f>
        <v/>
      </c>
      <c r="AL632" s="6" t="n"/>
      <c r="AN632" t="inlineStr">
        <is>
          <t>Coc</t>
        </is>
      </c>
      <c r="AO632" t="n">
        <v>18</v>
      </c>
    </row>
    <row r="633" ht="19" customHeight="1">
      <c r="A633" s="6" t="n">
        <v>602</v>
      </c>
      <c r="B633" s="7" t="inlineStr">
        <is>
          <t>Cọc khoan nhồi C4 Trụ T2 (D1.2m, L=30.0m)</t>
        </is>
      </c>
      <c r="C633" s="7" t="inlineStr">
        <is>
          <t>Cọc trụ T2 L=30m (tr.70)</t>
        </is>
      </c>
      <c r="D633" s="18" t="inlineStr">
        <is>
          <t>P11</t>
        </is>
      </c>
      <c r="E633" s="19" t="n">
        <v>16</v>
      </c>
      <c r="F633" s="6" t="inlineStr">
        <is>
          <t>CB400-V</t>
        </is>
      </c>
      <c r="G633" s="7" t="inlineStr"/>
      <c r="H633" s="20" t="n">
        <v>2.604</v>
      </c>
      <c r="I633" s="21" t="n">
        <v>4</v>
      </c>
      <c r="J633" s="22" t="n">
        <v>1.578</v>
      </c>
      <c r="K633" s="9">
        <f>ROUND(H633*I633*J633, 2)</f>
        <v/>
      </c>
      <c r="L633" s="23">
        <f>ROUND(K633/1000, 3)</f>
        <v/>
      </c>
      <c r="M633" s="8">
        <f>IF(AO633="","",IF(INDEX(Theo_Doi_Tan_Suat_Be_Tong!$C:$C,AO633)="","",INDEX(Theo_Doi_Tan_Suat_Be_Tong!$C:$C,AO633)-VLOOKUP(AN633,$AQ$2:$AR$7,2,FALSE)))</f>
        <v/>
      </c>
      <c r="N633" s="6" t="n"/>
      <c r="O633" s="24">
        <f>IF(ROUNDUP(S633/20,0)&gt;ROUNDUP(S632/20,0),"TN Ø16 (Lần " &amp; ROUNDUP(S633/20,0) &amp; ")","")</f>
        <v/>
      </c>
      <c r="P633" s="20">
        <f>ROUND(P632+IF(AND(E633&lt;=10,F633&lt;&gt;"ASTM A416"),L633,0),3)</f>
        <v/>
      </c>
      <c r="Q633" s="20">
        <f>ROUND(Q632+IF(AND(E633=12,F633&lt;&gt;"ASTM A416"),L633,0),3)</f>
        <v/>
      </c>
      <c r="R633" s="20">
        <f>ROUND(R632+IF(AND(E633=14,F633&lt;&gt;"ASTM A416"),L633,0),3)</f>
        <v/>
      </c>
      <c r="S633" s="20">
        <f>ROUND(S632+IF(AND(E633=16,F633&lt;&gt;"ASTM A416"),L633,0),3)</f>
        <v/>
      </c>
      <c r="T633" s="20">
        <f>ROUND(T632+IF(AND(E633=18,F633&lt;&gt;"ASTM A416"),L633,0),3)</f>
        <v/>
      </c>
      <c r="U633" s="20">
        <f>ROUND(U632+IF(AND(E633=20,F633&lt;&gt;"ASTM A416"),L633,0),3)</f>
        <v/>
      </c>
      <c r="V633" s="20">
        <f>ROUND(V632+IF(AND(E633=22,F633&lt;&gt;"ASTM A416"),L633,0),3)</f>
        <v/>
      </c>
      <c r="W633" s="20">
        <f>ROUND(W632+IF(AND(E633=25,F633&lt;&gt;"ASTM A416"),L633,0),3)</f>
        <v/>
      </c>
      <c r="X633" s="20">
        <f>ROUND(X632+IF(AND(E633=28,F633&lt;&gt;"ASTM A416"),L633,0),3)</f>
        <v/>
      </c>
      <c r="Y633" s="20">
        <f>ROUND(Y632+IF(AND(E633=32,F633&lt;&gt;"ASTM A416"),L633,0),3)</f>
        <v/>
      </c>
      <c r="Z633" s="20">
        <f>ROUND(Z632+IF(F633="ASTM A416",L633,0),3)</f>
        <v/>
      </c>
      <c r="AA633" s="11">
        <f>IF(ROUNDUP(P633/20,0)&gt;ROUNDUP(P632/20,0),"Lần " &amp; ROUNDUP(P633/20,0),"")</f>
        <v/>
      </c>
      <c r="AB633" s="11">
        <f>IF(ROUNDUP(Q633/20,0)&gt;ROUNDUP(Q632/20,0),"Lần " &amp; ROUNDUP(Q633/20,0),"")</f>
        <v/>
      </c>
      <c r="AC633" s="11">
        <f>IF(ROUNDUP(R633/20,0)&gt;ROUNDUP(R632/20,0),"Lần " &amp; ROUNDUP(R633/20,0),"")</f>
        <v/>
      </c>
      <c r="AD633" s="11">
        <f>IF(ROUNDUP(S633/20,0)&gt;ROUNDUP(S632/20,0),"Lần " &amp; ROUNDUP(S633/20,0),"")</f>
        <v/>
      </c>
      <c r="AE633" s="11">
        <f>IF(ROUNDUP(T633/20,0)&gt;ROUNDUP(T632/20,0),"Lần " &amp; ROUNDUP(T633/20,0),"")</f>
        <v/>
      </c>
      <c r="AF633" s="11">
        <f>IF(ROUNDUP(U633/20,0)&gt;ROUNDUP(U632/20,0),"Lần " &amp; ROUNDUP(U633/20,0),"")</f>
        <v/>
      </c>
      <c r="AG633" s="11">
        <f>IF(ROUNDUP(V633/20,0)&gt;ROUNDUP(V632/20,0),"Lần " &amp; ROUNDUP(V633/20,0),"")</f>
        <v/>
      </c>
      <c r="AH633" s="11">
        <f>IF(ROUNDUP(W633/20,0)&gt;ROUNDUP(W632/20,0),"Lần " &amp; ROUNDUP(W633/20,0),"")</f>
        <v/>
      </c>
      <c r="AI633" s="11">
        <f>IF(ROUNDUP(X633/20,0)&gt;ROUNDUP(X632/20,0),"Lần " &amp; ROUNDUP(X633/20,0),"")</f>
        <v/>
      </c>
      <c r="AJ633" s="11">
        <f>IF(ROUNDUP(Y633/20,0)&gt;ROUNDUP(Y632/20,0),"Lần " &amp; ROUNDUP(Y633/20,0),"")</f>
        <v/>
      </c>
      <c r="AK633" s="11">
        <f>IF(ROUNDUP(Z633/20,0)&gt;ROUNDUP(Z632/20,0),"Lần " &amp; ROUNDUP(Z633/20,0),"")</f>
        <v/>
      </c>
      <c r="AL633" s="6" t="n"/>
      <c r="AN633" t="inlineStr">
        <is>
          <t>Coc</t>
        </is>
      </c>
      <c r="AO633" t="n">
        <v>18</v>
      </c>
    </row>
    <row r="634" ht="19" customHeight="1">
      <c r="A634" s="17" t="inlineStr">
        <is>
          <t>--- CỌC KHOAN NHỒI C5 TRỤ T2 (D1.2M, L=30.0M) ---</t>
        </is>
      </c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  <c r="AG634" s="35" t="n"/>
      <c r="AH634" s="35" t="n"/>
      <c r="AI634" s="35" t="n"/>
      <c r="AJ634" s="35" t="n"/>
      <c r="AK634" s="35" t="n"/>
      <c r="AL634" s="34" t="n"/>
    </row>
    <row r="635" ht="19" customHeight="1">
      <c r="A635" s="6" t="n">
        <v>603</v>
      </c>
      <c r="B635" s="7" t="inlineStr">
        <is>
          <t>Cọc khoan nhồi C5 Trụ T2 (D1.2m, L=30.0m)</t>
        </is>
      </c>
      <c r="C635" s="7" t="inlineStr">
        <is>
          <t>Cọc trụ T2 L=30m (tr.70)</t>
        </is>
      </c>
      <c r="D635" s="18" t="inlineStr">
        <is>
          <t>P1</t>
        </is>
      </c>
      <c r="E635" s="19" t="n">
        <v>10</v>
      </c>
      <c r="F635" s="6" t="inlineStr">
        <is>
          <t>CB240-T</t>
        </is>
      </c>
      <c r="G635" s="7" t="inlineStr"/>
      <c r="H635" s="20" t="n">
        <v>96.604</v>
      </c>
      <c r="I635" s="21" t="n">
        <v>1</v>
      </c>
      <c r="J635" s="22" t="n">
        <v>0.617</v>
      </c>
      <c r="K635" s="9">
        <f>ROUND(H635*I635*J635, 2)</f>
        <v/>
      </c>
      <c r="L635" s="23">
        <f>ROUND(K635/1000, 3)</f>
        <v/>
      </c>
      <c r="M635" s="8">
        <f>IF(AO635="","",IF(INDEX(Theo_Doi_Tan_Suat_Be_Tong!$C:$C,AO635)="","",INDEX(Theo_Doi_Tan_Suat_Be_Tong!$C:$C,AO635)-VLOOKUP(AN635,$AQ$2:$AR$7,2,FALSE)))</f>
        <v/>
      </c>
      <c r="N635" s="6" t="n"/>
      <c r="O635" s="24">
        <f>IF(ROUNDUP(P635/20,0)&gt;ROUNDUP(P633/20,0),"TN Ø10 (Lần " &amp; ROUNDUP(P635/20,0) &amp; ")","")</f>
        <v/>
      </c>
      <c r="P635" s="20">
        <f>ROUND(P633+IF(AND(E635&lt;=10,F635&lt;&gt;"ASTM A416"),L635,0),3)</f>
        <v/>
      </c>
      <c r="Q635" s="20">
        <f>ROUND(Q633+IF(AND(E635=12,F635&lt;&gt;"ASTM A416"),L635,0),3)</f>
        <v/>
      </c>
      <c r="R635" s="20">
        <f>ROUND(R633+IF(AND(E635=14,F635&lt;&gt;"ASTM A416"),L635,0),3)</f>
        <v/>
      </c>
      <c r="S635" s="20">
        <f>ROUND(S633+IF(AND(E635=16,F635&lt;&gt;"ASTM A416"),L635,0),3)</f>
        <v/>
      </c>
      <c r="T635" s="20">
        <f>ROUND(T633+IF(AND(E635=18,F635&lt;&gt;"ASTM A416"),L635,0),3)</f>
        <v/>
      </c>
      <c r="U635" s="20">
        <f>ROUND(U633+IF(AND(E635=20,F635&lt;&gt;"ASTM A416"),L635,0),3)</f>
        <v/>
      </c>
      <c r="V635" s="20">
        <f>ROUND(V633+IF(AND(E635=22,F635&lt;&gt;"ASTM A416"),L635,0),3)</f>
        <v/>
      </c>
      <c r="W635" s="20">
        <f>ROUND(W633+IF(AND(E635=25,F635&lt;&gt;"ASTM A416"),L635,0),3)</f>
        <v/>
      </c>
      <c r="X635" s="20">
        <f>ROUND(X633+IF(AND(E635=28,F635&lt;&gt;"ASTM A416"),L635,0),3)</f>
        <v/>
      </c>
      <c r="Y635" s="20">
        <f>ROUND(Y633+IF(AND(E635=32,F635&lt;&gt;"ASTM A416"),L635,0),3)</f>
        <v/>
      </c>
      <c r="Z635" s="20">
        <f>ROUND(Z633+IF(F635="ASTM A416",L635,0),3)</f>
        <v/>
      </c>
      <c r="AA635" s="11">
        <f>IF(ROUNDUP(P635/20,0)&gt;ROUNDUP(P633/20,0),"Lần " &amp; ROUNDUP(P635/20,0),"")</f>
        <v/>
      </c>
      <c r="AB635" s="11">
        <f>IF(ROUNDUP(Q635/20,0)&gt;ROUNDUP(Q633/20,0),"Lần " &amp; ROUNDUP(Q635/20,0),"")</f>
        <v/>
      </c>
      <c r="AC635" s="11">
        <f>IF(ROUNDUP(R635/20,0)&gt;ROUNDUP(R633/20,0),"Lần " &amp; ROUNDUP(R635/20,0),"")</f>
        <v/>
      </c>
      <c r="AD635" s="11">
        <f>IF(ROUNDUP(S635/20,0)&gt;ROUNDUP(S633/20,0),"Lần " &amp; ROUNDUP(S635/20,0),"")</f>
        <v/>
      </c>
      <c r="AE635" s="11">
        <f>IF(ROUNDUP(T635/20,0)&gt;ROUNDUP(T633/20,0),"Lần " &amp; ROUNDUP(T635/20,0),"")</f>
        <v/>
      </c>
      <c r="AF635" s="11">
        <f>IF(ROUNDUP(U635/20,0)&gt;ROUNDUP(U633/20,0),"Lần " &amp; ROUNDUP(U635/20,0),"")</f>
        <v/>
      </c>
      <c r="AG635" s="11">
        <f>IF(ROUNDUP(V635/20,0)&gt;ROUNDUP(V633/20,0),"Lần " &amp; ROUNDUP(V635/20,0),"")</f>
        <v/>
      </c>
      <c r="AH635" s="11">
        <f>IF(ROUNDUP(W635/20,0)&gt;ROUNDUP(W633/20,0),"Lần " &amp; ROUNDUP(W635/20,0),"")</f>
        <v/>
      </c>
      <c r="AI635" s="11">
        <f>IF(ROUNDUP(X635/20,0)&gt;ROUNDUP(X633/20,0),"Lần " &amp; ROUNDUP(X635/20,0),"")</f>
        <v/>
      </c>
      <c r="AJ635" s="11">
        <f>IF(ROUNDUP(Y635/20,0)&gt;ROUNDUP(Y633/20,0),"Lần " &amp; ROUNDUP(Y635/20,0),"")</f>
        <v/>
      </c>
      <c r="AK635" s="11">
        <f>IF(ROUNDUP(Z635/20,0)&gt;ROUNDUP(Z633/20,0),"Lần " &amp; ROUNDUP(Z635/20,0),"")</f>
        <v/>
      </c>
      <c r="AL635" s="6" t="n"/>
      <c r="AN635" t="inlineStr">
        <is>
          <t>Coc</t>
        </is>
      </c>
      <c r="AO635" t="n">
        <v>19</v>
      </c>
    </row>
    <row r="636" ht="19" customHeight="1">
      <c r="A636" s="6" t="n">
        <v>604</v>
      </c>
      <c r="B636" s="7" t="inlineStr">
        <is>
          <t>Cọc khoan nhồi C5 Trụ T2 (D1.2m, L=30.0m)</t>
        </is>
      </c>
      <c r="C636" s="7" t="inlineStr">
        <is>
          <t>Cọc trụ T2 L=30m (tr.70)</t>
        </is>
      </c>
      <c r="D636" s="18" t="inlineStr">
        <is>
          <t>P1A</t>
        </is>
      </c>
      <c r="E636" s="19" t="n">
        <v>10</v>
      </c>
      <c r="F636" s="6" t="inlineStr">
        <is>
          <t>CB240-T</t>
        </is>
      </c>
      <c r="G636" s="7" t="inlineStr"/>
      <c r="H636" s="20" t="n">
        <v>389.636</v>
      </c>
      <c r="I636" s="21" t="n">
        <v>1</v>
      </c>
      <c r="J636" s="22" t="n">
        <v>0.617</v>
      </c>
      <c r="K636" s="9">
        <f>ROUND(H636*I636*J636, 2)</f>
        <v/>
      </c>
      <c r="L636" s="23">
        <f>ROUND(K636/1000, 3)</f>
        <v/>
      </c>
      <c r="M636" s="8">
        <f>IF(AO636="","",IF(INDEX(Theo_Doi_Tan_Suat_Be_Tong!$C:$C,AO636)="","",INDEX(Theo_Doi_Tan_Suat_Be_Tong!$C:$C,AO636)-VLOOKUP(AN636,$AQ$2:$AR$7,2,FALSE)))</f>
        <v/>
      </c>
      <c r="N636" s="6" t="n"/>
      <c r="O636" s="24">
        <f>IF(ROUNDUP(P636/20,0)&gt;ROUNDUP(P635/20,0),"TN Ø10 (Lần " &amp; ROUNDUP(P636/20,0) &amp; ")","")</f>
        <v/>
      </c>
      <c r="P636" s="20">
        <f>ROUND(P635+IF(AND(E636&lt;=10,F636&lt;&gt;"ASTM A416"),L636,0),3)</f>
        <v/>
      </c>
      <c r="Q636" s="20">
        <f>ROUND(Q635+IF(AND(E636=12,F636&lt;&gt;"ASTM A416"),L636,0),3)</f>
        <v/>
      </c>
      <c r="R636" s="20">
        <f>ROUND(R635+IF(AND(E636=14,F636&lt;&gt;"ASTM A416"),L636,0),3)</f>
        <v/>
      </c>
      <c r="S636" s="20">
        <f>ROUND(S635+IF(AND(E636=16,F636&lt;&gt;"ASTM A416"),L636,0),3)</f>
        <v/>
      </c>
      <c r="T636" s="20">
        <f>ROUND(T635+IF(AND(E636=18,F636&lt;&gt;"ASTM A416"),L636,0),3)</f>
        <v/>
      </c>
      <c r="U636" s="20">
        <f>ROUND(U635+IF(AND(E636=20,F636&lt;&gt;"ASTM A416"),L636,0),3)</f>
        <v/>
      </c>
      <c r="V636" s="20">
        <f>ROUND(V635+IF(AND(E636=22,F636&lt;&gt;"ASTM A416"),L636,0),3)</f>
        <v/>
      </c>
      <c r="W636" s="20">
        <f>ROUND(W635+IF(AND(E636=25,F636&lt;&gt;"ASTM A416"),L636,0),3)</f>
        <v/>
      </c>
      <c r="X636" s="20">
        <f>ROUND(X635+IF(AND(E636=28,F636&lt;&gt;"ASTM A416"),L636,0),3)</f>
        <v/>
      </c>
      <c r="Y636" s="20">
        <f>ROUND(Y635+IF(AND(E636=32,F636&lt;&gt;"ASTM A416"),L636,0),3)</f>
        <v/>
      </c>
      <c r="Z636" s="20">
        <f>ROUND(Z635+IF(F636="ASTM A416",L636,0),3)</f>
        <v/>
      </c>
      <c r="AA636" s="11">
        <f>IF(ROUNDUP(P636/20,0)&gt;ROUNDUP(P635/20,0),"Lần " &amp; ROUNDUP(P636/20,0),"")</f>
        <v/>
      </c>
      <c r="AB636" s="11">
        <f>IF(ROUNDUP(Q636/20,0)&gt;ROUNDUP(Q635/20,0),"Lần " &amp; ROUNDUP(Q636/20,0),"")</f>
        <v/>
      </c>
      <c r="AC636" s="11">
        <f>IF(ROUNDUP(R636/20,0)&gt;ROUNDUP(R635/20,0),"Lần " &amp; ROUNDUP(R636/20,0),"")</f>
        <v/>
      </c>
      <c r="AD636" s="11">
        <f>IF(ROUNDUP(S636/20,0)&gt;ROUNDUP(S635/20,0),"Lần " &amp; ROUNDUP(S636/20,0),"")</f>
        <v/>
      </c>
      <c r="AE636" s="11">
        <f>IF(ROUNDUP(T636/20,0)&gt;ROUNDUP(T635/20,0),"Lần " &amp; ROUNDUP(T636/20,0),"")</f>
        <v/>
      </c>
      <c r="AF636" s="11">
        <f>IF(ROUNDUP(U636/20,0)&gt;ROUNDUP(U635/20,0),"Lần " &amp; ROUNDUP(U636/20,0),"")</f>
        <v/>
      </c>
      <c r="AG636" s="11">
        <f>IF(ROUNDUP(V636/20,0)&gt;ROUNDUP(V635/20,0),"Lần " &amp; ROUNDUP(V636/20,0),"")</f>
        <v/>
      </c>
      <c r="AH636" s="11">
        <f>IF(ROUNDUP(W636/20,0)&gt;ROUNDUP(W635/20,0),"Lần " &amp; ROUNDUP(W636/20,0),"")</f>
        <v/>
      </c>
      <c r="AI636" s="11">
        <f>IF(ROUNDUP(X636/20,0)&gt;ROUNDUP(X635/20,0),"Lần " &amp; ROUNDUP(X636/20,0),"")</f>
        <v/>
      </c>
      <c r="AJ636" s="11">
        <f>IF(ROUNDUP(Y636/20,0)&gt;ROUNDUP(Y635/20,0),"Lần " &amp; ROUNDUP(Y636/20,0),"")</f>
        <v/>
      </c>
      <c r="AK636" s="11">
        <f>IF(ROUNDUP(Z636/20,0)&gt;ROUNDUP(Z635/20,0),"Lần " &amp; ROUNDUP(Z636/20,0),"")</f>
        <v/>
      </c>
      <c r="AL636" s="6" t="n"/>
      <c r="AN636" t="inlineStr">
        <is>
          <t>Coc</t>
        </is>
      </c>
      <c r="AO636" t="n">
        <v>19</v>
      </c>
    </row>
    <row r="637" ht="19" customHeight="1">
      <c r="A637" s="6" t="n">
        <v>605</v>
      </c>
      <c r="B637" s="7" t="inlineStr">
        <is>
          <t>Cọc khoan nhồi C5 Trụ T2 (D1.2m, L=30.0m)</t>
        </is>
      </c>
      <c r="C637" s="7" t="inlineStr">
        <is>
          <t>Cọc trụ T2 L=30m (tr.70)</t>
        </is>
      </c>
      <c r="D637" s="18" t="inlineStr">
        <is>
          <t>P1B</t>
        </is>
      </c>
      <c r="E637" s="19" t="n">
        <v>10</v>
      </c>
      <c r="F637" s="6" t="inlineStr">
        <is>
          <t>CB240-T</t>
        </is>
      </c>
      <c r="G637" s="7" t="inlineStr"/>
      <c r="H637" s="20" t="n">
        <v>100.256</v>
      </c>
      <c r="I637" s="21" t="n">
        <v>1</v>
      </c>
      <c r="J637" s="22" t="n">
        <v>0.617</v>
      </c>
      <c r="K637" s="9">
        <f>ROUND(H637*I637*J637, 2)</f>
        <v/>
      </c>
      <c r="L637" s="23">
        <f>ROUND(K637/1000, 3)</f>
        <v/>
      </c>
      <c r="M637" s="8">
        <f>IF(AO637="","",IF(INDEX(Theo_Doi_Tan_Suat_Be_Tong!$C:$C,AO637)="","",INDEX(Theo_Doi_Tan_Suat_Be_Tong!$C:$C,AO637)-VLOOKUP(AN637,$AQ$2:$AR$7,2,FALSE)))</f>
        <v/>
      </c>
      <c r="N637" s="6" t="n"/>
      <c r="O637" s="24">
        <f>IF(ROUNDUP(P637/20,0)&gt;ROUNDUP(P636/20,0),"TN Ø10 (Lần " &amp; ROUNDUP(P637/20,0) &amp; ")","")</f>
        <v/>
      </c>
      <c r="P637" s="20">
        <f>ROUND(P636+IF(AND(E637&lt;=10,F637&lt;&gt;"ASTM A416"),L637,0),3)</f>
        <v/>
      </c>
      <c r="Q637" s="20">
        <f>ROUND(Q636+IF(AND(E637=12,F637&lt;&gt;"ASTM A416"),L637,0),3)</f>
        <v/>
      </c>
      <c r="R637" s="20">
        <f>ROUND(R636+IF(AND(E637=14,F637&lt;&gt;"ASTM A416"),L637,0),3)</f>
        <v/>
      </c>
      <c r="S637" s="20">
        <f>ROUND(S636+IF(AND(E637=16,F637&lt;&gt;"ASTM A416"),L637,0),3)</f>
        <v/>
      </c>
      <c r="T637" s="20">
        <f>ROUND(T636+IF(AND(E637=18,F637&lt;&gt;"ASTM A416"),L637,0),3)</f>
        <v/>
      </c>
      <c r="U637" s="20">
        <f>ROUND(U636+IF(AND(E637=20,F637&lt;&gt;"ASTM A416"),L637,0),3)</f>
        <v/>
      </c>
      <c r="V637" s="20">
        <f>ROUND(V636+IF(AND(E637=22,F637&lt;&gt;"ASTM A416"),L637,0),3)</f>
        <v/>
      </c>
      <c r="W637" s="20">
        <f>ROUND(W636+IF(AND(E637=25,F637&lt;&gt;"ASTM A416"),L637,0),3)</f>
        <v/>
      </c>
      <c r="X637" s="20">
        <f>ROUND(X636+IF(AND(E637=28,F637&lt;&gt;"ASTM A416"),L637,0),3)</f>
        <v/>
      </c>
      <c r="Y637" s="20">
        <f>ROUND(Y636+IF(AND(E637=32,F637&lt;&gt;"ASTM A416"),L637,0),3)</f>
        <v/>
      </c>
      <c r="Z637" s="20">
        <f>ROUND(Z636+IF(F637="ASTM A416",L637,0),3)</f>
        <v/>
      </c>
      <c r="AA637" s="11">
        <f>IF(ROUNDUP(P637/20,0)&gt;ROUNDUP(P636/20,0),"Lần " &amp; ROUNDUP(P637/20,0),"")</f>
        <v/>
      </c>
      <c r="AB637" s="11">
        <f>IF(ROUNDUP(Q637/20,0)&gt;ROUNDUP(Q636/20,0),"Lần " &amp; ROUNDUP(Q637/20,0),"")</f>
        <v/>
      </c>
      <c r="AC637" s="11">
        <f>IF(ROUNDUP(R637/20,0)&gt;ROUNDUP(R636/20,0),"Lần " &amp; ROUNDUP(R637/20,0),"")</f>
        <v/>
      </c>
      <c r="AD637" s="11">
        <f>IF(ROUNDUP(S637/20,0)&gt;ROUNDUP(S636/20,0),"Lần " &amp; ROUNDUP(S637/20,0),"")</f>
        <v/>
      </c>
      <c r="AE637" s="11">
        <f>IF(ROUNDUP(T637/20,0)&gt;ROUNDUP(T636/20,0),"Lần " &amp; ROUNDUP(T637/20,0),"")</f>
        <v/>
      </c>
      <c r="AF637" s="11">
        <f>IF(ROUNDUP(U637/20,0)&gt;ROUNDUP(U636/20,0),"Lần " &amp; ROUNDUP(U637/20,0),"")</f>
        <v/>
      </c>
      <c r="AG637" s="11">
        <f>IF(ROUNDUP(V637/20,0)&gt;ROUNDUP(V636/20,0),"Lần " &amp; ROUNDUP(V637/20,0),"")</f>
        <v/>
      </c>
      <c r="AH637" s="11">
        <f>IF(ROUNDUP(W637/20,0)&gt;ROUNDUP(W636/20,0),"Lần " &amp; ROUNDUP(W637/20,0),"")</f>
        <v/>
      </c>
      <c r="AI637" s="11">
        <f>IF(ROUNDUP(X637/20,0)&gt;ROUNDUP(X636/20,0),"Lần " &amp; ROUNDUP(X637/20,0),"")</f>
        <v/>
      </c>
      <c r="AJ637" s="11">
        <f>IF(ROUNDUP(Y637/20,0)&gt;ROUNDUP(Y636/20,0),"Lần " &amp; ROUNDUP(Y637/20,0),"")</f>
        <v/>
      </c>
      <c r="AK637" s="11">
        <f>IF(ROUNDUP(Z637/20,0)&gt;ROUNDUP(Z636/20,0),"Lần " &amp; ROUNDUP(Z637/20,0),"")</f>
        <v/>
      </c>
      <c r="AL637" s="6" t="n"/>
      <c r="AN637" t="inlineStr">
        <is>
          <t>Coc</t>
        </is>
      </c>
      <c r="AO637" t="n">
        <v>19</v>
      </c>
    </row>
    <row r="638" ht="19" customHeight="1">
      <c r="A638" s="6" t="n">
        <v>606</v>
      </c>
      <c r="B638" s="7" t="inlineStr">
        <is>
          <t>Cọc khoan nhồi C5 Trụ T2 (D1.2m, L=30.0m)</t>
        </is>
      </c>
      <c r="C638" s="7" t="inlineStr">
        <is>
          <t>Cọc trụ T2 L=30m (tr.70)</t>
        </is>
      </c>
      <c r="D638" s="18" t="inlineStr">
        <is>
          <t>P1C</t>
        </is>
      </c>
      <c r="E638" s="19" t="n">
        <v>10</v>
      </c>
      <c r="F638" s="6" t="inlineStr">
        <is>
          <t>CB240-T</t>
        </is>
      </c>
      <c r="G638" s="7" t="inlineStr"/>
      <c r="H638" s="20" t="n">
        <v>3.592</v>
      </c>
      <c r="I638" s="21" t="n">
        <v>2</v>
      </c>
      <c r="J638" s="22" t="n">
        <v>0.617</v>
      </c>
      <c r="K638" s="9">
        <f>ROUND(H638*I638*J638, 2)</f>
        <v/>
      </c>
      <c r="L638" s="23">
        <f>ROUND(K638/1000, 3)</f>
        <v/>
      </c>
      <c r="M638" s="8">
        <f>IF(AO638="","",IF(INDEX(Theo_Doi_Tan_Suat_Be_Tong!$C:$C,AO638)="","",INDEX(Theo_Doi_Tan_Suat_Be_Tong!$C:$C,AO638)-VLOOKUP(AN638,$AQ$2:$AR$7,2,FALSE)))</f>
        <v/>
      </c>
      <c r="N638" s="6" t="n"/>
      <c r="O638" s="24">
        <f>IF(ROUNDUP(P638/20,0)&gt;ROUNDUP(P637/20,0),"TN Ø10 (Lần " &amp; ROUNDUP(P638/20,0) &amp; ")","")</f>
        <v/>
      </c>
      <c r="P638" s="20">
        <f>ROUND(P637+IF(AND(E638&lt;=10,F638&lt;&gt;"ASTM A416"),L638,0),3)</f>
        <v/>
      </c>
      <c r="Q638" s="20">
        <f>ROUND(Q637+IF(AND(E638=12,F638&lt;&gt;"ASTM A416"),L638,0),3)</f>
        <v/>
      </c>
      <c r="R638" s="20">
        <f>ROUND(R637+IF(AND(E638=14,F638&lt;&gt;"ASTM A416"),L638,0),3)</f>
        <v/>
      </c>
      <c r="S638" s="20">
        <f>ROUND(S637+IF(AND(E638=16,F638&lt;&gt;"ASTM A416"),L638,0),3)</f>
        <v/>
      </c>
      <c r="T638" s="20">
        <f>ROUND(T637+IF(AND(E638=18,F638&lt;&gt;"ASTM A416"),L638,0),3)</f>
        <v/>
      </c>
      <c r="U638" s="20">
        <f>ROUND(U637+IF(AND(E638=20,F638&lt;&gt;"ASTM A416"),L638,0),3)</f>
        <v/>
      </c>
      <c r="V638" s="20">
        <f>ROUND(V637+IF(AND(E638=22,F638&lt;&gt;"ASTM A416"),L638,0),3)</f>
        <v/>
      </c>
      <c r="W638" s="20">
        <f>ROUND(W637+IF(AND(E638=25,F638&lt;&gt;"ASTM A416"),L638,0),3)</f>
        <v/>
      </c>
      <c r="X638" s="20">
        <f>ROUND(X637+IF(AND(E638=28,F638&lt;&gt;"ASTM A416"),L638,0),3)</f>
        <v/>
      </c>
      <c r="Y638" s="20">
        <f>ROUND(Y637+IF(AND(E638=32,F638&lt;&gt;"ASTM A416"),L638,0),3)</f>
        <v/>
      </c>
      <c r="Z638" s="20">
        <f>ROUND(Z637+IF(F638="ASTM A416",L638,0),3)</f>
        <v/>
      </c>
      <c r="AA638" s="11">
        <f>IF(ROUNDUP(P638/20,0)&gt;ROUNDUP(P637/20,0),"Lần " &amp; ROUNDUP(P638/20,0),"")</f>
        <v/>
      </c>
      <c r="AB638" s="11">
        <f>IF(ROUNDUP(Q638/20,0)&gt;ROUNDUP(Q637/20,0),"Lần " &amp; ROUNDUP(Q638/20,0),"")</f>
        <v/>
      </c>
      <c r="AC638" s="11">
        <f>IF(ROUNDUP(R638/20,0)&gt;ROUNDUP(R637/20,0),"Lần " &amp; ROUNDUP(R638/20,0),"")</f>
        <v/>
      </c>
      <c r="AD638" s="11">
        <f>IF(ROUNDUP(S638/20,0)&gt;ROUNDUP(S637/20,0),"Lần " &amp; ROUNDUP(S638/20,0),"")</f>
        <v/>
      </c>
      <c r="AE638" s="11">
        <f>IF(ROUNDUP(T638/20,0)&gt;ROUNDUP(T637/20,0),"Lần " &amp; ROUNDUP(T638/20,0),"")</f>
        <v/>
      </c>
      <c r="AF638" s="11">
        <f>IF(ROUNDUP(U638/20,0)&gt;ROUNDUP(U637/20,0),"Lần " &amp; ROUNDUP(U638/20,0),"")</f>
        <v/>
      </c>
      <c r="AG638" s="11">
        <f>IF(ROUNDUP(V638/20,0)&gt;ROUNDUP(V637/20,0),"Lần " &amp; ROUNDUP(V638/20,0),"")</f>
        <v/>
      </c>
      <c r="AH638" s="11">
        <f>IF(ROUNDUP(W638/20,0)&gt;ROUNDUP(W637/20,0),"Lần " &amp; ROUNDUP(W638/20,0),"")</f>
        <v/>
      </c>
      <c r="AI638" s="11">
        <f>IF(ROUNDUP(X638/20,0)&gt;ROUNDUP(X637/20,0),"Lần " &amp; ROUNDUP(X638/20,0),"")</f>
        <v/>
      </c>
      <c r="AJ638" s="11">
        <f>IF(ROUNDUP(Y638/20,0)&gt;ROUNDUP(Y637/20,0),"Lần " &amp; ROUNDUP(Y638/20,0),"")</f>
        <v/>
      </c>
      <c r="AK638" s="11">
        <f>IF(ROUNDUP(Z638/20,0)&gt;ROUNDUP(Z637/20,0),"Lần " &amp; ROUNDUP(Z638/20,0),"")</f>
        <v/>
      </c>
      <c r="AL638" s="6" t="n"/>
      <c r="AN638" t="inlineStr">
        <is>
          <t>Coc</t>
        </is>
      </c>
      <c r="AO638" t="n">
        <v>19</v>
      </c>
    </row>
    <row r="639" ht="19" customHeight="1">
      <c r="A639" s="6" t="n">
        <v>607</v>
      </c>
      <c r="B639" s="7" t="inlineStr">
        <is>
          <t>Cọc khoan nhồi C5 Trụ T2 (D1.2m, L=30.0m)</t>
        </is>
      </c>
      <c r="C639" s="7" t="inlineStr">
        <is>
          <t>Cọc trụ T2 L=30m (tr.70)</t>
        </is>
      </c>
      <c r="D639" s="18" t="inlineStr">
        <is>
          <t>P1D</t>
        </is>
      </c>
      <c r="E639" s="19" t="n">
        <v>10</v>
      </c>
      <c r="F639" s="6" t="inlineStr">
        <is>
          <t>CB240-T</t>
        </is>
      </c>
      <c r="G639" s="7" t="inlineStr"/>
      <c r="H639" s="20" t="n">
        <v>19.721</v>
      </c>
      <c r="I639" s="21" t="n">
        <v>1</v>
      </c>
      <c r="J639" s="22" t="n">
        <v>0.617</v>
      </c>
      <c r="K639" s="9">
        <f>ROUND(H639*I639*J639, 2)</f>
        <v/>
      </c>
      <c r="L639" s="23">
        <f>ROUND(K639/1000, 3)</f>
        <v/>
      </c>
      <c r="M639" s="8">
        <f>IF(AO639="","",IF(INDEX(Theo_Doi_Tan_Suat_Be_Tong!$C:$C,AO639)="","",INDEX(Theo_Doi_Tan_Suat_Be_Tong!$C:$C,AO639)-VLOOKUP(AN639,$AQ$2:$AR$7,2,FALSE)))</f>
        <v/>
      </c>
      <c r="N639" s="6" t="n"/>
      <c r="O639" s="24">
        <f>IF(ROUNDUP(P639/20,0)&gt;ROUNDUP(P638/20,0),"TN Ø10 (Lần " &amp; ROUNDUP(P639/20,0) &amp; ")","")</f>
        <v/>
      </c>
      <c r="P639" s="20">
        <f>ROUND(P638+IF(AND(E639&lt;=10,F639&lt;&gt;"ASTM A416"),L639,0),3)</f>
        <v/>
      </c>
      <c r="Q639" s="20">
        <f>ROUND(Q638+IF(AND(E639=12,F639&lt;&gt;"ASTM A416"),L639,0),3)</f>
        <v/>
      </c>
      <c r="R639" s="20">
        <f>ROUND(R638+IF(AND(E639=14,F639&lt;&gt;"ASTM A416"),L639,0),3)</f>
        <v/>
      </c>
      <c r="S639" s="20">
        <f>ROUND(S638+IF(AND(E639=16,F639&lt;&gt;"ASTM A416"),L639,0),3)</f>
        <v/>
      </c>
      <c r="T639" s="20">
        <f>ROUND(T638+IF(AND(E639=18,F639&lt;&gt;"ASTM A416"),L639,0),3)</f>
        <v/>
      </c>
      <c r="U639" s="20">
        <f>ROUND(U638+IF(AND(E639=20,F639&lt;&gt;"ASTM A416"),L639,0),3)</f>
        <v/>
      </c>
      <c r="V639" s="20">
        <f>ROUND(V638+IF(AND(E639=22,F639&lt;&gt;"ASTM A416"),L639,0),3)</f>
        <v/>
      </c>
      <c r="W639" s="20">
        <f>ROUND(W638+IF(AND(E639=25,F639&lt;&gt;"ASTM A416"),L639,0),3)</f>
        <v/>
      </c>
      <c r="X639" s="20">
        <f>ROUND(X638+IF(AND(E639=28,F639&lt;&gt;"ASTM A416"),L639,0),3)</f>
        <v/>
      </c>
      <c r="Y639" s="20">
        <f>ROUND(Y638+IF(AND(E639=32,F639&lt;&gt;"ASTM A416"),L639,0),3)</f>
        <v/>
      </c>
      <c r="Z639" s="20">
        <f>ROUND(Z638+IF(F639="ASTM A416",L639,0),3)</f>
        <v/>
      </c>
      <c r="AA639" s="11">
        <f>IF(ROUNDUP(P639/20,0)&gt;ROUNDUP(P638/20,0),"Lần " &amp; ROUNDUP(P639/20,0),"")</f>
        <v/>
      </c>
      <c r="AB639" s="11">
        <f>IF(ROUNDUP(Q639/20,0)&gt;ROUNDUP(Q638/20,0),"Lần " &amp; ROUNDUP(Q639/20,0),"")</f>
        <v/>
      </c>
      <c r="AC639" s="11">
        <f>IF(ROUNDUP(R639/20,0)&gt;ROUNDUP(R638/20,0),"Lần " &amp; ROUNDUP(R639/20,0),"")</f>
        <v/>
      </c>
      <c r="AD639" s="11">
        <f>IF(ROUNDUP(S639/20,0)&gt;ROUNDUP(S638/20,0),"Lần " &amp; ROUNDUP(S639/20,0),"")</f>
        <v/>
      </c>
      <c r="AE639" s="11">
        <f>IF(ROUNDUP(T639/20,0)&gt;ROUNDUP(T638/20,0),"Lần " &amp; ROUNDUP(T639/20,0),"")</f>
        <v/>
      </c>
      <c r="AF639" s="11">
        <f>IF(ROUNDUP(U639/20,0)&gt;ROUNDUP(U638/20,0),"Lần " &amp; ROUNDUP(U639/20,0),"")</f>
        <v/>
      </c>
      <c r="AG639" s="11">
        <f>IF(ROUNDUP(V639/20,0)&gt;ROUNDUP(V638/20,0),"Lần " &amp; ROUNDUP(V639/20,0),"")</f>
        <v/>
      </c>
      <c r="AH639" s="11">
        <f>IF(ROUNDUP(W639/20,0)&gt;ROUNDUP(W638/20,0),"Lần " &amp; ROUNDUP(W639/20,0),"")</f>
        <v/>
      </c>
      <c r="AI639" s="11">
        <f>IF(ROUNDUP(X639/20,0)&gt;ROUNDUP(X638/20,0),"Lần " &amp; ROUNDUP(X639/20,0),"")</f>
        <v/>
      </c>
      <c r="AJ639" s="11">
        <f>IF(ROUNDUP(Y639/20,0)&gt;ROUNDUP(Y638/20,0),"Lần " &amp; ROUNDUP(Y639/20,0),"")</f>
        <v/>
      </c>
      <c r="AK639" s="11">
        <f>IF(ROUNDUP(Z639/20,0)&gt;ROUNDUP(Z638/20,0),"Lần " &amp; ROUNDUP(Z639/20,0),"")</f>
        <v/>
      </c>
      <c r="AL639" s="6" t="n"/>
      <c r="AN639" t="inlineStr">
        <is>
          <t>Coc</t>
        </is>
      </c>
      <c r="AO639" t="n">
        <v>19</v>
      </c>
    </row>
    <row r="640" ht="19" customHeight="1">
      <c r="A640" s="6" t="n">
        <v>608</v>
      </c>
      <c r="B640" s="7" t="inlineStr">
        <is>
          <t>Cọc khoan nhồi C5 Trụ T2 (D1.2m, L=30.0m)</t>
        </is>
      </c>
      <c r="C640" s="7" t="inlineStr">
        <is>
          <t>Cọc trụ T2 L=30m (tr.70)</t>
        </is>
      </c>
      <c r="D640" s="18" t="inlineStr">
        <is>
          <t>P2B</t>
        </is>
      </c>
      <c r="E640" s="19" t="n">
        <v>25</v>
      </c>
      <c r="F640" s="6" t="inlineStr">
        <is>
          <t>CB400-V</t>
        </is>
      </c>
      <c r="G640" s="7" t="inlineStr"/>
      <c r="H640" s="20" t="n">
        <v>2.985</v>
      </c>
      <c r="I640" s="21" t="n">
        <v>12</v>
      </c>
      <c r="J640" s="22" t="n">
        <v>3.853</v>
      </c>
      <c r="K640" s="9">
        <f>ROUND(H640*I640*J640, 2)</f>
        <v/>
      </c>
      <c r="L640" s="23">
        <f>ROUND(K640/1000, 3)</f>
        <v/>
      </c>
      <c r="M640" s="8">
        <f>IF(AO640="","",IF(INDEX(Theo_Doi_Tan_Suat_Be_Tong!$C:$C,AO640)="","",INDEX(Theo_Doi_Tan_Suat_Be_Tong!$C:$C,AO640)-VLOOKUP(AN640,$AQ$2:$AR$7,2,FALSE)))</f>
        <v/>
      </c>
      <c r="N640" s="6" t="n"/>
      <c r="O640" s="24">
        <f>IF(ROUNDUP(W640/20,0)&gt;ROUNDUP(W639/20,0),"TN Ø25 (Lần " &amp; ROUNDUP(W640/20,0) &amp; ")","")</f>
        <v/>
      </c>
      <c r="P640" s="20">
        <f>ROUND(P639+IF(AND(E640&lt;=10,F640&lt;&gt;"ASTM A416"),L640,0),3)</f>
        <v/>
      </c>
      <c r="Q640" s="20">
        <f>ROUND(Q639+IF(AND(E640=12,F640&lt;&gt;"ASTM A416"),L640,0),3)</f>
        <v/>
      </c>
      <c r="R640" s="20">
        <f>ROUND(R639+IF(AND(E640=14,F640&lt;&gt;"ASTM A416"),L640,0),3)</f>
        <v/>
      </c>
      <c r="S640" s="20">
        <f>ROUND(S639+IF(AND(E640=16,F640&lt;&gt;"ASTM A416"),L640,0),3)</f>
        <v/>
      </c>
      <c r="T640" s="20">
        <f>ROUND(T639+IF(AND(E640=18,F640&lt;&gt;"ASTM A416"),L640,0),3)</f>
        <v/>
      </c>
      <c r="U640" s="20">
        <f>ROUND(U639+IF(AND(E640=20,F640&lt;&gt;"ASTM A416"),L640,0),3)</f>
        <v/>
      </c>
      <c r="V640" s="20">
        <f>ROUND(V639+IF(AND(E640=22,F640&lt;&gt;"ASTM A416"),L640,0),3)</f>
        <v/>
      </c>
      <c r="W640" s="20">
        <f>ROUND(W639+IF(AND(E640=25,F640&lt;&gt;"ASTM A416"),L640,0),3)</f>
        <v/>
      </c>
      <c r="X640" s="20">
        <f>ROUND(X639+IF(AND(E640=28,F640&lt;&gt;"ASTM A416"),L640,0),3)</f>
        <v/>
      </c>
      <c r="Y640" s="20">
        <f>ROUND(Y639+IF(AND(E640=32,F640&lt;&gt;"ASTM A416"),L640,0),3)</f>
        <v/>
      </c>
      <c r="Z640" s="20">
        <f>ROUND(Z639+IF(F640="ASTM A416",L640,0),3)</f>
        <v/>
      </c>
      <c r="AA640" s="11">
        <f>IF(ROUNDUP(P640/20,0)&gt;ROUNDUP(P639/20,0),"Lần " &amp; ROUNDUP(P640/20,0),"")</f>
        <v/>
      </c>
      <c r="AB640" s="11">
        <f>IF(ROUNDUP(Q640/20,0)&gt;ROUNDUP(Q639/20,0),"Lần " &amp; ROUNDUP(Q640/20,0),"")</f>
        <v/>
      </c>
      <c r="AC640" s="11">
        <f>IF(ROUNDUP(R640/20,0)&gt;ROUNDUP(R639/20,0),"Lần " &amp; ROUNDUP(R640/20,0),"")</f>
        <v/>
      </c>
      <c r="AD640" s="11">
        <f>IF(ROUNDUP(S640/20,0)&gt;ROUNDUP(S639/20,0),"Lần " &amp; ROUNDUP(S640/20,0),"")</f>
        <v/>
      </c>
      <c r="AE640" s="11">
        <f>IF(ROUNDUP(T640/20,0)&gt;ROUNDUP(T639/20,0),"Lần " &amp; ROUNDUP(T640/20,0),"")</f>
        <v/>
      </c>
      <c r="AF640" s="11">
        <f>IF(ROUNDUP(U640/20,0)&gt;ROUNDUP(U639/20,0),"Lần " &amp; ROUNDUP(U640/20,0),"")</f>
        <v/>
      </c>
      <c r="AG640" s="11">
        <f>IF(ROUNDUP(V640/20,0)&gt;ROUNDUP(V639/20,0),"Lần " &amp; ROUNDUP(V640/20,0),"")</f>
        <v/>
      </c>
      <c r="AH640" s="11">
        <f>IF(ROUNDUP(W640/20,0)&gt;ROUNDUP(W639/20,0),"Lần " &amp; ROUNDUP(W640/20,0),"")</f>
        <v/>
      </c>
      <c r="AI640" s="11">
        <f>IF(ROUNDUP(X640/20,0)&gt;ROUNDUP(X639/20,0),"Lần " &amp; ROUNDUP(X640/20,0),"")</f>
        <v/>
      </c>
      <c r="AJ640" s="11">
        <f>IF(ROUNDUP(Y640/20,0)&gt;ROUNDUP(Y639/20,0),"Lần " &amp; ROUNDUP(Y640/20,0),"")</f>
        <v/>
      </c>
      <c r="AK640" s="11">
        <f>IF(ROUNDUP(Z640/20,0)&gt;ROUNDUP(Z639/20,0),"Lần " &amp; ROUNDUP(Z640/20,0),"")</f>
        <v/>
      </c>
      <c r="AL640" s="6" t="n"/>
      <c r="AN640" t="inlineStr">
        <is>
          <t>Coc</t>
        </is>
      </c>
      <c r="AO640" t="n">
        <v>19</v>
      </c>
    </row>
    <row r="641" ht="19" customHeight="1">
      <c r="A641" s="6" t="n">
        <v>609</v>
      </c>
      <c r="B641" s="7" t="inlineStr">
        <is>
          <t>Cọc khoan nhồi C5 Trụ T2 (D1.2m, L=30.0m)</t>
        </is>
      </c>
      <c r="C641" s="7" t="inlineStr">
        <is>
          <t>Cọc trụ T2 L=30m (tr.70)</t>
        </is>
      </c>
      <c r="D641" s="18" t="inlineStr">
        <is>
          <t>P3</t>
        </is>
      </c>
      <c r="E641" s="19" t="n">
        <v>25</v>
      </c>
      <c r="F641" s="6" t="inlineStr">
        <is>
          <t>CB400-V</t>
        </is>
      </c>
      <c r="G641" s="7" t="inlineStr"/>
      <c r="H641" s="20" t="n">
        <v>10.7</v>
      </c>
      <c r="I641" s="21" t="n">
        <v>12</v>
      </c>
      <c r="J641" s="22" t="n">
        <v>3.853</v>
      </c>
      <c r="K641" s="9">
        <f>ROUND(H641*I641*J641, 2)</f>
        <v/>
      </c>
      <c r="L641" s="23">
        <f>ROUND(K641/1000, 3)</f>
        <v/>
      </c>
      <c r="M641" s="8">
        <f>IF(AO641="","",IF(INDEX(Theo_Doi_Tan_Suat_Be_Tong!$C:$C,AO641)="","",INDEX(Theo_Doi_Tan_Suat_Be_Tong!$C:$C,AO641)-VLOOKUP(AN641,$AQ$2:$AR$7,2,FALSE)))</f>
        <v/>
      </c>
      <c r="N641" s="6" t="n"/>
      <c r="O641" s="24">
        <f>IF(ROUNDUP(W641/20,0)&gt;ROUNDUP(W640/20,0),"TN Ø25 (Lần " &amp; ROUNDUP(W641/20,0) &amp; ")","")</f>
        <v/>
      </c>
      <c r="P641" s="20">
        <f>ROUND(P640+IF(AND(E641&lt;=10,F641&lt;&gt;"ASTM A416"),L641,0),3)</f>
        <v/>
      </c>
      <c r="Q641" s="20">
        <f>ROUND(Q640+IF(AND(E641=12,F641&lt;&gt;"ASTM A416"),L641,0),3)</f>
        <v/>
      </c>
      <c r="R641" s="20">
        <f>ROUND(R640+IF(AND(E641=14,F641&lt;&gt;"ASTM A416"),L641,0),3)</f>
        <v/>
      </c>
      <c r="S641" s="20">
        <f>ROUND(S640+IF(AND(E641=16,F641&lt;&gt;"ASTM A416"),L641,0),3)</f>
        <v/>
      </c>
      <c r="T641" s="20">
        <f>ROUND(T640+IF(AND(E641=18,F641&lt;&gt;"ASTM A416"),L641,0),3)</f>
        <v/>
      </c>
      <c r="U641" s="20">
        <f>ROUND(U640+IF(AND(E641=20,F641&lt;&gt;"ASTM A416"),L641,0),3)</f>
        <v/>
      </c>
      <c r="V641" s="20">
        <f>ROUND(V640+IF(AND(E641=22,F641&lt;&gt;"ASTM A416"),L641,0),3)</f>
        <v/>
      </c>
      <c r="W641" s="20">
        <f>ROUND(W640+IF(AND(E641=25,F641&lt;&gt;"ASTM A416"),L641,0),3)</f>
        <v/>
      </c>
      <c r="X641" s="20">
        <f>ROUND(X640+IF(AND(E641=28,F641&lt;&gt;"ASTM A416"),L641,0),3)</f>
        <v/>
      </c>
      <c r="Y641" s="20">
        <f>ROUND(Y640+IF(AND(E641=32,F641&lt;&gt;"ASTM A416"),L641,0),3)</f>
        <v/>
      </c>
      <c r="Z641" s="20">
        <f>ROUND(Z640+IF(F641="ASTM A416",L641,0),3)</f>
        <v/>
      </c>
      <c r="AA641" s="11">
        <f>IF(ROUNDUP(P641/20,0)&gt;ROUNDUP(P640/20,0),"Lần " &amp; ROUNDUP(P641/20,0),"")</f>
        <v/>
      </c>
      <c r="AB641" s="11">
        <f>IF(ROUNDUP(Q641/20,0)&gt;ROUNDUP(Q640/20,0),"Lần " &amp; ROUNDUP(Q641/20,0),"")</f>
        <v/>
      </c>
      <c r="AC641" s="11">
        <f>IF(ROUNDUP(R641/20,0)&gt;ROUNDUP(R640/20,0),"Lần " &amp; ROUNDUP(R641/20,0),"")</f>
        <v/>
      </c>
      <c r="AD641" s="11">
        <f>IF(ROUNDUP(S641/20,0)&gt;ROUNDUP(S640/20,0),"Lần " &amp; ROUNDUP(S641/20,0),"")</f>
        <v/>
      </c>
      <c r="AE641" s="11">
        <f>IF(ROUNDUP(T641/20,0)&gt;ROUNDUP(T640/20,0),"Lần " &amp; ROUNDUP(T641/20,0),"")</f>
        <v/>
      </c>
      <c r="AF641" s="11">
        <f>IF(ROUNDUP(U641/20,0)&gt;ROUNDUP(U640/20,0),"Lần " &amp; ROUNDUP(U641/20,0),"")</f>
        <v/>
      </c>
      <c r="AG641" s="11">
        <f>IF(ROUNDUP(V641/20,0)&gt;ROUNDUP(V640/20,0),"Lần " &amp; ROUNDUP(V641/20,0),"")</f>
        <v/>
      </c>
      <c r="AH641" s="11">
        <f>IF(ROUNDUP(W641/20,0)&gt;ROUNDUP(W640/20,0),"Lần " &amp; ROUNDUP(W641/20,0),"")</f>
        <v/>
      </c>
      <c r="AI641" s="11">
        <f>IF(ROUNDUP(X641/20,0)&gt;ROUNDUP(X640/20,0),"Lần " &amp; ROUNDUP(X641/20,0),"")</f>
        <v/>
      </c>
      <c r="AJ641" s="11">
        <f>IF(ROUNDUP(Y641/20,0)&gt;ROUNDUP(Y640/20,0),"Lần " &amp; ROUNDUP(Y641/20,0),"")</f>
        <v/>
      </c>
      <c r="AK641" s="11">
        <f>IF(ROUNDUP(Z641/20,0)&gt;ROUNDUP(Z640/20,0),"Lần " &amp; ROUNDUP(Z641/20,0),"")</f>
        <v/>
      </c>
      <c r="AL641" s="6" t="n"/>
      <c r="AN641" t="inlineStr">
        <is>
          <t>Coc</t>
        </is>
      </c>
      <c r="AO641" t="n">
        <v>19</v>
      </c>
    </row>
    <row r="642" ht="19" customHeight="1">
      <c r="A642" s="6" t="n">
        <v>610</v>
      </c>
      <c r="B642" s="7" t="inlineStr">
        <is>
          <t>Cọc khoan nhồi C5 Trụ T2 (D1.2m, L=30.0m)</t>
        </is>
      </c>
      <c r="C642" s="7" t="inlineStr">
        <is>
          <t>Cọc trụ T2 L=30m (tr.70)</t>
        </is>
      </c>
      <c r="D642" s="18" t="inlineStr">
        <is>
          <t>P4</t>
        </is>
      </c>
      <c r="E642" s="19" t="n">
        <v>25</v>
      </c>
      <c r="F642" s="6" t="inlineStr">
        <is>
          <t>CB400-V</t>
        </is>
      </c>
      <c r="G642" s="7" t="inlineStr"/>
      <c r="H642" s="20" t="n">
        <v>11.7</v>
      </c>
      <c r="I642" s="21" t="n">
        <v>36</v>
      </c>
      <c r="J642" s="22" t="n">
        <v>3.853</v>
      </c>
      <c r="K642" s="9">
        <f>ROUND(H642*I642*J642, 2)</f>
        <v/>
      </c>
      <c r="L642" s="23">
        <f>ROUND(K642/1000, 3)</f>
        <v/>
      </c>
      <c r="M642" s="8">
        <f>IF(AO642="","",IF(INDEX(Theo_Doi_Tan_Suat_Be_Tong!$C:$C,AO642)="","",INDEX(Theo_Doi_Tan_Suat_Be_Tong!$C:$C,AO642)-VLOOKUP(AN642,$AQ$2:$AR$7,2,FALSE)))</f>
        <v/>
      </c>
      <c r="N642" s="6" t="n"/>
      <c r="O642" s="24">
        <f>IF(ROUNDUP(W642/20,0)&gt;ROUNDUP(W641/20,0),"TN Ø25 (Lần " &amp; ROUNDUP(W642/20,0) &amp; ")","")</f>
        <v/>
      </c>
      <c r="P642" s="20">
        <f>ROUND(P641+IF(AND(E642&lt;=10,F642&lt;&gt;"ASTM A416"),L642,0),3)</f>
        <v/>
      </c>
      <c r="Q642" s="20">
        <f>ROUND(Q641+IF(AND(E642=12,F642&lt;&gt;"ASTM A416"),L642,0),3)</f>
        <v/>
      </c>
      <c r="R642" s="20">
        <f>ROUND(R641+IF(AND(E642=14,F642&lt;&gt;"ASTM A416"),L642,0),3)</f>
        <v/>
      </c>
      <c r="S642" s="20">
        <f>ROUND(S641+IF(AND(E642=16,F642&lt;&gt;"ASTM A416"),L642,0),3)</f>
        <v/>
      </c>
      <c r="T642" s="20">
        <f>ROUND(T641+IF(AND(E642=18,F642&lt;&gt;"ASTM A416"),L642,0),3)</f>
        <v/>
      </c>
      <c r="U642" s="20">
        <f>ROUND(U641+IF(AND(E642=20,F642&lt;&gt;"ASTM A416"),L642,0),3)</f>
        <v/>
      </c>
      <c r="V642" s="20">
        <f>ROUND(V641+IF(AND(E642=22,F642&lt;&gt;"ASTM A416"),L642,0),3)</f>
        <v/>
      </c>
      <c r="W642" s="20">
        <f>ROUND(W641+IF(AND(E642=25,F642&lt;&gt;"ASTM A416"),L642,0),3)</f>
        <v/>
      </c>
      <c r="X642" s="20">
        <f>ROUND(X641+IF(AND(E642=28,F642&lt;&gt;"ASTM A416"),L642,0),3)</f>
        <v/>
      </c>
      <c r="Y642" s="20">
        <f>ROUND(Y641+IF(AND(E642=32,F642&lt;&gt;"ASTM A416"),L642,0),3)</f>
        <v/>
      </c>
      <c r="Z642" s="20">
        <f>ROUND(Z641+IF(F642="ASTM A416",L642,0),3)</f>
        <v/>
      </c>
      <c r="AA642" s="11">
        <f>IF(ROUNDUP(P642/20,0)&gt;ROUNDUP(P641/20,0),"Lần " &amp; ROUNDUP(P642/20,0),"")</f>
        <v/>
      </c>
      <c r="AB642" s="11">
        <f>IF(ROUNDUP(Q642/20,0)&gt;ROUNDUP(Q641/20,0),"Lần " &amp; ROUNDUP(Q642/20,0),"")</f>
        <v/>
      </c>
      <c r="AC642" s="11">
        <f>IF(ROUNDUP(R642/20,0)&gt;ROUNDUP(R641/20,0),"Lần " &amp; ROUNDUP(R642/20,0),"")</f>
        <v/>
      </c>
      <c r="AD642" s="11">
        <f>IF(ROUNDUP(S642/20,0)&gt;ROUNDUP(S641/20,0),"Lần " &amp; ROUNDUP(S642/20,0),"")</f>
        <v/>
      </c>
      <c r="AE642" s="11">
        <f>IF(ROUNDUP(T642/20,0)&gt;ROUNDUP(T641/20,0),"Lần " &amp; ROUNDUP(T642/20,0),"")</f>
        <v/>
      </c>
      <c r="AF642" s="11">
        <f>IF(ROUNDUP(U642/20,0)&gt;ROUNDUP(U641/20,0),"Lần " &amp; ROUNDUP(U642/20,0),"")</f>
        <v/>
      </c>
      <c r="AG642" s="11">
        <f>IF(ROUNDUP(V642/20,0)&gt;ROUNDUP(V641/20,0),"Lần " &amp; ROUNDUP(V642/20,0),"")</f>
        <v/>
      </c>
      <c r="AH642" s="11">
        <f>IF(ROUNDUP(W642/20,0)&gt;ROUNDUP(W641/20,0),"Lần " &amp; ROUNDUP(W642/20,0),"")</f>
        <v/>
      </c>
      <c r="AI642" s="11">
        <f>IF(ROUNDUP(X642/20,0)&gt;ROUNDUP(X641/20,0),"Lần " &amp; ROUNDUP(X642/20,0),"")</f>
        <v/>
      </c>
      <c r="AJ642" s="11">
        <f>IF(ROUNDUP(Y642/20,0)&gt;ROUNDUP(Y641/20,0),"Lần " &amp; ROUNDUP(Y642/20,0),"")</f>
        <v/>
      </c>
      <c r="AK642" s="11">
        <f>IF(ROUNDUP(Z642/20,0)&gt;ROUNDUP(Z641/20,0),"Lần " &amp; ROUNDUP(Z642/20,0),"")</f>
        <v/>
      </c>
      <c r="AL642" s="6" t="n"/>
      <c r="AN642" t="inlineStr">
        <is>
          <t>Coc</t>
        </is>
      </c>
      <c r="AO642" t="n">
        <v>19</v>
      </c>
    </row>
    <row r="643" ht="19" customHeight="1">
      <c r="A643" s="6" t="n">
        <v>611</v>
      </c>
      <c r="B643" s="7" t="inlineStr">
        <is>
          <t>Cọc khoan nhồi C5 Trụ T2 (D1.2m, L=30.0m)</t>
        </is>
      </c>
      <c r="C643" s="7" t="inlineStr">
        <is>
          <t>Cọc trụ T2 L=30m (tr.70)</t>
        </is>
      </c>
      <c r="D643" s="18" t="inlineStr">
        <is>
          <t>P6</t>
        </is>
      </c>
      <c r="E643" s="19" t="n">
        <v>25</v>
      </c>
      <c r="F643" s="6" t="inlineStr">
        <is>
          <t>CB400-V</t>
        </is>
      </c>
      <c r="G643" s="7" t="inlineStr"/>
      <c r="H643" s="20" t="n">
        <v>9.733000000000001</v>
      </c>
      <c r="I643" s="21" t="n">
        <v>12</v>
      </c>
      <c r="J643" s="22" t="n">
        <v>3.853</v>
      </c>
      <c r="K643" s="9">
        <f>ROUND(H643*I643*J643, 2)</f>
        <v/>
      </c>
      <c r="L643" s="23">
        <f>ROUND(K643/1000, 3)</f>
        <v/>
      </c>
      <c r="M643" s="8">
        <f>IF(AO643="","",IF(INDEX(Theo_Doi_Tan_Suat_Be_Tong!$C:$C,AO643)="","",INDEX(Theo_Doi_Tan_Suat_Be_Tong!$C:$C,AO643)-VLOOKUP(AN643,$AQ$2:$AR$7,2,FALSE)))</f>
        <v/>
      </c>
      <c r="N643" s="6" t="n"/>
      <c r="O643" s="24">
        <f>IF(ROUNDUP(W643/20,0)&gt;ROUNDUP(W642/20,0),"TN Ø25 (Lần " &amp; ROUNDUP(W643/20,0) &amp; ")","")</f>
        <v/>
      </c>
      <c r="P643" s="20">
        <f>ROUND(P642+IF(AND(E643&lt;=10,F643&lt;&gt;"ASTM A416"),L643,0),3)</f>
        <v/>
      </c>
      <c r="Q643" s="20">
        <f>ROUND(Q642+IF(AND(E643=12,F643&lt;&gt;"ASTM A416"),L643,0),3)</f>
        <v/>
      </c>
      <c r="R643" s="20">
        <f>ROUND(R642+IF(AND(E643=14,F643&lt;&gt;"ASTM A416"),L643,0),3)</f>
        <v/>
      </c>
      <c r="S643" s="20">
        <f>ROUND(S642+IF(AND(E643=16,F643&lt;&gt;"ASTM A416"),L643,0),3)</f>
        <v/>
      </c>
      <c r="T643" s="20">
        <f>ROUND(T642+IF(AND(E643=18,F643&lt;&gt;"ASTM A416"),L643,0),3)</f>
        <v/>
      </c>
      <c r="U643" s="20">
        <f>ROUND(U642+IF(AND(E643=20,F643&lt;&gt;"ASTM A416"),L643,0),3)</f>
        <v/>
      </c>
      <c r="V643" s="20">
        <f>ROUND(V642+IF(AND(E643=22,F643&lt;&gt;"ASTM A416"),L643,0),3)</f>
        <v/>
      </c>
      <c r="W643" s="20">
        <f>ROUND(W642+IF(AND(E643=25,F643&lt;&gt;"ASTM A416"),L643,0),3)</f>
        <v/>
      </c>
      <c r="X643" s="20">
        <f>ROUND(X642+IF(AND(E643=28,F643&lt;&gt;"ASTM A416"),L643,0),3)</f>
        <v/>
      </c>
      <c r="Y643" s="20">
        <f>ROUND(Y642+IF(AND(E643=32,F643&lt;&gt;"ASTM A416"),L643,0),3)</f>
        <v/>
      </c>
      <c r="Z643" s="20">
        <f>ROUND(Z642+IF(F643="ASTM A416",L643,0),3)</f>
        <v/>
      </c>
      <c r="AA643" s="11">
        <f>IF(ROUNDUP(P643/20,0)&gt;ROUNDUP(P642/20,0),"Lần " &amp; ROUNDUP(P643/20,0),"")</f>
        <v/>
      </c>
      <c r="AB643" s="11">
        <f>IF(ROUNDUP(Q643/20,0)&gt;ROUNDUP(Q642/20,0),"Lần " &amp; ROUNDUP(Q643/20,0),"")</f>
        <v/>
      </c>
      <c r="AC643" s="11">
        <f>IF(ROUNDUP(R643/20,0)&gt;ROUNDUP(R642/20,0),"Lần " &amp; ROUNDUP(R643/20,0),"")</f>
        <v/>
      </c>
      <c r="AD643" s="11">
        <f>IF(ROUNDUP(S643/20,0)&gt;ROUNDUP(S642/20,0),"Lần " &amp; ROUNDUP(S643/20,0),"")</f>
        <v/>
      </c>
      <c r="AE643" s="11">
        <f>IF(ROUNDUP(T643/20,0)&gt;ROUNDUP(T642/20,0),"Lần " &amp; ROUNDUP(T643/20,0),"")</f>
        <v/>
      </c>
      <c r="AF643" s="11">
        <f>IF(ROUNDUP(U643/20,0)&gt;ROUNDUP(U642/20,0),"Lần " &amp; ROUNDUP(U643/20,0),"")</f>
        <v/>
      </c>
      <c r="AG643" s="11">
        <f>IF(ROUNDUP(V643/20,0)&gt;ROUNDUP(V642/20,0),"Lần " &amp; ROUNDUP(V643/20,0),"")</f>
        <v/>
      </c>
      <c r="AH643" s="11">
        <f>IF(ROUNDUP(W643/20,0)&gt;ROUNDUP(W642/20,0),"Lần " &amp; ROUNDUP(W643/20,0),"")</f>
        <v/>
      </c>
      <c r="AI643" s="11">
        <f>IF(ROUNDUP(X643/20,0)&gt;ROUNDUP(X642/20,0),"Lần " &amp; ROUNDUP(X643/20,0),"")</f>
        <v/>
      </c>
      <c r="AJ643" s="11">
        <f>IF(ROUNDUP(Y643/20,0)&gt;ROUNDUP(Y642/20,0),"Lần " &amp; ROUNDUP(Y643/20,0),"")</f>
        <v/>
      </c>
      <c r="AK643" s="11">
        <f>IF(ROUNDUP(Z643/20,0)&gt;ROUNDUP(Z642/20,0),"Lần " &amp; ROUNDUP(Z643/20,0),"")</f>
        <v/>
      </c>
      <c r="AL643" s="6" t="n"/>
      <c r="AN643" t="inlineStr">
        <is>
          <t>Coc</t>
        </is>
      </c>
      <c r="AO643" t="n">
        <v>19</v>
      </c>
    </row>
    <row r="644" ht="19" customHeight="1">
      <c r="A644" s="6" t="n">
        <v>612</v>
      </c>
      <c r="B644" s="7" t="inlineStr">
        <is>
          <t>Cọc khoan nhồi C5 Trụ T2 (D1.2m, L=30.0m)</t>
        </is>
      </c>
      <c r="C644" s="7" t="inlineStr">
        <is>
          <t>Cọc trụ T2 L=30m (tr.70)</t>
        </is>
      </c>
      <c r="D644" s="18" t="inlineStr">
        <is>
          <t>P7</t>
        </is>
      </c>
      <c r="E644" s="19" t="n">
        <v>25</v>
      </c>
      <c r="F644" s="6" t="inlineStr">
        <is>
          <t>CB400-V</t>
        </is>
      </c>
      <c r="G644" s="7" t="inlineStr"/>
      <c r="H644" s="20" t="n">
        <v>10.733</v>
      </c>
      <c r="I644" s="21" t="n">
        <v>12</v>
      </c>
      <c r="J644" s="22" t="n">
        <v>3.853</v>
      </c>
      <c r="K644" s="9">
        <f>ROUND(H644*I644*J644, 2)</f>
        <v/>
      </c>
      <c r="L644" s="23">
        <f>ROUND(K644/1000, 3)</f>
        <v/>
      </c>
      <c r="M644" s="8">
        <f>IF(AO644="","",IF(INDEX(Theo_Doi_Tan_Suat_Be_Tong!$C:$C,AO644)="","",INDEX(Theo_Doi_Tan_Suat_Be_Tong!$C:$C,AO644)-VLOOKUP(AN644,$AQ$2:$AR$7,2,FALSE)))</f>
        <v/>
      </c>
      <c r="N644" s="6" t="n"/>
      <c r="O644" s="24">
        <f>IF(ROUNDUP(W644/20,0)&gt;ROUNDUP(W643/20,0),"TN Ø25 (Lần " &amp; ROUNDUP(W644/20,0) &amp; ")","")</f>
        <v/>
      </c>
      <c r="P644" s="20">
        <f>ROUND(P643+IF(AND(E644&lt;=10,F644&lt;&gt;"ASTM A416"),L644,0),3)</f>
        <v/>
      </c>
      <c r="Q644" s="20">
        <f>ROUND(Q643+IF(AND(E644=12,F644&lt;&gt;"ASTM A416"),L644,0),3)</f>
        <v/>
      </c>
      <c r="R644" s="20">
        <f>ROUND(R643+IF(AND(E644=14,F644&lt;&gt;"ASTM A416"),L644,0),3)</f>
        <v/>
      </c>
      <c r="S644" s="20">
        <f>ROUND(S643+IF(AND(E644=16,F644&lt;&gt;"ASTM A416"),L644,0),3)</f>
        <v/>
      </c>
      <c r="T644" s="20">
        <f>ROUND(T643+IF(AND(E644=18,F644&lt;&gt;"ASTM A416"),L644,0),3)</f>
        <v/>
      </c>
      <c r="U644" s="20">
        <f>ROUND(U643+IF(AND(E644=20,F644&lt;&gt;"ASTM A416"),L644,0),3)</f>
        <v/>
      </c>
      <c r="V644" s="20">
        <f>ROUND(V643+IF(AND(E644=22,F644&lt;&gt;"ASTM A416"),L644,0),3)</f>
        <v/>
      </c>
      <c r="W644" s="20">
        <f>ROUND(W643+IF(AND(E644=25,F644&lt;&gt;"ASTM A416"),L644,0),3)</f>
        <v/>
      </c>
      <c r="X644" s="20">
        <f>ROUND(X643+IF(AND(E644=28,F644&lt;&gt;"ASTM A416"),L644,0),3)</f>
        <v/>
      </c>
      <c r="Y644" s="20">
        <f>ROUND(Y643+IF(AND(E644=32,F644&lt;&gt;"ASTM A416"),L644,0),3)</f>
        <v/>
      </c>
      <c r="Z644" s="20">
        <f>ROUND(Z643+IF(F644="ASTM A416",L644,0),3)</f>
        <v/>
      </c>
      <c r="AA644" s="11">
        <f>IF(ROUNDUP(P644/20,0)&gt;ROUNDUP(P643/20,0),"Lần " &amp; ROUNDUP(P644/20,0),"")</f>
        <v/>
      </c>
      <c r="AB644" s="11">
        <f>IF(ROUNDUP(Q644/20,0)&gt;ROUNDUP(Q643/20,0),"Lần " &amp; ROUNDUP(Q644/20,0),"")</f>
        <v/>
      </c>
      <c r="AC644" s="11">
        <f>IF(ROUNDUP(R644/20,0)&gt;ROUNDUP(R643/20,0),"Lần " &amp; ROUNDUP(R644/20,0),"")</f>
        <v/>
      </c>
      <c r="AD644" s="11">
        <f>IF(ROUNDUP(S644/20,0)&gt;ROUNDUP(S643/20,0),"Lần " &amp; ROUNDUP(S644/20,0),"")</f>
        <v/>
      </c>
      <c r="AE644" s="11">
        <f>IF(ROUNDUP(T644/20,0)&gt;ROUNDUP(T643/20,0),"Lần " &amp; ROUNDUP(T644/20,0),"")</f>
        <v/>
      </c>
      <c r="AF644" s="11">
        <f>IF(ROUNDUP(U644/20,0)&gt;ROUNDUP(U643/20,0),"Lần " &amp; ROUNDUP(U644/20,0),"")</f>
        <v/>
      </c>
      <c r="AG644" s="11">
        <f>IF(ROUNDUP(V644/20,0)&gt;ROUNDUP(V643/20,0),"Lần " &amp; ROUNDUP(V644/20,0),"")</f>
        <v/>
      </c>
      <c r="AH644" s="11">
        <f>IF(ROUNDUP(W644/20,0)&gt;ROUNDUP(W643/20,0),"Lần " &amp; ROUNDUP(W644/20,0),"")</f>
        <v/>
      </c>
      <c r="AI644" s="11">
        <f>IF(ROUNDUP(X644/20,0)&gt;ROUNDUP(X643/20,0),"Lần " &amp; ROUNDUP(X644/20,0),"")</f>
        <v/>
      </c>
      <c r="AJ644" s="11">
        <f>IF(ROUNDUP(Y644/20,0)&gt;ROUNDUP(Y643/20,0),"Lần " &amp; ROUNDUP(Y644/20,0),"")</f>
        <v/>
      </c>
      <c r="AK644" s="11">
        <f>IF(ROUNDUP(Z644/20,0)&gt;ROUNDUP(Z643/20,0),"Lần " &amp; ROUNDUP(Z644/20,0),"")</f>
        <v/>
      </c>
      <c r="AL644" s="6" t="n"/>
      <c r="AN644" t="inlineStr">
        <is>
          <t>Coc</t>
        </is>
      </c>
      <c r="AO644" t="n">
        <v>19</v>
      </c>
    </row>
    <row r="645" ht="19" customHeight="1">
      <c r="A645" s="6" t="n">
        <v>613</v>
      </c>
      <c r="B645" s="7" t="inlineStr">
        <is>
          <t>Cọc khoan nhồi C5 Trụ T2 (D1.2m, L=30.0m)</t>
        </is>
      </c>
      <c r="C645" s="7" t="inlineStr">
        <is>
          <t>Cọc trụ T2 L=30m (tr.70)</t>
        </is>
      </c>
      <c r="D645" s="18" t="inlineStr">
        <is>
          <t>P8</t>
        </is>
      </c>
      <c r="E645" s="19" t="n">
        <v>12</v>
      </c>
      <c r="F645" s="6" t="inlineStr">
        <is>
          <t>CB400-V</t>
        </is>
      </c>
      <c r="G645" s="7" t="inlineStr"/>
      <c r="H645" s="20" t="n">
        <v>0.647</v>
      </c>
      <c r="I645" s="21" t="n">
        <v>12</v>
      </c>
      <c r="J645" s="22" t="n">
        <v>0.888</v>
      </c>
      <c r="K645" s="9">
        <f>ROUND(H645*I645*J645, 2)</f>
        <v/>
      </c>
      <c r="L645" s="23">
        <f>ROUND(K645/1000, 3)</f>
        <v/>
      </c>
      <c r="M645" s="8">
        <f>IF(AO645="","",IF(INDEX(Theo_Doi_Tan_Suat_Be_Tong!$C:$C,AO645)="","",INDEX(Theo_Doi_Tan_Suat_Be_Tong!$C:$C,AO645)-VLOOKUP(AN645,$AQ$2:$AR$7,2,FALSE)))</f>
        <v/>
      </c>
      <c r="N645" s="6" t="n"/>
      <c r="O645" s="24">
        <f>IF(ROUNDUP(Q645/20,0)&gt;ROUNDUP(Q644/20,0),"TN Ø12 (Lần " &amp; ROUNDUP(Q645/20,0) &amp; ")","")</f>
        <v/>
      </c>
      <c r="P645" s="20">
        <f>ROUND(P644+IF(AND(E645&lt;=10,F645&lt;&gt;"ASTM A416"),L645,0),3)</f>
        <v/>
      </c>
      <c r="Q645" s="20">
        <f>ROUND(Q644+IF(AND(E645=12,F645&lt;&gt;"ASTM A416"),L645,0),3)</f>
        <v/>
      </c>
      <c r="R645" s="20">
        <f>ROUND(R644+IF(AND(E645=14,F645&lt;&gt;"ASTM A416"),L645,0),3)</f>
        <v/>
      </c>
      <c r="S645" s="20">
        <f>ROUND(S644+IF(AND(E645=16,F645&lt;&gt;"ASTM A416"),L645,0),3)</f>
        <v/>
      </c>
      <c r="T645" s="20">
        <f>ROUND(T644+IF(AND(E645=18,F645&lt;&gt;"ASTM A416"),L645,0),3)</f>
        <v/>
      </c>
      <c r="U645" s="20">
        <f>ROUND(U644+IF(AND(E645=20,F645&lt;&gt;"ASTM A416"),L645,0),3)</f>
        <v/>
      </c>
      <c r="V645" s="20">
        <f>ROUND(V644+IF(AND(E645=22,F645&lt;&gt;"ASTM A416"),L645,0),3)</f>
        <v/>
      </c>
      <c r="W645" s="20">
        <f>ROUND(W644+IF(AND(E645=25,F645&lt;&gt;"ASTM A416"),L645,0),3)</f>
        <v/>
      </c>
      <c r="X645" s="20">
        <f>ROUND(X644+IF(AND(E645=28,F645&lt;&gt;"ASTM A416"),L645,0),3)</f>
        <v/>
      </c>
      <c r="Y645" s="20">
        <f>ROUND(Y644+IF(AND(E645=32,F645&lt;&gt;"ASTM A416"),L645,0),3)</f>
        <v/>
      </c>
      <c r="Z645" s="20">
        <f>ROUND(Z644+IF(F645="ASTM A416",L645,0),3)</f>
        <v/>
      </c>
      <c r="AA645" s="11">
        <f>IF(ROUNDUP(P645/20,0)&gt;ROUNDUP(P644/20,0),"Lần " &amp; ROUNDUP(P645/20,0),"")</f>
        <v/>
      </c>
      <c r="AB645" s="11">
        <f>IF(ROUNDUP(Q645/20,0)&gt;ROUNDUP(Q644/20,0),"Lần " &amp; ROUNDUP(Q645/20,0),"")</f>
        <v/>
      </c>
      <c r="AC645" s="11">
        <f>IF(ROUNDUP(R645/20,0)&gt;ROUNDUP(R644/20,0),"Lần " &amp; ROUNDUP(R645/20,0),"")</f>
        <v/>
      </c>
      <c r="AD645" s="11">
        <f>IF(ROUNDUP(S645/20,0)&gt;ROUNDUP(S644/20,0),"Lần " &amp; ROUNDUP(S645/20,0),"")</f>
        <v/>
      </c>
      <c r="AE645" s="11">
        <f>IF(ROUNDUP(T645/20,0)&gt;ROUNDUP(T644/20,0),"Lần " &amp; ROUNDUP(T645/20,0),"")</f>
        <v/>
      </c>
      <c r="AF645" s="11">
        <f>IF(ROUNDUP(U645/20,0)&gt;ROUNDUP(U644/20,0),"Lần " &amp; ROUNDUP(U645/20,0),"")</f>
        <v/>
      </c>
      <c r="AG645" s="11">
        <f>IF(ROUNDUP(V645/20,0)&gt;ROUNDUP(V644/20,0),"Lần " &amp; ROUNDUP(V645/20,0),"")</f>
        <v/>
      </c>
      <c r="AH645" s="11">
        <f>IF(ROUNDUP(W645/20,0)&gt;ROUNDUP(W644/20,0),"Lần " &amp; ROUNDUP(W645/20,0),"")</f>
        <v/>
      </c>
      <c r="AI645" s="11">
        <f>IF(ROUNDUP(X645/20,0)&gt;ROUNDUP(X644/20,0),"Lần " &amp; ROUNDUP(X645/20,0),"")</f>
        <v/>
      </c>
      <c r="AJ645" s="11">
        <f>IF(ROUNDUP(Y645/20,0)&gt;ROUNDUP(Y644/20,0),"Lần " &amp; ROUNDUP(Y645/20,0),"")</f>
        <v/>
      </c>
      <c r="AK645" s="11">
        <f>IF(ROUNDUP(Z645/20,0)&gt;ROUNDUP(Z644/20,0),"Lần " &amp; ROUNDUP(Z645/20,0),"")</f>
        <v/>
      </c>
      <c r="AL645" s="6" t="n"/>
      <c r="AN645" t="inlineStr">
        <is>
          <t>Coc</t>
        </is>
      </c>
      <c r="AO645" t="n">
        <v>19</v>
      </c>
    </row>
    <row r="646" ht="19" customHeight="1">
      <c r="A646" s="6" t="n">
        <v>614</v>
      </c>
      <c r="B646" s="7" t="inlineStr">
        <is>
          <t>Cọc khoan nhồi C5 Trụ T2 (D1.2m, L=30.0m)</t>
        </is>
      </c>
      <c r="C646" s="7" t="inlineStr">
        <is>
          <t>Cọc trụ T2 L=30m (tr.70)</t>
        </is>
      </c>
      <c r="D646" s="18" t="inlineStr">
        <is>
          <t>P9</t>
        </is>
      </c>
      <c r="E646" s="19" t="n">
        <v>12</v>
      </c>
      <c r="F646" s="6" t="inlineStr">
        <is>
          <t>CB400-V</t>
        </is>
      </c>
      <c r="G646" s="7" t="inlineStr"/>
      <c r="H646" s="20" t="n">
        <v>0.379</v>
      </c>
      <c r="I646" s="21" t="n">
        <v>36</v>
      </c>
      <c r="J646" s="22" t="n">
        <v>0.888</v>
      </c>
      <c r="K646" s="9">
        <f>ROUND(H646*I646*J646, 2)</f>
        <v/>
      </c>
      <c r="L646" s="23">
        <f>ROUND(K646/1000, 3)</f>
        <v/>
      </c>
      <c r="M646" s="8">
        <f>IF(AO646="","",IF(INDEX(Theo_Doi_Tan_Suat_Be_Tong!$C:$C,AO646)="","",INDEX(Theo_Doi_Tan_Suat_Be_Tong!$C:$C,AO646)-VLOOKUP(AN646,$AQ$2:$AR$7,2,FALSE)))</f>
        <v/>
      </c>
      <c r="N646" s="6" t="n"/>
      <c r="O646" s="24">
        <f>IF(ROUNDUP(Q646/20,0)&gt;ROUNDUP(Q645/20,0),"TN Ø12 (Lần " &amp; ROUNDUP(Q646/20,0) &amp; ")","")</f>
        <v/>
      </c>
      <c r="P646" s="20">
        <f>ROUND(P645+IF(AND(E646&lt;=10,F646&lt;&gt;"ASTM A416"),L646,0),3)</f>
        <v/>
      </c>
      <c r="Q646" s="20">
        <f>ROUND(Q645+IF(AND(E646=12,F646&lt;&gt;"ASTM A416"),L646,0),3)</f>
        <v/>
      </c>
      <c r="R646" s="20">
        <f>ROUND(R645+IF(AND(E646=14,F646&lt;&gt;"ASTM A416"),L646,0),3)</f>
        <v/>
      </c>
      <c r="S646" s="20">
        <f>ROUND(S645+IF(AND(E646=16,F646&lt;&gt;"ASTM A416"),L646,0),3)</f>
        <v/>
      </c>
      <c r="T646" s="20">
        <f>ROUND(T645+IF(AND(E646=18,F646&lt;&gt;"ASTM A416"),L646,0),3)</f>
        <v/>
      </c>
      <c r="U646" s="20">
        <f>ROUND(U645+IF(AND(E646=20,F646&lt;&gt;"ASTM A416"),L646,0),3)</f>
        <v/>
      </c>
      <c r="V646" s="20">
        <f>ROUND(V645+IF(AND(E646=22,F646&lt;&gt;"ASTM A416"),L646,0),3)</f>
        <v/>
      </c>
      <c r="W646" s="20">
        <f>ROUND(W645+IF(AND(E646=25,F646&lt;&gt;"ASTM A416"),L646,0),3)</f>
        <v/>
      </c>
      <c r="X646" s="20">
        <f>ROUND(X645+IF(AND(E646=28,F646&lt;&gt;"ASTM A416"),L646,0),3)</f>
        <v/>
      </c>
      <c r="Y646" s="20">
        <f>ROUND(Y645+IF(AND(E646=32,F646&lt;&gt;"ASTM A416"),L646,0),3)</f>
        <v/>
      </c>
      <c r="Z646" s="20">
        <f>ROUND(Z645+IF(F646="ASTM A416",L646,0),3)</f>
        <v/>
      </c>
      <c r="AA646" s="11">
        <f>IF(ROUNDUP(P646/20,0)&gt;ROUNDUP(P645/20,0),"Lần " &amp; ROUNDUP(P646/20,0),"")</f>
        <v/>
      </c>
      <c r="AB646" s="11">
        <f>IF(ROUNDUP(Q646/20,0)&gt;ROUNDUP(Q645/20,0),"Lần " &amp; ROUNDUP(Q646/20,0),"")</f>
        <v/>
      </c>
      <c r="AC646" s="11">
        <f>IF(ROUNDUP(R646/20,0)&gt;ROUNDUP(R645/20,0),"Lần " &amp; ROUNDUP(R646/20,0),"")</f>
        <v/>
      </c>
      <c r="AD646" s="11">
        <f>IF(ROUNDUP(S646/20,0)&gt;ROUNDUP(S645/20,0),"Lần " &amp; ROUNDUP(S646/20,0),"")</f>
        <v/>
      </c>
      <c r="AE646" s="11">
        <f>IF(ROUNDUP(T646/20,0)&gt;ROUNDUP(T645/20,0),"Lần " &amp; ROUNDUP(T646/20,0),"")</f>
        <v/>
      </c>
      <c r="AF646" s="11">
        <f>IF(ROUNDUP(U646/20,0)&gt;ROUNDUP(U645/20,0),"Lần " &amp; ROUNDUP(U646/20,0),"")</f>
        <v/>
      </c>
      <c r="AG646" s="11">
        <f>IF(ROUNDUP(V646/20,0)&gt;ROUNDUP(V645/20,0),"Lần " &amp; ROUNDUP(V646/20,0),"")</f>
        <v/>
      </c>
      <c r="AH646" s="11">
        <f>IF(ROUNDUP(W646/20,0)&gt;ROUNDUP(W645/20,0),"Lần " &amp; ROUNDUP(W646/20,0),"")</f>
        <v/>
      </c>
      <c r="AI646" s="11">
        <f>IF(ROUNDUP(X646/20,0)&gt;ROUNDUP(X645/20,0),"Lần " &amp; ROUNDUP(X646/20,0),"")</f>
        <v/>
      </c>
      <c r="AJ646" s="11">
        <f>IF(ROUNDUP(Y646/20,0)&gt;ROUNDUP(Y645/20,0),"Lần " &amp; ROUNDUP(Y646/20,0),"")</f>
        <v/>
      </c>
      <c r="AK646" s="11">
        <f>IF(ROUNDUP(Z646/20,0)&gt;ROUNDUP(Z645/20,0),"Lần " &amp; ROUNDUP(Z646/20,0),"")</f>
        <v/>
      </c>
      <c r="AL646" s="6" t="n"/>
      <c r="AN646" t="inlineStr">
        <is>
          <t>Coc</t>
        </is>
      </c>
      <c r="AO646" t="n">
        <v>19</v>
      </c>
    </row>
    <row r="647" ht="19" customHeight="1">
      <c r="A647" s="6" t="n">
        <v>615</v>
      </c>
      <c r="B647" s="7" t="inlineStr">
        <is>
          <t>Cọc khoan nhồi C5 Trụ T2 (D1.2m, L=30.0m)</t>
        </is>
      </c>
      <c r="C647" s="7" t="inlineStr">
        <is>
          <t>Cọc trụ T2 L=30m (tr.70)</t>
        </is>
      </c>
      <c r="D647" s="18" t="inlineStr">
        <is>
          <t>P10</t>
        </is>
      </c>
      <c r="E647" s="19" t="n">
        <v>20</v>
      </c>
      <c r="F647" s="6" t="inlineStr">
        <is>
          <t>CB400-V</t>
        </is>
      </c>
      <c r="G647" s="7" t="inlineStr"/>
      <c r="H647" s="20" t="n">
        <v>2.057</v>
      </c>
      <c r="I647" s="21" t="n">
        <v>1</v>
      </c>
      <c r="J647" s="22" t="n">
        <v>2.466</v>
      </c>
      <c r="K647" s="9">
        <f>ROUND(H647*I647*J647, 2)</f>
        <v/>
      </c>
      <c r="L647" s="23">
        <f>ROUND(K647/1000, 3)</f>
        <v/>
      </c>
      <c r="M647" s="8">
        <f>IF(AO647="","",IF(INDEX(Theo_Doi_Tan_Suat_Be_Tong!$C:$C,AO647)="","",INDEX(Theo_Doi_Tan_Suat_Be_Tong!$C:$C,AO647)-VLOOKUP(AN647,$AQ$2:$AR$7,2,FALSE)))</f>
        <v/>
      </c>
      <c r="N647" s="6" t="n"/>
      <c r="O647" s="24">
        <f>IF(ROUNDUP(U647/20,0)&gt;ROUNDUP(U646/20,0),"TN Ø20 (Lần " &amp; ROUNDUP(U647/20,0) &amp; ")","")</f>
        <v/>
      </c>
      <c r="P647" s="20">
        <f>ROUND(P646+IF(AND(E647&lt;=10,F647&lt;&gt;"ASTM A416"),L647,0),3)</f>
        <v/>
      </c>
      <c r="Q647" s="20">
        <f>ROUND(Q646+IF(AND(E647=12,F647&lt;&gt;"ASTM A416"),L647,0),3)</f>
        <v/>
      </c>
      <c r="R647" s="20">
        <f>ROUND(R646+IF(AND(E647=14,F647&lt;&gt;"ASTM A416"),L647,0),3)</f>
        <v/>
      </c>
      <c r="S647" s="20">
        <f>ROUND(S646+IF(AND(E647=16,F647&lt;&gt;"ASTM A416"),L647,0),3)</f>
        <v/>
      </c>
      <c r="T647" s="20">
        <f>ROUND(T646+IF(AND(E647=18,F647&lt;&gt;"ASTM A416"),L647,0),3)</f>
        <v/>
      </c>
      <c r="U647" s="20">
        <f>ROUND(U646+IF(AND(E647=20,F647&lt;&gt;"ASTM A416"),L647,0),3)</f>
        <v/>
      </c>
      <c r="V647" s="20">
        <f>ROUND(V646+IF(AND(E647=22,F647&lt;&gt;"ASTM A416"),L647,0),3)</f>
        <v/>
      </c>
      <c r="W647" s="20">
        <f>ROUND(W646+IF(AND(E647=25,F647&lt;&gt;"ASTM A416"),L647,0),3)</f>
        <v/>
      </c>
      <c r="X647" s="20">
        <f>ROUND(X646+IF(AND(E647=28,F647&lt;&gt;"ASTM A416"),L647,0),3)</f>
        <v/>
      </c>
      <c r="Y647" s="20">
        <f>ROUND(Y646+IF(AND(E647=32,F647&lt;&gt;"ASTM A416"),L647,0),3)</f>
        <v/>
      </c>
      <c r="Z647" s="20">
        <f>ROUND(Z646+IF(F647="ASTM A416",L647,0),3)</f>
        <v/>
      </c>
      <c r="AA647" s="11">
        <f>IF(ROUNDUP(P647/20,0)&gt;ROUNDUP(P646/20,0),"Lần " &amp; ROUNDUP(P647/20,0),"")</f>
        <v/>
      </c>
      <c r="AB647" s="11">
        <f>IF(ROUNDUP(Q647/20,0)&gt;ROUNDUP(Q646/20,0),"Lần " &amp; ROUNDUP(Q647/20,0),"")</f>
        <v/>
      </c>
      <c r="AC647" s="11">
        <f>IF(ROUNDUP(R647/20,0)&gt;ROUNDUP(R646/20,0),"Lần " &amp; ROUNDUP(R647/20,0),"")</f>
        <v/>
      </c>
      <c r="AD647" s="11">
        <f>IF(ROUNDUP(S647/20,0)&gt;ROUNDUP(S646/20,0),"Lần " &amp; ROUNDUP(S647/20,0),"")</f>
        <v/>
      </c>
      <c r="AE647" s="11">
        <f>IF(ROUNDUP(T647/20,0)&gt;ROUNDUP(T646/20,0),"Lần " &amp; ROUNDUP(T647/20,0),"")</f>
        <v/>
      </c>
      <c r="AF647" s="11">
        <f>IF(ROUNDUP(U647/20,0)&gt;ROUNDUP(U646/20,0),"Lần " &amp; ROUNDUP(U647/20,0),"")</f>
        <v/>
      </c>
      <c r="AG647" s="11">
        <f>IF(ROUNDUP(V647/20,0)&gt;ROUNDUP(V646/20,0),"Lần " &amp; ROUNDUP(V647/20,0),"")</f>
        <v/>
      </c>
      <c r="AH647" s="11">
        <f>IF(ROUNDUP(W647/20,0)&gt;ROUNDUP(W646/20,0),"Lần " &amp; ROUNDUP(W647/20,0),"")</f>
        <v/>
      </c>
      <c r="AI647" s="11">
        <f>IF(ROUNDUP(X647/20,0)&gt;ROUNDUP(X646/20,0),"Lần " &amp; ROUNDUP(X647/20,0),"")</f>
        <v/>
      </c>
      <c r="AJ647" s="11">
        <f>IF(ROUNDUP(Y647/20,0)&gt;ROUNDUP(Y646/20,0),"Lần " &amp; ROUNDUP(Y647/20,0),"")</f>
        <v/>
      </c>
      <c r="AK647" s="11">
        <f>IF(ROUNDUP(Z647/20,0)&gt;ROUNDUP(Z646/20,0),"Lần " &amp; ROUNDUP(Z647/20,0),"")</f>
        <v/>
      </c>
      <c r="AL647" s="6" t="n"/>
      <c r="AN647" t="inlineStr">
        <is>
          <t>Coc</t>
        </is>
      </c>
      <c r="AO647" t="n">
        <v>19</v>
      </c>
    </row>
    <row r="648" ht="19" customHeight="1">
      <c r="A648" s="6" t="n">
        <v>616</v>
      </c>
      <c r="B648" s="7" t="inlineStr">
        <is>
          <t>Cọc khoan nhồi C5 Trụ T2 (D1.2m, L=30.0m)</t>
        </is>
      </c>
      <c r="C648" s="7" t="inlineStr">
        <is>
          <t>Cọc trụ T2 L=30m (tr.70)</t>
        </is>
      </c>
      <c r="D648" s="18" t="inlineStr">
        <is>
          <t>P12</t>
        </is>
      </c>
      <c r="E648" s="19" t="n">
        <v>20</v>
      </c>
      <c r="F648" s="6" t="inlineStr">
        <is>
          <t>CB400-V</t>
        </is>
      </c>
      <c r="G648" s="7" t="inlineStr"/>
      <c r="H648" s="20" t="n">
        <v>0.583</v>
      </c>
      <c r="I648" s="21" t="n">
        <v>48</v>
      </c>
      <c r="J648" s="22" t="n">
        <v>2.466</v>
      </c>
      <c r="K648" s="9">
        <f>ROUND(H648*I648*J648, 2)</f>
        <v/>
      </c>
      <c r="L648" s="23">
        <f>ROUND(K648/1000, 3)</f>
        <v/>
      </c>
      <c r="M648" s="8">
        <f>IF(AO648="","",IF(INDEX(Theo_Doi_Tan_Suat_Be_Tong!$C:$C,AO648)="","",INDEX(Theo_Doi_Tan_Suat_Be_Tong!$C:$C,AO648)-VLOOKUP(AN648,$AQ$2:$AR$7,2,FALSE)))</f>
        <v/>
      </c>
      <c r="N648" s="6" t="n"/>
      <c r="O648" s="24">
        <f>IF(ROUNDUP(U648/20,0)&gt;ROUNDUP(U647/20,0),"TN Ø20 (Lần " &amp; ROUNDUP(U648/20,0) &amp; ")","")</f>
        <v/>
      </c>
      <c r="P648" s="20">
        <f>ROUND(P647+IF(AND(E648&lt;=10,F648&lt;&gt;"ASTM A416"),L648,0),3)</f>
        <v/>
      </c>
      <c r="Q648" s="20">
        <f>ROUND(Q647+IF(AND(E648=12,F648&lt;&gt;"ASTM A416"),L648,0),3)</f>
        <v/>
      </c>
      <c r="R648" s="20">
        <f>ROUND(R647+IF(AND(E648=14,F648&lt;&gt;"ASTM A416"),L648,0),3)</f>
        <v/>
      </c>
      <c r="S648" s="20">
        <f>ROUND(S647+IF(AND(E648=16,F648&lt;&gt;"ASTM A416"),L648,0),3)</f>
        <v/>
      </c>
      <c r="T648" s="20">
        <f>ROUND(T647+IF(AND(E648=18,F648&lt;&gt;"ASTM A416"),L648,0),3)</f>
        <v/>
      </c>
      <c r="U648" s="20">
        <f>ROUND(U647+IF(AND(E648=20,F648&lt;&gt;"ASTM A416"),L648,0),3)</f>
        <v/>
      </c>
      <c r="V648" s="20">
        <f>ROUND(V647+IF(AND(E648=22,F648&lt;&gt;"ASTM A416"),L648,0),3)</f>
        <v/>
      </c>
      <c r="W648" s="20">
        <f>ROUND(W647+IF(AND(E648=25,F648&lt;&gt;"ASTM A416"),L648,0),3)</f>
        <v/>
      </c>
      <c r="X648" s="20">
        <f>ROUND(X647+IF(AND(E648=28,F648&lt;&gt;"ASTM A416"),L648,0),3)</f>
        <v/>
      </c>
      <c r="Y648" s="20">
        <f>ROUND(Y647+IF(AND(E648=32,F648&lt;&gt;"ASTM A416"),L648,0),3)</f>
        <v/>
      </c>
      <c r="Z648" s="20">
        <f>ROUND(Z647+IF(F648="ASTM A416",L648,0),3)</f>
        <v/>
      </c>
      <c r="AA648" s="11">
        <f>IF(ROUNDUP(P648/20,0)&gt;ROUNDUP(P647/20,0),"Lần " &amp; ROUNDUP(P648/20,0),"")</f>
        <v/>
      </c>
      <c r="AB648" s="11">
        <f>IF(ROUNDUP(Q648/20,0)&gt;ROUNDUP(Q647/20,0),"Lần " &amp; ROUNDUP(Q648/20,0),"")</f>
        <v/>
      </c>
      <c r="AC648" s="11">
        <f>IF(ROUNDUP(R648/20,0)&gt;ROUNDUP(R647/20,0),"Lần " &amp; ROUNDUP(R648/20,0),"")</f>
        <v/>
      </c>
      <c r="AD648" s="11">
        <f>IF(ROUNDUP(S648/20,0)&gt;ROUNDUP(S647/20,0),"Lần " &amp; ROUNDUP(S648/20,0),"")</f>
        <v/>
      </c>
      <c r="AE648" s="11">
        <f>IF(ROUNDUP(T648/20,0)&gt;ROUNDUP(T647/20,0),"Lần " &amp; ROUNDUP(T648/20,0),"")</f>
        <v/>
      </c>
      <c r="AF648" s="11">
        <f>IF(ROUNDUP(U648/20,0)&gt;ROUNDUP(U647/20,0),"Lần " &amp; ROUNDUP(U648/20,0),"")</f>
        <v/>
      </c>
      <c r="AG648" s="11">
        <f>IF(ROUNDUP(V648/20,0)&gt;ROUNDUP(V647/20,0),"Lần " &amp; ROUNDUP(V648/20,0),"")</f>
        <v/>
      </c>
      <c r="AH648" s="11">
        <f>IF(ROUNDUP(W648/20,0)&gt;ROUNDUP(W647/20,0),"Lần " &amp; ROUNDUP(W648/20,0),"")</f>
        <v/>
      </c>
      <c r="AI648" s="11">
        <f>IF(ROUNDUP(X648/20,0)&gt;ROUNDUP(X647/20,0),"Lần " &amp; ROUNDUP(X648/20,0),"")</f>
        <v/>
      </c>
      <c r="AJ648" s="11">
        <f>IF(ROUNDUP(Y648/20,0)&gt;ROUNDUP(Y647/20,0),"Lần " &amp; ROUNDUP(Y648/20,0),"")</f>
        <v/>
      </c>
      <c r="AK648" s="11">
        <f>IF(ROUNDUP(Z648/20,0)&gt;ROUNDUP(Z647/20,0),"Lần " &amp; ROUNDUP(Z648/20,0),"")</f>
        <v/>
      </c>
      <c r="AL648" s="6" t="n"/>
      <c r="AN648" t="inlineStr">
        <is>
          <t>Coc</t>
        </is>
      </c>
      <c r="AO648" t="n">
        <v>19</v>
      </c>
    </row>
    <row r="649" ht="19" customHeight="1">
      <c r="A649" s="6" t="n">
        <v>617</v>
      </c>
      <c r="B649" s="7" t="inlineStr">
        <is>
          <t>Cọc khoan nhồi C5 Trụ T2 (D1.2m, L=30.0m)</t>
        </is>
      </c>
      <c r="C649" s="7" t="inlineStr">
        <is>
          <t>Cọc trụ T2 L=30m (tr.70)</t>
        </is>
      </c>
      <c r="D649" s="18" t="inlineStr">
        <is>
          <t>P11</t>
        </is>
      </c>
      <c r="E649" s="19" t="n">
        <v>16</v>
      </c>
      <c r="F649" s="6" t="inlineStr">
        <is>
          <t>CB400-V</t>
        </is>
      </c>
      <c r="G649" s="7" t="inlineStr"/>
      <c r="H649" s="20" t="n">
        <v>2.604</v>
      </c>
      <c r="I649" s="21" t="n">
        <v>4</v>
      </c>
      <c r="J649" s="22" t="n">
        <v>1.578</v>
      </c>
      <c r="K649" s="9">
        <f>ROUND(H649*I649*J649, 2)</f>
        <v/>
      </c>
      <c r="L649" s="23">
        <f>ROUND(K649/1000, 3)</f>
        <v/>
      </c>
      <c r="M649" s="8">
        <f>IF(AO649="","",IF(INDEX(Theo_Doi_Tan_Suat_Be_Tong!$C:$C,AO649)="","",INDEX(Theo_Doi_Tan_Suat_Be_Tong!$C:$C,AO649)-VLOOKUP(AN649,$AQ$2:$AR$7,2,FALSE)))</f>
        <v/>
      </c>
      <c r="N649" s="6" t="n"/>
      <c r="O649" s="24">
        <f>IF(ROUNDUP(S649/20,0)&gt;ROUNDUP(S648/20,0),"TN Ø16 (Lần " &amp; ROUNDUP(S649/20,0) &amp; ")","")</f>
        <v/>
      </c>
      <c r="P649" s="20">
        <f>ROUND(P648+IF(AND(E649&lt;=10,F649&lt;&gt;"ASTM A416"),L649,0),3)</f>
        <v/>
      </c>
      <c r="Q649" s="20">
        <f>ROUND(Q648+IF(AND(E649=12,F649&lt;&gt;"ASTM A416"),L649,0),3)</f>
        <v/>
      </c>
      <c r="R649" s="20">
        <f>ROUND(R648+IF(AND(E649=14,F649&lt;&gt;"ASTM A416"),L649,0),3)</f>
        <v/>
      </c>
      <c r="S649" s="20">
        <f>ROUND(S648+IF(AND(E649=16,F649&lt;&gt;"ASTM A416"),L649,0),3)</f>
        <v/>
      </c>
      <c r="T649" s="20">
        <f>ROUND(T648+IF(AND(E649=18,F649&lt;&gt;"ASTM A416"),L649,0),3)</f>
        <v/>
      </c>
      <c r="U649" s="20">
        <f>ROUND(U648+IF(AND(E649=20,F649&lt;&gt;"ASTM A416"),L649,0),3)</f>
        <v/>
      </c>
      <c r="V649" s="20">
        <f>ROUND(V648+IF(AND(E649=22,F649&lt;&gt;"ASTM A416"),L649,0),3)</f>
        <v/>
      </c>
      <c r="W649" s="20">
        <f>ROUND(W648+IF(AND(E649=25,F649&lt;&gt;"ASTM A416"),L649,0),3)</f>
        <v/>
      </c>
      <c r="X649" s="20">
        <f>ROUND(X648+IF(AND(E649=28,F649&lt;&gt;"ASTM A416"),L649,0),3)</f>
        <v/>
      </c>
      <c r="Y649" s="20">
        <f>ROUND(Y648+IF(AND(E649=32,F649&lt;&gt;"ASTM A416"),L649,0),3)</f>
        <v/>
      </c>
      <c r="Z649" s="20">
        <f>ROUND(Z648+IF(F649="ASTM A416",L649,0),3)</f>
        <v/>
      </c>
      <c r="AA649" s="11">
        <f>IF(ROUNDUP(P649/20,0)&gt;ROUNDUP(P648/20,0),"Lần " &amp; ROUNDUP(P649/20,0),"")</f>
        <v/>
      </c>
      <c r="AB649" s="11">
        <f>IF(ROUNDUP(Q649/20,0)&gt;ROUNDUP(Q648/20,0),"Lần " &amp; ROUNDUP(Q649/20,0),"")</f>
        <v/>
      </c>
      <c r="AC649" s="11">
        <f>IF(ROUNDUP(R649/20,0)&gt;ROUNDUP(R648/20,0),"Lần " &amp; ROUNDUP(R649/20,0),"")</f>
        <v/>
      </c>
      <c r="AD649" s="11">
        <f>IF(ROUNDUP(S649/20,0)&gt;ROUNDUP(S648/20,0),"Lần " &amp; ROUNDUP(S649/20,0),"")</f>
        <v/>
      </c>
      <c r="AE649" s="11">
        <f>IF(ROUNDUP(T649/20,0)&gt;ROUNDUP(T648/20,0),"Lần " &amp; ROUNDUP(T649/20,0),"")</f>
        <v/>
      </c>
      <c r="AF649" s="11">
        <f>IF(ROUNDUP(U649/20,0)&gt;ROUNDUP(U648/20,0),"Lần " &amp; ROUNDUP(U649/20,0),"")</f>
        <v/>
      </c>
      <c r="AG649" s="11">
        <f>IF(ROUNDUP(V649/20,0)&gt;ROUNDUP(V648/20,0),"Lần " &amp; ROUNDUP(V649/20,0),"")</f>
        <v/>
      </c>
      <c r="AH649" s="11">
        <f>IF(ROUNDUP(W649/20,0)&gt;ROUNDUP(W648/20,0),"Lần " &amp; ROUNDUP(W649/20,0),"")</f>
        <v/>
      </c>
      <c r="AI649" s="11">
        <f>IF(ROUNDUP(X649/20,0)&gt;ROUNDUP(X648/20,0),"Lần " &amp; ROUNDUP(X649/20,0),"")</f>
        <v/>
      </c>
      <c r="AJ649" s="11">
        <f>IF(ROUNDUP(Y649/20,0)&gt;ROUNDUP(Y648/20,0),"Lần " &amp; ROUNDUP(Y649/20,0),"")</f>
        <v/>
      </c>
      <c r="AK649" s="11">
        <f>IF(ROUNDUP(Z649/20,0)&gt;ROUNDUP(Z648/20,0),"Lần " &amp; ROUNDUP(Z649/20,0),"")</f>
        <v/>
      </c>
      <c r="AL649" s="6" t="n"/>
      <c r="AN649" t="inlineStr">
        <is>
          <t>Coc</t>
        </is>
      </c>
      <c r="AO649" t="n">
        <v>19</v>
      </c>
    </row>
    <row r="650" ht="19" customHeight="1">
      <c r="A650" s="17" t="inlineStr">
        <is>
          <t>--- CỌC KHOAN NHỒI C6 TRỤ T2 (D1.2M, L=30.0M) ---</t>
        </is>
      </c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4" t="n"/>
    </row>
    <row r="651" ht="19" customHeight="1">
      <c r="A651" s="6" t="n">
        <v>618</v>
      </c>
      <c r="B651" s="7" t="inlineStr">
        <is>
          <t>Cọc khoan nhồi C6 Trụ T2 (D1.2m, L=30.0m)</t>
        </is>
      </c>
      <c r="C651" s="7" t="inlineStr">
        <is>
          <t>Cọc trụ T2 L=30m (tr.70)</t>
        </is>
      </c>
      <c r="D651" s="18" t="inlineStr">
        <is>
          <t>P1</t>
        </is>
      </c>
      <c r="E651" s="19" t="n">
        <v>10</v>
      </c>
      <c r="F651" s="6" t="inlineStr">
        <is>
          <t>CB240-T</t>
        </is>
      </c>
      <c r="G651" s="7" t="inlineStr"/>
      <c r="H651" s="20" t="n">
        <v>96.604</v>
      </c>
      <c r="I651" s="21" t="n">
        <v>1</v>
      </c>
      <c r="J651" s="22" t="n">
        <v>0.617</v>
      </c>
      <c r="K651" s="9">
        <f>ROUND(H651*I651*J651, 2)</f>
        <v/>
      </c>
      <c r="L651" s="23">
        <f>ROUND(K651/1000, 3)</f>
        <v/>
      </c>
      <c r="M651" s="8">
        <f>IF(AO651="","",IF(INDEX(Theo_Doi_Tan_Suat_Be_Tong!$C:$C,AO651)="","",INDEX(Theo_Doi_Tan_Suat_Be_Tong!$C:$C,AO651)-VLOOKUP(AN651,$AQ$2:$AR$7,2,FALSE)))</f>
        <v/>
      </c>
      <c r="N651" s="6" t="n"/>
      <c r="O651" s="24">
        <f>IF(ROUNDUP(P651/20,0)&gt;ROUNDUP(P649/20,0),"TN Ø10 (Lần " &amp; ROUNDUP(P651/20,0) &amp; ")","")</f>
        <v/>
      </c>
      <c r="P651" s="20">
        <f>ROUND(P649+IF(AND(E651&lt;=10,F651&lt;&gt;"ASTM A416"),L651,0),3)</f>
        <v/>
      </c>
      <c r="Q651" s="20">
        <f>ROUND(Q649+IF(AND(E651=12,F651&lt;&gt;"ASTM A416"),L651,0),3)</f>
        <v/>
      </c>
      <c r="R651" s="20">
        <f>ROUND(R649+IF(AND(E651=14,F651&lt;&gt;"ASTM A416"),L651,0),3)</f>
        <v/>
      </c>
      <c r="S651" s="20">
        <f>ROUND(S649+IF(AND(E651=16,F651&lt;&gt;"ASTM A416"),L651,0),3)</f>
        <v/>
      </c>
      <c r="T651" s="20">
        <f>ROUND(T649+IF(AND(E651=18,F651&lt;&gt;"ASTM A416"),L651,0),3)</f>
        <v/>
      </c>
      <c r="U651" s="20">
        <f>ROUND(U649+IF(AND(E651=20,F651&lt;&gt;"ASTM A416"),L651,0),3)</f>
        <v/>
      </c>
      <c r="V651" s="20">
        <f>ROUND(V649+IF(AND(E651=22,F651&lt;&gt;"ASTM A416"),L651,0),3)</f>
        <v/>
      </c>
      <c r="W651" s="20">
        <f>ROUND(W649+IF(AND(E651=25,F651&lt;&gt;"ASTM A416"),L651,0),3)</f>
        <v/>
      </c>
      <c r="X651" s="20">
        <f>ROUND(X649+IF(AND(E651=28,F651&lt;&gt;"ASTM A416"),L651,0),3)</f>
        <v/>
      </c>
      <c r="Y651" s="20">
        <f>ROUND(Y649+IF(AND(E651=32,F651&lt;&gt;"ASTM A416"),L651,0),3)</f>
        <v/>
      </c>
      <c r="Z651" s="20">
        <f>ROUND(Z649+IF(F651="ASTM A416",L651,0),3)</f>
        <v/>
      </c>
      <c r="AA651" s="11">
        <f>IF(ROUNDUP(P651/20,0)&gt;ROUNDUP(P649/20,0),"Lần " &amp; ROUNDUP(P651/20,0),"")</f>
        <v/>
      </c>
      <c r="AB651" s="11">
        <f>IF(ROUNDUP(Q651/20,0)&gt;ROUNDUP(Q649/20,0),"Lần " &amp; ROUNDUP(Q651/20,0),"")</f>
        <v/>
      </c>
      <c r="AC651" s="11">
        <f>IF(ROUNDUP(R651/20,0)&gt;ROUNDUP(R649/20,0),"Lần " &amp; ROUNDUP(R651/20,0),"")</f>
        <v/>
      </c>
      <c r="AD651" s="11">
        <f>IF(ROUNDUP(S651/20,0)&gt;ROUNDUP(S649/20,0),"Lần " &amp; ROUNDUP(S651/20,0),"")</f>
        <v/>
      </c>
      <c r="AE651" s="11">
        <f>IF(ROUNDUP(T651/20,0)&gt;ROUNDUP(T649/20,0),"Lần " &amp; ROUNDUP(T651/20,0),"")</f>
        <v/>
      </c>
      <c r="AF651" s="11">
        <f>IF(ROUNDUP(U651/20,0)&gt;ROUNDUP(U649/20,0),"Lần " &amp; ROUNDUP(U651/20,0),"")</f>
        <v/>
      </c>
      <c r="AG651" s="11">
        <f>IF(ROUNDUP(V651/20,0)&gt;ROUNDUP(V649/20,0),"Lần " &amp; ROUNDUP(V651/20,0),"")</f>
        <v/>
      </c>
      <c r="AH651" s="11">
        <f>IF(ROUNDUP(W651/20,0)&gt;ROUNDUP(W649/20,0),"Lần " &amp; ROUNDUP(W651/20,0),"")</f>
        <v/>
      </c>
      <c r="AI651" s="11">
        <f>IF(ROUNDUP(X651/20,0)&gt;ROUNDUP(X649/20,0),"Lần " &amp; ROUNDUP(X651/20,0),"")</f>
        <v/>
      </c>
      <c r="AJ651" s="11">
        <f>IF(ROUNDUP(Y651/20,0)&gt;ROUNDUP(Y649/20,0),"Lần " &amp; ROUNDUP(Y651/20,0),"")</f>
        <v/>
      </c>
      <c r="AK651" s="11">
        <f>IF(ROUNDUP(Z651/20,0)&gt;ROUNDUP(Z649/20,0),"Lần " &amp; ROUNDUP(Z651/20,0),"")</f>
        <v/>
      </c>
      <c r="AL651" s="6" t="n"/>
      <c r="AN651" t="inlineStr">
        <is>
          <t>Coc</t>
        </is>
      </c>
      <c r="AO651" t="n">
        <v>20</v>
      </c>
    </row>
    <row r="652" ht="19" customHeight="1">
      <c r="A652" s="6" t="n">
        <v>619</v>
      </c>
      <c r="B652" s="7" t="inlineStr">
        <is>
          <t>Cọc khoan nhồi C6 Trụ T2 (D1.2m, L=30.0m)</t>
        </is>
      </c>
      <c r="C652" s="7" t="inlineStr">
        <is>
          <t>Cọc trụ T2 L=30m (tr.70)</t>
        </is>
      </c>
      <c r="D652" s="18" t="inlineStr">
        <is>
          <t>P1A</t>
        </is>
      </c>
      <c r="E652" s="19" t="n">
        <v>10</v>
      </c>
      <c r="F652" s="6" t="inlineStr">
        <is>
          <t>CB240-T</t>
        </is>
      </c>
      <c r="G652" s="7" t="inlineStr"/>
      <c r="H652" s="20" t="n">
        <v>389.636</v>
      </c>
      <c r="I652" s="21" t="n">
        <v>1</v>
      </c>
      <c r="J652" s="22" t="n">
        <v>0.617</v>
      </c>
      <c r="K652" s="9">
        <f>ROUND(H652*I652*J652, 2)</f>
        <v/>
      </c>
      <c r="L652" s="23">
        <f>ROUND(K652/1000, 3)</f>
        <v/>
      </c>
      <c r="M652" s="8">
        <f>IF(AO652="","",IF(INDEX(Theo_Doi_Tan_Suat_Be_Tong!$C:$C,AO652)="","",INDEX(Theo_Doi_Tan_Suat_Be_Tong!$C:$C,AO652)-VLOOKUP(AN652,$AQ$2:$AR$7,2,FALSE)))</f>
        <v/>
      </c>
      <c r="N652" s="6" t="n"/>
      <c r="O652" s="24">
        <f>IF(ROUNDUP(P652/20,0)&gt;ROUNDUP(P651/20,0),"TN Ø10 (Lần " &amp; ROUNDUP(P652/20,0) &amp; ")","")</f>
        <v/>
      </c>
      <c r="P652" s="20">
        <f>ROUND(P651+IF(AND(E652&lt;=10,F652&lt;&gt;"ASTM A416"),L652,0),3)</f>
        <v/>
      </c>
      <c r="Q652" s="20">
        <f>ROUND(Q651+IF(AND(E652=12,F652&lt;&gt;"ASTM A416"),L652,0),3)</f>
        <v/>
      </c>
      <c r="R652" s="20">
        <f>ROUND(R651+IF(AND(E652=14,F652&lt;&gt;"ASTM A416"),L652,0),3)</f>
        <v/>
      </c>
      <c r="S652" s="20">
        <f>ROUND(S651+IF(AND(E652=16,F652&lt;&gt;"ASTM A416"),L652,0),3)</f>
        <v/>
      </c>
      <c r="T652" s="20">
        <f>ROUND(T651+IF(AND(E652=18,F652&lt;&gt;"ASTM A416"),L652,0),3)</f>
        <v/>
      </c>
      <c r="U652" s="20">
        <f>ROUND(U651+IF(AND(E652=20,F652&lt;&gt;"ASTM A416"),L652,0),3)</f>
        <v/>
      </c>
      <c r="V652" s="20">
        <f>ROUND(V651+IF(AND(E652=22,F652&lt;&gt;"ASTM A416"),L652,0),3)</f>
        <v/>
      </c>
      <c r="W652" s="20">
        <f>ROUND(W651+IF(AND(E652=25,F652&lt;&gt;"ASTM A416"),L652,0),3)</f>
        <v/>
      </c>
      <c r="X652" s="20">
        <f>ROUND(X651+IF(AND(E652=28,F652&lt;&gt;"ASTM A416"),L652,0),3)</f>
        <v/>
      </c>
      <c r="Y652" s="20">
        <f>ROUND(Y651+IF(AND(E652=32,F652&lt;&gt;"ASTM A416"),L652,0),3)</f>
        <v/>
      </c>
      <c r="Z652" s="20">
        <f>ROUND(Z651+IF(F652="ASTM A416",L652,0),3)</f>
        <v/>
      </c>
      <c r="AA652" s="11">
        <f>IF(ROUNDUP(P652/20,0)&gt;ROUNDUP(P651/20,0),"Lần " &amp; ROUNDUP(P652/20,0),"")</f>
        <v/>
      </c>
      <c r="AB652" s="11">
        <f>IF(ROUNDUP(Q652/20,0)&gt;ROUNDUP(Q651/20,0),"Lần " &amp; ROUNDUP(Q652/20,0),"")</f>
        <v/>
      </c>
      <c r="AC652" s="11">
        <f>IF(ROUNDUP(R652/20,0)&gt;ROUNDUP(R651/20,0),"Lần " &amp; ROUNDUP(R652/20,0),"")</f>
        <v/>
      </c>
      <c r="AD652" s="11">
        <f>IF(ROUNDUP(S652/20,0)&gt;ROUNDUP(S651/20,0),"Lần " &amp; ROUNDUP(S652/20,0),"")</f>
        <v/>
      </c>
      <c r="AE652" s="11">
        <f>IF(ROUNDUP(T652/20,0)&gt;ROUNDUP(T651/20,0),"Lần " &amp; ROUNDUP(T652/20,0),"")</f>
        <v/>
      </c>
      <c r="AF652" s="11">
        <f>IF(ROUNDUP(U652/20,0)&gt;ROUNDUP(U651/20,0),"Lần " &amp; ROUNDUP(U652/20,0),"")</f>
        <v/>
      </c>
      <c r="AG652" s="11">
        <f>IF(ROUNDUP(V652/20,0)&gt;ROUNDUP(V651/20,0),"Lần " &amp; ROUNDUP(V652/20,0),"")</f>
        <v/>
      </c>
      <c r="AH652" s="11">
        <f>IF(ROUNDUP(W652/20,0)&gt;ROUNDUP(W651/20,0),"Lần " &amp; ROUNDUP(W652/20,0),"")</f>
        <v/>
      </c>
      <c r="AI652" s="11">
        <f>IF(ROUNDUP(X652/20,0)&gt;ROUNDUP(X651/20,0),"Lần " &amp; ROUNDUP(X652/20,0),"")</f>
        <v/>
      </c>
      <c r="AJ652" s="11">
        <f>IF(ROUNDUP(Y652/20,0)&gt;ROUNDUP(Y651/20,0),"Lần " &amp; ROUNDUP(Y652/20,0),"")</f>
        <v/>
      </c>
      <c r="AK652" s="11">
        <f>IF(ROUNDUP(Z652/20,0)&gt;ROUNDUP(Z651/20,0),"Lần " &amp; ROUNDUP(Z652/20,0),"")</f>
        <v/>
      </c>
      <c r="AL652" s="6" t="n"/>
      <c r="AN652" t="inlineStr">
        <is>
          <t>Coc</t>
        </is>
      </c>
      <c r="AO652" t="n">
        <v>20</v>
      </c>
    </row>
    <row r="653" ht="19" customHeight="1">
      <c r="A653" s="6" t="n">
        <v>620</v>
      </c>
      <c r="B653" s="7" t="inlineStr">
        <is>
          <t>Cọc khoan nhồi C6 Trụ T2 (D1.2m, L=30.0m)</t>
        </is>
      </c>
      <c r="C653" s="7" t="inlineStr">
        <is>
          <t>Cọc trụ T2 L=30m (tr.70)</t>
        </is>
      </c>
      <c r="D653" s="18" t="inlineStr">
        <is>
          <t>P1B</t>
        </is>
      </c>
      <c r="E653" s="19" t="n">
        <v>10</v>
      </c>
      <c r="F653" s="6" t="inlineStr">
        <is>
          <t>CB240-T</t>
        </is>
      </c>
      <c r="G653" s="7" t="inlineStr"/>
      <c r="H653" s="20" t="n">
        <v>100.256</v>
      </c>
      <c r="I653" s="21" t="n">
        <v>1</v>
      </c>
      <c r="J653" s="22" t="n">
        <v>0.617</v>
      </c>
      <c r="K653" s="9">
        <f>ROUND(H653*I653*J653, 2)</f>
        <v/>
      </c>
      <c r="L653" s="23">
        <f>ROUND(K653/1000, 3)</f>
        <v/>
      </c>
      <c r="M653" s="8">
        <f>IF(AO653="","",IF(INDEX(Theo_Doi_Tan_Suat_Be_Tong!$C:$C,AO653)="","",INDEX(Theo_Doi_Tan_Suat_Be_Tong!$C:$C,AO653)-VLOOKUP(AN653,$AQ$2:$AR$7,2,FALSE)))</f>
        <v/>
      </c>
      <c r="N653" s="6" t="n"/>
      <c r="O653" s="24">
        <f>IF(ROUNDUP(P653/20,0)&gt;ROUNDUP(P652/20,0),"TN Ø10 (Lần " &amp; ROUNDUP(P653/20,0) &amp; ")","")</f>
        <v/>
      </c>
      <c r="P653" s="20">
        <f>ROUND(P652+IF(AND(E653&lt;=10,F653&lt;&gt;"ASTM A416"),L653,0),3)</f>
        <v/>
      </c>
      <c r="Q653" s="20">
        <f>ROUND(Q652+IF(AND(E653=12,F653&lt;&gt;"ASTM A416"),L653,0),3)</f>
        <v/>
      </c>
      <c r="R653" s="20">
        <f>ROUND(R652+IF(AND(E653=14,F653&lt;&gt;"ASTM A416"),L653,0),3)</f>
        <v/>
      </c>
      <c r="S653" s="20">
        <f>ROUND(S652+IF(AND(E653=16,F653&lt;&gt;"ASTM A416"),L653,0),3)</f>
        <v/>
      </c>
      <c r="T653" s="20">
        <f>ROUND(T652+IF(AND(E653=18,F653&lt;&gt;"ASTM A416"),L653,0),3)</f>
        <v/>
      </c>
      <c r="U653" s="20">
        <f>ROUND(U652+IF(AND(E653=20,F653&lt;&gt;"ASTM A416"),L653,0),3)</f>
        <v/>
      </c>
      <c r="V653" s="20">
        <f>ROUND(V652+IF(AND(E653=22,F653&lt;&gt;"ASTM A416"),L653,0),3)</f>
        <v/>
      </c>
      <c r="W653" s="20">
        <f>ROUND(W652+IF(AND(E653=25,F653&lt;&gt;"ASTM A416"),L653,0),3)</f>
        <v/>
      </c>
      <c r="X653" s="20">
        <f>ROUND(X652+IF(AND(E653=28,F653&lt;&gt;"ASTM A416"),L653,0),3)</f>
        <v/>
      </c>
      <c r="Y653" s="20">
        <f>ROUND(Y652+IF(AND(E653=32,F653&lt;&gt;"ASTM A416"),L653,0),3)</f>
        <v/>
      </c>
      <c r="Z653" s="20">
        <f>ROUND(Z652+IF(F653="ASTM A416",L653,0),3)</f>
        <v/>
      </c>
      <c r="AA653" s="11">
        <f>IF(ROUNDUP(P653/20,0)&gt;ROUNDUP(P652/20,0),"Lần " &amp; ROUNDUP(P653/20,0),"")</f>
        <v/>
      </c>
      <c r="AB653" s="11">
        <f>IF(ROUNDUP(Q653/20,0)&gt;ROUNDUP(Q652/20,0),"Lần " &amp; ROUNDUP(Q653/20,0),"")</f>
        <v/>
      </c>
      <c r="AC653" s="11">
        <f>IF(ROUNDUP(R653/20,0)&gt;ROUNDUP(R652/20,0),"Lần " &amp; ROUNDUP(R653/20,0),"")</f>
        <v/>
      </c>
      <c r="AD653" s="11">
        <f>IF(ROUNDUP(S653/20,0)&gt;ROUNDUP(S652/20,0),"Lần " &amp; ROUNDUP(S653/20,0),"")</f>
        <v/>
      </c>
      <c r="AE653" s="11">
        <f>IF(ROUNDUP(T653/20,0)&gt;ROUNDUP(T652/20,0),"Lần " &amp; ROUNDUP(T653/20,0),"")</f>
        <v/>
      </c>
      <c r="AF653" s="11">
        <f>IF(ROUNDUP(U653/20,0)&gt;ROUNDUP(U652/20,0),"Lần " &amp; ROUNDUP(U653/20,0),"")</f>
        <v/>
      </c>
      <c r="AG653" s="11">
        <f>IF(ROUNDUP(V653/20,0)&gt;ROUNDUP(V652/20,0),"Lần " &amp; ROUNDUP(V653/20,0),"")</f>
        <v/>
      </c>
      <c r="AH653" s="11">
        <f>IF(ROUNDUP(W653/20,0)&gt;ROUNDUP(W652/20,0),"Lần " &amp; ROUNDUP(W653/20,0),"")</f>
        <v/>
      </c>
      <c r="AI653" s="11">
        <f>IF(ROUNDUP(X653/20,0)&gt;ROUNDUP(X652/20,0),"Lần " &amp; ROUNDUP(X653/20,0),"")</f>
        <v/>
      </c>
      <c r="AJ653" s="11">
        <f>IF(ROUNDUP(Y653/20,0)&gt;ROUNDUP(Y652/20,0),"Lần " &amp; ROUNDUP(Y653/20,0),"")</f>
        <v/>
      </c>
      <c r="AK653" s="11">
        <f>IF(ROUNDUP(Z653/20,0)&gt;ROUNDUP(Z652/20,0),"Lần " &amp; ROUNDUP(Z653/20,0),"")</f>
        <v/>
      </c>
      <c r="AL653" s="6" t="n"/>
      <c r="AN653" t="inlineStr">
        <is>
          <t>Coc</t>
        </is>
      </c>
      <c r="AO653" t="n">
        <v>20</v>
      </c>
    </row>
    <row r="654" ht="19" customHeight="1">
      <c r="A654" s="6" t="n">
        <v>621</v>
      </c>
      <c r="B654" s="7" t="inlineStr">
        <is>
          <t>Cọc khoan nhồi C6 Trụ T2 (D1.2m, L=30.0m)</t>
        </is>
      </c>
      <c r="C654" s="7" t="inlineStr">
        <is>
          <t>Cọc trụ T2 L=30m (tr.70)</t>
        </is>
      </c>
      <c r="D654" s="18" t="inlineStr">
        <is>
          <t>P1C</t>
        </is>
      </c>
      <c r="E654" s="19" t="n">
        <v>10</v>
      </c>
      <c r="F654" s="6" t="inlineStr">
        <is>
          <t>CB240-T</t>
        </is>
      </c>
      <c r="G654" s="7" t="inlineStr"/>
      <c r="H654" s="20" t="n">
        <v>3.592</v>
      </c>
      <c r="I654" s="21" t="n">
        <v>2</v>
      </c>
      <c r="J654" s="22" t="n">
        <v>0.617</v>
      </c>
      <c r="K654" s="9">
        <f>ROUND(H654*I654*J654, 2)</f>
        <v/>
      </c>
      <c r="L654" s="23">
        <f>ROUND(K654/1000, 3)</f>
        <v/>
      </c>
      <c r="M654" s="8">
        <f>IF(AO654="","",IF(INDEX(Theo_Doi_Tan_Suat_Be_Tong!$C:$C,AO654)="","",INDEX(Theo_Doi_Tan_Suat_Be_Tong!$C:$C,AO654)-VLOOKUP(AN654,$AQ$2:$AR$7,2,FALSE)))</f>
        <v/>
      </c>
      <c r="N654" s="6" t="n"/>
      <c r="O654" s="24">
        <f>IF(ROUNDUP(P654/20,0)&gt;ROUNDUP(P653/20,0),"TN Ø10 (Lần " &amp; ROUNDUP(P654/20,0) &amp; ")","")</f>
        <v/>
      </c>
      <c r="P654" s="20">
        <f>ROUND(P653+IF(AND(E654&lt;=10,F654&lt;&gt;"ASTM A416"),L654,0),3)</f>
        <v/>
      </c>
      <c r="Q654" s="20">
        <f>ROUND(Q653+IF(AND(E654=12,F654&lt;&gt;"ASTM A416"),L654,0),3)</f>
        <v/>
      </c>
      <c r="R654" s="20">
        <f>ROUND(R653+IF(AND(E654=14,F654&lt;&gt;"ASTM A416"),L654,0),3)</f>
        <v/>
      </c>
      <c r="S654" s="20">
        <f>ROUND(S653+IF(AND(E654=16,F654&lt;&gt;"ASTM A416"),L654,0),3)</f>
        <v/>
      </c>
      <c r="T654" s="20">
        <f>ROUND(T653+IF(AND(E654=18,F654&lt;&gt;"ASTM A416"),L654,0),3)</f>
        <v/>
      </c>
      <c r="U654" s="20">
        <f>ROUND(U653+IF(AND(E654=20,F654&lt;&gt;"ASTM A416"),L654,0),3)</f>
        <v/>
      </c>
      <c r="V654" s="20">
        <f>ROUND(V653+IF(AND(E654=22,F654&lt;&gt;"ASTM A416"),L654,0),3)</f>
        <v/>
      </c>
      <c r="W654" s="20">
        <f>ROUND(W653+IF(AND(E654=25,F654&lt;&gt;"ASTM A416"),L654,0),3)</f>
        <v/>
      </c>
      <c r="X654" s="20">
        <f>ROUND(X653+IF(AND(E654=28,F654&lt;&gt;"ASTM A416"),L654,0),3)</f>
        <v/>
      </c>
      <c r="Y654" s="20">
        <f>ROUND(Y653+IF(AND(E654=32,F654&lt;&gt;"ASTM A416"),L654,0),3)</f>
        <v/>
      </c>
      <c r="Z654" s="20">
        <f>ROUND(Z653+IF(F654="ASTM A416",L654,0),3)</f>
        <v/>
      </c>
      <c r="AA654" s="11">
        <f>IF(ROUNDUP(P654/20,0)&gt;ROUNDUP(P653/20,0),"Lần " &amp; ROUNDUP(P654/20,0),"")</f>
        <v/>
      </c>
      <c r="AB654" s="11">
        <f>IF(ROUNDUP(Q654/20,0)&gt;ROUNDUP(Q653/20,0),"Lần " &amp; ROUNDUP(Q654/20,0),"")</f>
        <v/>
      </c>
      <c r="AC654" s="11">
        <f>IF(ROUNDUP(R654/20,0)&gt;ROUNDUP(R653/20,0),"Lần " &amp; ROUNDUP(R654/20,0),"")</f>
        <v/>
      </c>
      <c r="AD654" s="11">
        <f>IF(ROUNDUP(S654/20,0)&gt;ROUNDUP(S653/20,0),"Lần " &amp; ROUNDUP(S654/20,0),"")</f>
        <v/>
      </c>
      <c r="AE654" s="11">
        <f>IF(ROUNDUP(T654/20,0)&gt;ROUNDUP(T653/20,0),"Lần " &amp; ROUNDUP(T654/20,0),"")</f>
        <v/>
      </c>
      <c r="AF654" s="11">
        <f>IF(ROUNDUP(U654/20,0)&gt;ROUNDUP(U653/20,0),"Lần " &amp; ROUNDUP(U654/20,0),"")</f>
        <v/>
      </c>
      <c r="AG654" s="11">
        <f>IF(ROUNDUP(V654/20,0)&gt;ROUNDUP(V653/20,0),"Lần " &amp; ROUNDUP(V654/20,0),"")</f>
        <v/>
      </c>
      <c r="AH654" s="11">
        <f>IF(ROUNDUP(W654/20,0)&gt;ROUNDUP(W653/20,0),"Lần " &amp; ROUNDUP(W654/20,0),"")</f>
        <v/>
      </c>
      <c r="AI654" s="11">
        <f>IF(ROUNDUP(X654/20,0)&gt;ROUNDUP(X653/20,0),"Lần " &amp; ROUNDUP(X654/20,0),"")</f>
        <v/>
      </c>
      <c r="AJ654" s="11">
        <f>IF(ROUNDUP(Y654/20,0)&gt;ROUNDUP(Y653/20,0),"Lần " &amp; ROUNDUP(Y654/20,0),"")</f>
        <v/>
      </c>
      <c r="AK654" s="11">
        <f>IF(ROUNDUP(Z654/20,0)&gt;ROUNDUP(Z653/20,0),"Lần " &amp; ROUNDUP(Z654/20,0),"")</f>
        <v/>
      </c>
      <c r="AL654" s="6" t="n"/>
      <c r="AN654" t="inlineStr">
        <is>
          <t>Coc</t>
        </is>
      </c>
      <c r="AO654" t="n">
        <v>20</v>
      </c>
    </row>
    <row r="655" ht="19" customHeight="1">
      <c r="A655" s="6" t="n">
        <v>622</v>
      </c>
      <c r="B655" s="7" t="inlineStr">
        <is>
          <t>Cọc khoan nhồi C6 Trụ T2 (D1.2m, L=30.0m)</t>
        </is>
      </c>
      <c r="C655" s="7" t="inlineStr">
        <is>
          <t>Cọc trụ T2 L=30m (tr.70)</t>
        </is>
      </c>
      <c r="D655" s="18" t="inlineStr">
        <is>
          <t>P1D</t>
        </is>
      </c>
      <c r="E655" s="19" t="n">
        <v>10</v>
      </c>
      <c r="F655" s="6" t="inlineStr">
        <is>
          <t>CB240-T</t>
        </is>
      </c>
      <c r="G655" s="7" t="inlineStr"/>
      <c r="H655" s="20" t="n">
        <v>19.721</v>
      </c>
      <c r="I655" s="21" t="n">
        <v>1</v>
      </c>
      <c r="J655" s="22" t="n">
        <v>0.617</v>
      </c>
      <c r="K655" s="9">
        <f>ROUND(H655*I655*J655, 2)</f>
        <v/>
      </c>
      <c r="L655" s="23">
        <f>ROUND(K655/1000, 3)</f>
        <v/>
      </c>
      <c r="M655" s="8">
        <f>IF(AO655="","",IF(INDEX(Theo_Doi_Tan_Suat_Be_Tong!$C:$C,AO655)="","",INDEX(Theo_Doi_Tan_Suat_Be_Tong!$C:$C,AO655)-VLOOKUP(AN655,$AQ$2:$AR$7,2,FALSE)))</f>
        <v/>
      </c>
      <c r="N655" s="6" t="n"/>
      <c r="O655" s="24">
        <f>IF(ROUNDUP(P655/20,0)&gt;ROUNDUP(P654/20,0),"TN Ø10 (Lần " &amp; ROUNDUP(P655/20,0) &amp; ")","")</f>
        <v/>
      </c>
      <c r="P655" s="20">
        <f>ROUND(P654+IF(AND(E655&lt;=10,F655&lt;&gt;"ASTM A416"),L655,0),3)</f>
        <v/>
      </c>
      <c r="Q655" s="20">
        <f>ROUND(Q654+IF(AND(E655=12,F655&lt;&gt;"ASTM A416"),L655,0),3)</f>
        <v/>
      </c>
      <c r="R655" s="20">
        <f>ROUND(R654+IF(AND(E655=14,F655&lt;&gt;"ASTM A416"),L655,0),3)</f>
        <v/>
      </c>
      <c r="S655" s="20">
        <f>ROUND(S654+IF(AND(E655=16,F655&lt;&gt;"ASTM A416"),L655,0),3)</f>
        <v/>
      </c>
      <c r="T655" s="20">
        <f>ROUND(T654+IF(AND(E655=18,F655&lt;&gt;"ASTM A416"),L655,0),3)</f>
        <v/>
      </c>
      <c r="U655" s="20">
        <f>ROUND(U654+IF(AND(E655=20,F655&lt;&gt;"ASTM A416"),L655,0),3)</f>
        <v/>
      </c>
      <c r="V655" s="20">
        <f>ROUND(V654+IF(AND(E655=22,F655&lt;&gt;"ASTM A416"),L655,0),3)</f>
        <v/>
      </c>
      <c r="W655" s="20">
        <f>ROUND(W654+IF(AND(E655=25,F655&lt;&gt;"ASTM A416"),L655,0),3)</f>
        <v/>
      </c>
      <c r="X655" s="20">
        <f>ROUND(X654+IF(AND(E655=28,F655&lt;&gt;"ASTM A416"),L655,0),3)</f>
        <v/>
      </c>
      <c r="Y655" s="20">
        <f>ROUND(Y654+IF(AND(E655=32,F655&lt;&gt;"ASTM A416"),L655,0),3)</f>
        <v/>
      </c>
      <c r="Z655" s="20">
        <f>ROUND(Z654+IF(F655="ASTM A416",L655,0),3)</f>
        <v/>
      </c>
      <c r="AA655" s="11">
        <f>IF(ROUNDUP(P655/20,0)&gt;ROUNDUP(P654/20,0),"Lần " &amp; ROUNDUP(P655/20,0),"")</f>
        <v/>
      </c>
      <c r="AB655" s="11">
        <f>IF(ROUNDUP(Q655/20,0)&gt;ROUNDUP(Q654/20,0),"Lần " &amp; ROUNDUP(Q655/20,0),"")</f>
        <v/>
      </c>
      <c r="AC655" s="11">
        <f>IF(ROUNDUP(R655/20,0)&gt;ROUNDUP(R654/20,0),"Lần " &amp; ROUNDUP(R655/20,0),"")</f>
        <v/>
      </c>
      <c r="AD655" s="11">
        <f>IF(ROUNDUP(S655/20,0)&gt;ROUNDUP(S654/20,0),"Lần " &amp; ROUNDUP(S655/20,0),"")</f>
        <v/>
      </c>
      <c r="AE655" s="11">
        <f>IF(ROUNDUP(T655/20,0)&gt;ROUNDUP(T654/20,0),"Lần " &amp; ROUNDUP(T655/20,0),"")</f>
        <v/>
      </c>
      <c r="AF655" s="11">
        <f>IF(ROUNDUP(U655/20,0)&gt;ROUNDUP(U654/20,0),"Lần " &amp; ROUNDUP(U655/20,0),"")</f>
        <v/>
      </c>
      <c r="AG655" s="11">
        <f>IF(ROUNDUP(V655/20,0)&gt;ROUNDUP(V654/20,0),"Lần " &amp; ROUNDUP(V655/20,0),"")</f>
        <v/>
      </c>
      <c r="AH655" s="11">
        <f>IF(ROUNDUP(W655/20,0)&gt;ROUNDUP(W654/20,0),"Lần " &amp; ROUNDUP(W655/20,0),"")</f>
        <v/>
      </c>
      <c r="AI655" s="11">
        <f>IF(ROUNDUP(X655/20,0)&gt;ROUNDUP(X654/20,0),"Lần " &amp; ROUNDUP(X655/20,0),"")</f>
        <v/>
      </c>
      <c r="AJ655" s="11">
        <f>IF(ROUNDUP(Y655/20,0)&gt;ROUNDUP(Y654/20,0),"Lần " &amp; ROUNDUP(Y655/20,0),"")</f>
        <v/>
      </c>
      <c r="AK655" s="11">
        <f>IF(ROUNDUP(Z655/20,0)&gt;ROUNDUP(Z654/20,0),"Lần " &amp; ROUNDUP(Z655/20,0),"")</f>
        <v/>
      </c>
      <c r="AL655" s="6" t="n"/>
      <c r="AN655" t="inlineStr">
        <is>
          <t>Coc</t>
        </is>
      </c>
      <c r="AO655" t="n">
        <v>20</v>
      </c>
    </row>
    <row r="656" ht="19" customHeight="1">
      <c r="A656" s="6" t="n">
        <v>623</v>
      </c>
      <c r="B656" s="7" t="inlineStr">
        <is>
          <t>Cọc khoan nhồi C6 Trụ T2 (D1.2m, L=30.0m)</t>
        </is>
      </c>
      <c r="C656" s="7" t="inlineStr">
        <is>
          <t>Cọc trụ T2 L=30m (tr.70)</t>
        </is>
      </c>
      <c r="D656" s="18" t="inlineStr">
        <is>
          <t>P2B</t>
        </is>
      </c>
      <c r="E656" s="19" t="n">
        <v>25</v>
      </c>
      <c r="F656" s="6" t="inlineStr">
        <is>
          <t>CB400-V</t>
        </is>
      </c>
      <c r="G656" s="7" t="inlineStr"/>
      <c r="H656" s="20" t="n">
        <v>2.985</v>
      </c>
      <c r="I656" s="21" t="n">
        <v>12</v>
      </c>
      <c r="J656" s="22" t="n">
        <v>3.853</v>
      </c>
      <c r="K656" s="9">
        <f>ROUND(H656*I656*J656, 2)</f>
        <v/>
      </c>
      <c r="L656" s="23">
        <f>ROUND(K656/1000, 3)</f>
        <v/>
      </c>
      <c r="M656" s="8">
        <f>IF(AO656="","",IF(INDEX(Theo_Doi_Tan_Suat_Be_Tong!$C:$C,AO656)="","",INDEX(Theo_Doi_Tan_Suat_Be_Tong!$C:$C,AO656)-VLOOKUP(AN656,$AQ$2:$AR$7,2,FALSE)))</f>
        <v/>
      </c>
      <c r="N656" s="6" t="n"/>
      <c r="O656" s="24">
        <f>IF(ROUNDUP(W656/20,0)&gt;ROUNDUP(W655/20,0),"TN Ø25 (Lần " &amp; ROUNDUP(W656/20,0) &amp; ")","")</f>
        <v/>
      </c>
      <c r="P656" s="20">
        <f>ROUND(P655+IF(AND(E656&lt;=10,F656&lt;&gt;"ASTM A416"),L656,0),3)</f>
        <v/>
      </c>
      <c r="Q656" s="20">
        <f>ROUND(Q655+IF(AND(E656=12,F656&lt;&gt;"ASTM A416"),L656,0),3)</f>
        <v/>
      </c>
      <c r="R656" s="20">
        <f>ROUND(R655+IF(AND(E656=14,F656&lt;&gt;"ASTM A416"),L656,0),3)</f>
        <v/>
      </c>
      <c r="S656" s="20">
        <f>ROUND(S655+IF(AND(E656=16,F656&lt;&gt;"ASTM A416"),L656,0),3)</f>
        <v/>
      </c>
      <c r="T656" s="20">
        <f>ROUND(T655+IF(AND(E656=18,F656&lt;&gt;"ASTM A416"),L656,0),3)</f>
        <v/>
      </c>
      <c r="U656" s="20">
        <f>ROUND(U655+IF(AND(E656=20,F656&lt;&gt;"ASTM A416"),L656,0),3)</f>
        <v/>
      </c>
      <c r="V656" s="20">
        <f>ROUND(V655+IF(AND(E656=22,F656&lt;&gt;"ASTM A416"),L656,0),3)</f>
        <v/>
      </c>
      <c r="W656" s="20">
        <f>ROUND(W655+IF(AND(E656=25,F656&lt;&gt;"ASTM A416"),L656,0),3)</f>
        <v/>
      </c>
      <c r="X656" s="20">
        <f>ROUND(X655+IF(AND(E656=28,F656&lt;&gt;"ASTM A416"),L656,0),3)</f>
        <v/>
      </c>
      <c r="Y656" s="20">
        <f>ROUND(Y655+IF(AND(E656=32,F656&lt;&gt;"ASTM A416"),L656,0),3)</f>
        <v/>
      </c>
      <c r="Z656" s="20">
        <f>ROUND(Z655+IF(F656="ASTM A416",L656,0),3)</f>
        <v/>
      </c>
      <c r="AA656" s="11">
        <f>IF(ROUNDUP(P656/20,0)&gt;ROUNDUP(P655/20,0),"Lần " &amp; ROUNDUP(P656/20,0),"")</f>
        <v/>
      </c>
      <c r="AB656" s="11">
        <f>IF(ROUNDUP(Q656/20,0)&gt;ROUNDUP(Q655/20,0),"Lần " &amp; ROUNDUP(Q656/20,0),"")</f>
        <v/>
      </c>
      <c r="AC656" s="11">
        <f>IF(ROUNDUP(R656/20,0)&gt;ROUNDUP(R655/20,0),"Lần " &amp; ROUNDUP(R656/20,0),"")</f>
        <v/>
      </c>
      <c r="AD656" s="11">
        <f>IF(ROUNDUP(S656/20,0)&gt;ROUNDUP(S655/20,0),"Lần " &amp; ROUNDUP(S656/20,0),"")</f>
        <v/>
      </c>
      <c r="AE656" s="11">
        <f>IF(ROUNDUP(T656/20,0)&gt;ROUNDUP(T655/20,0),"Lần " &amp; ROUNDUP(T656/20,0),"")</f>
        <v/>
      </c>
      <c r="AF656" s="11">
        <f>IF(ROUNDUP(U656/20,0)&gt;ROUNDUP(U655/20,0),"Lần " &amp; ROUNDUP(U656/20,0),"")</f>
        <v/>
      </c>
      <c r="AG656" s="11">
        <f>IF(ROUNDUP(V656/20,0)&gt;ROUNDUP(V655/20,0),"Lần " &amp; ROUNDUP(V656/20,0),"")</f>
        <v/>
      </c>
      <c r="AH656" s="11">
        <f>IF(ROUNDUP(W656/20,0)&gt;ROUNDUP(W655/20,0),"Lần " &amp; ROUNDUP(W656/20,0),"")</f>
        <v/>
      </c>
      <c r="AI656" s="11">
        <f>IF(ROUNDUP(X656/20,0)&gt;ROUNDUP(X655/20,0),"Lần " &amp; ROUNDUP(X656/20,0),"")</f>
        <v/>
      </c>
      <c r="AJ656" s="11">
        <f>IF(ROUNDUP(Y656/20,0)&gt;ROUNDUP(Y655/20,0),"Lần " &amp; ROUNDUP(Y656/20,0),"")</f>
        <v/>
      </c>
      <c r="AK656" s="11">
        <f>IF(ROUNDUP(Z656/20,0)&gt;ROUNDUP(Z655/20,0),"Lần " &amp; ROUNDUP(Z656/20,0),"")</f>
        <v/>
      </c>
      <c r="AL656" s="6" t="n"/>
      <c r="AN656" t="inlineStr">
        <is>
          <t>Coc</t>
        </is>
      </c>
      <c r="AO656" t="n">
        <v>20</v>
      </c>
    </row>
    <row r="657" ht="19" customHeight="1">
      <c r="A657" s="6" t="n">
        <v>624</v>
      </c>
      <c r="B657" s="7" t="inlineStr">
        <is>
          <t>Cọc khoan nhồi C6 Trụ T2 (D1.2m, L=30.0m)</t>
        </is>
      </c>
      <c r="C657" s="7" t="inlineStr">
        <is>
          <t>Cọc trụ T2 L=30m (tr.70)</t>
        </is>
      </c>
      <c r="D657" s="18" t="inlineStr">
        <is>
          <t>P3</t>
        </is>
      </c>
      <c r="E657" s="19" t="n">
        <v>25</v>
      </c>
      <c r="F657" s="6" t="inlineStr">
        <is>
          <t>CB400-V</t>
        </is>
      </c>
      <c r="G657" s="7" t="inlineStr"/>
      <c r="H657" s="20" t="n">
        <v>10.7</v>
      </c>
      <c r="I657" s="21" t="n">
        <v>12</v>
      </c>
      <c r="J657" s="22" t="n">
        <v>3.853</v>
      </c>
      <c r="K657" s="9">
        <f>ROUND(H657*I657*J657, 2)</f>
        <v/>
      </c>
      <c r="L657" s="23">
        <f>ROUND(K657/1000, 3)</f>
        <v/>
      </c>
      <c r="M657" s="8">
        <f>IF(AO657="","",IF(INDEX(Theo_Doi_Tan_Suat_Be_Tong!$C:$C,AO657)="","",INDEX(Theo_Doi_Tan_Suat_Be_Tong!$C:$C,AO657)-VLOOKUP(AN657,$AQ$2:$AR$7,2,FALSE)))</f>
        <v/>
      </c>
      <c r="N657" s="6" t="n"/>
      <c r="O657" s="24">
        <f>IF(ROUNDUP(W657/20,0)&gt;ROUNDUP(W656/20,0),"TN Ø25 (Lần " &amp; ROUNDUP(W657/20,0) &amp; ")","")</f>
        <v/>
      </c>
      <c r="P657" s="20">
        <f>ROUND(P656+IF(AND(E657&lt;=10,F657&lt;&gt;"ASTM A416"),L657,0),3)</f>
        <v/>
      </c>
      <c r="Q657" s="20">
        <f>ROUND(Q656+IF(AND(E657=12,F657&lt;&gt;"ASTM A416"),L657,0),3)</f>
        <v/>
      </c>
      <c r="R657" s="20">
        <f>ROUND(R656+IF(AND(E657=14,F657&lt;&gt;"ASTM A416"),L657,0),3)</f>
        <v/>
      </c>
      <c r="S657" s="20">
        <f>ROUND(S656+IF(AND(E657=16,F657&lt;&gt;"ASTM A416"),L657,0),3)</f>
        <v/>
      </c>
      <c r="T657" s="20">
        <f>ROUND(T656+IF(AND(E657=18,F657&lt;&gt;"ASTM A416"),L657,0),3)</f>
        <v/>
      </c>
      <c r="U657" s="20">
        <f>ROUND(U656+IF(AND(E657=20,F657&lt;&gt;"ASTM A416"),L657,0),3)</f>
        <v/>
      </c>
      <c r="V657" s="20">
        <f>ROUND(V656+IF(AND(E657=22,F657&lt;&gt;"ASTM A416"),L657,0),3)</f>
        <v/>
      </c>
      <c r="W657" s="20">
        <f>ROUND(W656+IF(AND(E657=25,F657&lt;&gt;"ASTM A416"),L657,0),3)</f>
        <v/>
      </c>
      <c r="X657" s="20">
        <f>ROUND(X656+IF(AND(E657=28,F657&lt;&gt;"ASTM A416"),L657,0),3)</f>
        <v/>
      </c>
      <c r="Y657" s="20">
        <f>ROUND(Y656+IF(AND(E657=32,F657&lt;&gt;"ASTM A416"),L657,0),3)</f>
        <v/>
      </c>
      <c r="Z657" s="20">
        <f>ROUND(Z656+IF(F657="ASTM A416",L657,0),3)</f>
        <v/>
      </c>
      <c r="AA657" s="11">
        <f>IF(ROUNDUP(P657/20,0)&gt;ROUNDUP(P656/20,0),"Lần " &amp; ROUNDUP(P657/20,0),"")</f>
        <v/>
      </c>
      <c r="AB657" s="11">
        <f>IF(ROUNDUP(Q657/20,0)&gt;ROUNDUP(Q656/20,0),"Lần " &amp; ROUNDUP(Q657/20,0),"")</f>
        <v/>
      </c>
      <c r="AC657" s="11">
        <f>IF(ROUNDUP(R657/20,0)&gt;ROUNDUP(R656/20,0),"Lần " &amp; ROUNDUP(R657/20,0),"")</f>
        <v/>
      </c>
      <c r="AD657" s="11">
        <f>IF(ROUNDUP(S657/20,0)&gt;ROUNDUP(S656/20,0),"Lần " &amp; ROUNDUP(S657/20,0),"")</f>
        <v/>
      </c>
      <c r="AE657" s="11">
        <f>IF(ROUNDUP(T657/20,0)&gt;ROUNDUP(T656/20,0),"Lần " &amp; ROUNDUP(T657/20,0),"")</f>
        <v/>
      </c>
      <c r="AF657" s="11">
        <f>IF(ROUNDUP(U657/20,0)&gt;ROUNDUP(U656/20,0),"Lần " &amp; ROUNDUP(U657/20,0),"")</f>
        <v/>
      </c>
      <c r="AG657" s="11">
        <f>IF(ROUNDUP(V657/20,0)&gt;ROUNDUP(V656/20,0),"Lần " &amp; ROUNDUP(V657/20,0),"")</f>
        <v/>
      </c>
      <c r="AH657" s="11">
        <f>IF(ROUNDUP(W657/20,0)&gt;ROUNDUP(W656/20,0),"Lần " &amp; ROUNDUP(W657/20,0),"")</f>
        <v/>
      </c>
      <c r="AI657" s="11">
        <f>IF(ROUNDUP(X657/20,0)&gt;ROUNDUP(X656/20,0),"Lần " &amp; ROUNDUP(X657/20,0),"")</f>
        <v/>
      </c>
      <c r="AJ657" s="11">
        <f>IF(ROUNDUP(Y657/20,0)&gt;ROUNDUP(Y656/20,0),"Lần " &amp; ROUNDUP(Y657/20,0),"")</f>
        <v/>
      </c>
      <c r="AK657" s="11">
        <f>IF(ROUNDUP(Z657/20,0)&gt;ROUNDUP(Z656/20,0),"Lần " &amp; ROUNDUP(Z657/20,0),"")</f>
        <v/>
      </c>
      <c r="AL657" s="6" t="n"/>
      <c r="AN657" t="inlineStr">
        <is>
          <t>Coc</t>
        </is>
      </c>
      <c r="AO657" t="n">
        <v>20</v>
      </c>
    </row>
    <row r="658" ht="19" customHeight="1">
      <c r="A658" s="6" t="n">
        <v>625</v>
      </c>
      <c r="B658" s="7" t="inlineStr">
        <is>
          <t>Cọc khoan nhồi C6 Trụ T2 (D1.2m, L=30.0m)</t>
        </is>
      </c>
      <c r="C658" s="7" t="inlineStr">
        <is>
          <t>Cọc trụ T2 L=30m (tr.70)</t>
        </is>
      </c>
      <c r="D658" s="18" t="inlineStr">
        <is>
          <t>P4</t>
        </is>
      </c>
      <c r="E658" s="19" t="n">
        <v>25</v>
      </c>
      <c r="F658" s="6" t="inlineStr">
        <is>
          <t>CB400-V</t>
        </is>
      </c>
      <c r="G658" s="7" t="inlineStr"/>
      <c r="H658" s="20" t="n">
        <v>11.7</v>
      </c>
      <c r="I658" s="21" t="n">
        <v>36</v>
      </c>
      <c r="J658" s="22" t="n">
        <v>3.853</v>
      </c>
      <c r="K658" s="9">
        <f>ROUND(H658*I658*J658, 2)</f>
        <v/>
      </c>
      <c r="L658" s="23">
        <f>ROUND(K658/1000, 3)</f>
        <v/>
      </c>
      <c r="M658" s="8">
        <f>IF(AO658="","",IF(INDEX(Theo_Doi_Tan_Suat_Be_Tong!$C:$C,AO658)="","",INDEX(Theo_Doi_Tan_Suat_Be_Tong!$C:$C,AO658)-VLOOKUP(AN658,$AQ$2:$AR$7,2,FALSE)))</f>
        <v/>
      </c>
      <c r="N658" s="6" t="n"/>
      <c r="O658" s="24">
        <f>IF(ROUNDUP(W658/20,0)&gt;ROUNDUP(W657/20,0),"TN Ø25 (Lần " &amp; ROUNDUP(W658/20,0) &amp; ")","")</f>
        <v/>
      </c>
      <c r="P658" s="20">
        <f>ROUND(P657+IF(AND(E658&lt;=10,F658&lt;&gt;"ASTM A416"),L658,0),3)</f>
        <v/>
      </c>
      <c r="Q658" s="20">
        <f>ROUND(Q657+IF(AND(E658=12,F658&lt;&gt;"ASTM A416"),L658,0),3)</f>
        <v/>
      </c>
      <c r="R658" s="20">
        <f>ROUND(R657+IF(AND(E658=14,F658&lt;&gt;"ASTM A416"),L658,0),3)</f>
        <v/>
      </c>
      <c r="S658" s="20">
        <f>ROUND(S657+IF(AND(E658=16,F658&lt;&gt;"ASTM A416"),L658,0),3)</f>
        <v/>
      </c>
      <c r="T658" s="20">
        <f>ROUND(T657+IF(AND(E658=18,F658&lt;&gt;"ASTM A416"),L658,0),3)</f>
        <v/>
      </c>
      <c r="U658" s="20">
        <f>ROUND(U657+IF(AND(E658=20,F658&lt;&gt;"ASTM A416"),L658,0),3)</f>
        <v/>
      </c>
      <c r="V658" s="20">
        <f>ROUND(V657+IF(AND(E658=22,F658&lt;&gt;"ASTM A416"),L658,0),3)</f>
        <v/>
      </c>
      <c r="W658" s="20">
        <f>ROUND(W657+IF(AND(E658=25,F658&lt;&gt;"ASTM A416"),L658,0),3)</f>
        <v/>
      </c>
      <c r="X658" s="20">
        <f>ROUND(X657+IF(AND(E658=28,F658&lt;&gt;"ASTM A416"),L658,0),3)</f>
        <v/>
      </c>
      <c r="Y658" s="20">
        <f>ROUND(Y657+IF(AND(E658=32,F658&lt;&gt;"ASTM A416"),L658,0),3)</f>
        <v/>
      </c>
      <c r="Z658" s="20">
        <f>ROUND(Z657+IF(F658="ASTM A416",L658,0),3)</f>
        <v/>
      </c>
      <c r="AA658" s="11">
        <f>IF(ROUNDUP(P658/20,0)&gt;ROUNDUP(P657/20,0),"Lần " &amp; ROUNDUP(P658/20,0),"")</f>
        <v/>
      </c>
      <c r="AB658" s="11">
        <f>IF(ROUNDUP(Q658/20,0)&gt;ROUNDUP(Q657/20,0),"Lần " &amp; ROUNDUP(Q658/20,0),"")</f>
        <v/>
      </c>
      <c r="AC658" s="11">
        <f>IF(ROUNDUP(R658/20,0)&gt;ROUNDUP(R657/20,0),"Lần " &amp; ROUNDUP(R658/20,0),"")</f>
        <v/>
      </c>
      <c r="AD658" s="11">
        <f>IF(ROUNDUP(S658/20,0)&gt;ROUNDUP(S657/20,0),"Lần " &amp; ROUNDUP(S658/20,0),"")</f>
        <v/>
      </c>
      <c r="AE658" s="11">
        <f>IF(ROUNDUP(T658/20,0)&gt;ROUNDUP(T657/20,0),"Lần " &amp; ROUNDUP(T658/20,0),"")</f>
        <v/>
      </c>
      <c r="AF658" s="11">
        <f>IF(ROUNDUP(U658/20,0)&gt;ROUNDUP(U657/20,0),"Lần " &amp; ROUNDUP(U658/20,0),"")</f>
        <v/>
      </c>
      <c r="AG658" s="11">
        <f>IF(ROUNDUP(V658/20,0)&gt;ROUNDUP(V657/20,0),"Lần " &amp; ROUNDUP(V658/20,0),"")</f>
        <v/>
      </c>
      <c r="AH658" s="11">
        <f>IF(ROUNDUP(W658/20,0)&gt;ROUNDUP(W657/20,0),"Lần " &amp; ROUNDUP(W658/20,0),"")</f>
        <v/>
      </c>
      <c r="AI658" s="11">
        <f>IF(ROUNDUP(X658/20,0)&gt;ROUNDUP(X657/20,0),"Lần " &amp; ROUNDUP(X658/20,0),"")</f>
        <v/>
      </c>
      <c r="AJ658" s="11">
        <f>IF(ROUNDUP(Y658/20,0)&gt;ROUNDUP(Y657/20,0),"Lần " &amp; ROUNDUP(Y658/20,0),"")</f>
        <v/>
      </c>
      <c r="AK658" s="11">
        <f>IF(ROUNDUP(Z658/20,0)&gt;ROUNDUP(Z657/20,0),"Lần " &amp; ROUNDUP(Z658/20,0),"")</f>
        <v/>
      </c>
      <c r="AL658" s="6" t="n"/>
      <c r="AN658" t="inlineStr">
        <is>
          <t>Coc</t>
        </is>
      </c>
      <c r="AO658" t="n">
        <v>20</v>
      </c>
    </row>
    <row r="659" ht="19" customHeight="1">
      <c r="A659" s="6" t="n">
        <v>626</v>
      </c>
      <c r="B659" s="7" t="inlineStr">
        <is>
          <t>Cọc khoan nhồi C6 Trụ T2 (D1.2m, L=30.0m)</t>
        </is>
      </c>
      <c r="C659" s="7" t="inlineStr">
        <is>
          <t>Cọc trụ T2 L=30m (tr.70)</t>
        </is>
      </c>
      <c r="D659" s="18" t="inlineStr">
        <is>
          <t>P6</t>
        </is>
      </c>
      <c r="E659" s="19" t="n">
        <v>25</v>
      </c>
      <c r="F659" s="6" t="inlineStr">
        <is>
          <t>CB400-V</t>
        </is>
      </c>
      <c r="G659" s="7" t="inlineStr"/>
      <c r="H659" s="20" t="n">
        <v>9.733000000000001</v>
      </c>
      <c r="I659" s="21" t="n">
        <v>12</v>
      </c>
      <c r="J659" s="22" t="n">
        <v>3.853</v>
      </c>
      <c r="K659" s="9">
        <f>ROUND(H659*I659*J659, 2)</f>
        <v/>
      </c>
      <c r="L659" s="23">
        <f>ROUND(K659/1000, 3)</f>
        <v/>
      </c>
      <c r="M659" s="8">
        <f>IF(AO659="","",IF(INDEX(Theo_Doi_Tan_Suat_Be_Tong!$C:$C,AO659)="","",INDEX(Theo_Doi_Tan_Suat_Be_Tong!$C:$C,AO659)-VLOOKUP(AN659,$AQ$2:$AR$7,2,FALSE)))</f>
        <v/>
      </c>
      <c r="N659" s="6" t="n"/>
      <c r="O659" s="24">
        <f>IF(ROUNDUP(W659/20,0)&gt;ROUNDUP(W658/20,0),"TN Ø25 (Lần " &amp; ROUNDUP(W659/20,0) &amp; ")","")</f>
        <v/>
      </c>
      <c r="P659" s="20">
        <f>ROUND(P658+IF(AND(E659&lt;=10,F659&lt;&gt;"ASTM A416"),L659,0),3)</f>
        <v/>
      </c>
      <c r="Q659" s="20">
        <f>ROUND(Q658+IF(AND(E659=12,F659&lt;&gt;"ASTM A416"),L659,0),3)</f>
        <v/>
      </c>
      <c r="R659" s="20">
        <f>ROUND(R658+IF(AND(E659=14,F659&lt;&gt;"ASTM A416"),L659,0),3)</f>
        <v/>
      </c>
      <c r="S659" s="20">
        <f>ROUND(S658+IF(AND(E659=16,F659&lt;&gt;"ASTM A416"),L659,0),3)</f>
        <v/>
      </c>
      <c r="T659" s="20">
        <f>ROUND(T658+IF(AND(E659=18,F659&lt;&gt;"ASTM A416"),L659,0),3)</f>
        <v/>
      </c>
      <c r="U659" s="20">
        <f>ROUND(U658+IF(AND(E659=20,F659&lt;&gt;"ASTM A416"),L659,0),3)</f>
        <v/>
      </c>
      <c r="V659" s="20">
        <f>ROUND(V658+IF(AND(E659=22,F659&lt;&gt;"ASTM A416"),L659,0),3)</f>
        <v/>
      </c>
      <c r="W659" s="20">
        <f>ROUND(W658+IF(AND(E659=25,F659&lt;&gt;"ASTM A416"),L659,0),3)</f>
        <v/>
      </c>
      <c r="X659" s="20">
        <f>ROUND(X658+IF(AND(E659=28,F659&lt;&gt;"ASTM A416"),L659,0),3)</f>
        <v/>
      </c>
      <c r="Y659" s="20">
        <f>ROUND(Y658+IF(AND(E659=32,F659&lt;&gt;"ASTM A416"),L659,0),3)</f>
        <v/>
      </c>
      <c r="Z659" s="20">
        <f>ROUND(Z658+IF(F659="ASTM A416",L659,0),3)</f>
        <v/>
      </c>
      <c r="AA659" s="11">
        <f>IF(ROUNDUP(P659/20,0)&gt;ROUNDUP(P658/20,0),"Lần " &amp; ROUNDUP(P659/20,0),"")</f>
        <v/>
      </c>
      <c r="AB659" s="11">
        <f>IF(ROUNDUP(Q659/20,0)&gt;ROUNDUP(Q658/20,0),"Lần " &amp; ROUNDUP(Q659/20,0),"")</f>
        <v/>
      </c>
      <c r="AC659" s="11">
        <f>IF(ROUNDUP(R659/20,0)&gt;ROUNDUP(R658/20,0),"Lần " &amp; ROUNDUP(R659/20,0),"")</f>
        <v/>
      </c>
      <c r="AD659" s="11">
        <f>IF(ROUNDUP(S659/20,0)&gt;ROUNDUP(S658/20,0),"Lần " &amp; ROUNDUP(S659/20,0),"")</f>
        <v/>
      </c>
      <c r="AE659" s="11">
        <f>IF(ROUNDUP(T659/20,0)&gt;ROUNDUP(T658/20,0),"Lần " &amp; ROUNDUP(T659/20,0),"")</f>
        <v/>
      </c>
      <c r="AF659" s="11">
        <f>IF(ROUNDUP(U659/20,0)&gt;ROUNDUP(U658/20,0),"Lần " &amp; ROUNDUP(U659/20,0),"")</f>
        <v/>
      </c>
      <c r="AG659" s="11">
        <f>IF(ROUNDUP(V659/20,0)&gt;ROUNDUP(V658/20,0),"Lần " &amp; ROUNDUP(V659/20,0),"")</f>
        <v/>
      </c>
      <c r="AH659" s="11">
        <f>IF(ROUNDUP(W659/20,0)&gt;ROUNDUP(W658/20,0),"Lần " &amp; ROUNDUP(W659/20,0),"")</f>
        <v/>
      </c>
      <c r="AI659" s="11">
        <f>IF(ROUNDUP(X659/20,0)&gt;ROUNDUP(X658/20,0),"Lần " &amp; ROUNDUP(X659/20,0),"")</f>
        <v/>
      </c>
      <c r="AJ659" s="11">
        <f>IF(ROUNDUP(Y659/20,0)&gt;ROUNDUP(Y658/20,0),"Lần " &amp; ROUNDUP(Y659/20,0),"")</f>
        <v/>
      </c>
      <c r="AK659" s="11">
        <f>IF(ROUNDUP(Z659/20,0)&gt;ROUNDUP(Z658/20,0),"Lần " &amp; ROUNDUP(Z659/20,0),"")</f>
        <v/>
      </c>
      <c r="AL659" s="6" t="n"/>
      <c r="AN659" t="inlineStr">
        <is>
          <t>Coc</t>
        </is>
      </c>
      <c r="AO659" t="n">
        <v>20</v>
      </c>
    </row>
    <row r="660" ht="19" customHeight="1">
      <c r="A660" s="6" t="n">
        <v>627</v>
      </c>
      <c r="B660" s="7" t="inlineStr">
        <is>
          <t>Cọc khoan nhồi C6 Trụ T2 (D1.2m, L=30.0m)</t>
        </is>
      </c>
      <c r="C660" s="7" t="inlineStr">
        <is>
          <t>Cọc trụ T2 L=30m (tr.70)</t>
        </is>
      </c>
      <c r="D660" s="18" t="inlineStr">
        <is>
          <t>P7</t>
        </is>
      </c>
      <c r="E660" s="19" t="n">
        <v>25</v>
      </c>
      <c r="F660" s="6" t="inlineStr">
        <is>
          <t>CB400-V</t>
        </is>
      </c>
      <c r="G660" s="7" t="inlineStr"/>
      <c r="H660" s="20" t="n">
        <v>10.733</v>
      </c>
      <c r="I660" s="21" t="n">
        <v>12</v>
      </c>
      <c r="J660" s="22" t="n">
        <v>3.853</v>
      </c>
      <c r="K660" s="9">
        <f>ROUND(H660*I660*J660, 2)</f>
        <v/>
      </c>
      <c r="L660" s="23">
        <f>ROUND(K660/1000, 3)</f>
        <v/>
      </c>
      <c r="M660" s="8">
        <f>IF(AO660="","",IF(INDEX(Theo_Doi_Tan_Suat_Be_Tong!$C:$C,AO660)="","",INDEX(Theo_Doi_Tan_Suat_Be_Tong!$C:$C,AO660)-VLOOKUP(AN660,$AQ$2:$AR$7,2,FALSE)))</f>
        <v/>
      </c>
      <c r="N660" s="6" t="n"/>
      <c r="O660" s="24">
        <f>IF(ROUNDUP(W660/20,0)&gt;ROUNDUP(W659/20,0),"TN Ø25 (Lần " &amp; ROUNDUP(W660/20,0) &amp; ")","")</f>
        <v/>
      </c>
      <c r="P660" s="20">
        <f>ROUND(P659+IF(AND(E660&lt;=10,F660&lt;&gt;"ASTM A416"),L660,0),3)</f>
        <v/>
      </c>
      <c r="Q660" s="20">
        <f>ROUND(Q659+IF(AND(E660=12,F660&lt;&gt;"ASTM A416"),L660,0),3)</f>
        <v/>
      </c>
      <c r="R660" s="20">
        <f>ROUND(R659+IF(AND(E660=14,F660&lt;&gt;"ASTM A416"),L660,0),3)</f>
        <v/>
      </c>
      <c r="S660" s="20">
        <f>ROUND(S659+IF(AND(E660=16,F660&lt;&gt;"ASTM A416"),L660,0),3)</f>
        <v/>
      </c>
      <c r="T660" s="20">
        <f>ROUND(T659+IF(AND(E660=18,F660&lt;&gt;"ASTM A416"),L660,0),3)</f>
        <v/>
      </c>
      <c r="U660" s="20">
        <f>ROUND(U659+IF(AND(E660=20,F660&lt;&gt;"ASTM A416"),L660,0),3)</f>
        <v/>
      </c>
      <c r="V660" s="20">
        <f>ROUND(V659+IF(AND(E660=22,F660&lt;&gt;"ASTM A416"),L660,0),3)</f>
        <v/>
      </c>
      <c r="W660" s="20">
        <f>ROUND(W659+IF(AND(E660=25,F660&lt;&gt;"ASTM A416"),L660,0),3)</f>
        <v/>
      </c>
      <c r="X660" s="20">
        <f>ROUND(X659+IF(AND(E660=28,F660&lt;&gt;"ASTM A416"),L660,0),3)</f>
        <v/>
      </c>
      <c r="Y660" s="20">
        <f>ROUND(Y659+IF(AND(E660=32,F660&lt;&gt;"ASTM A416"),L660,0),3)</f>
        <v/>
      </c>
      <c r="Z660" s="20">
        <f>ROUND(Z659+IF(F660="ASTM A416",L660,0),3)</f>
        <v/>
      </c>
      <c r="AA660" s="11">
        <f>IF(ROUNDUP(P660/20,0)&gt;ROUNDUP(P659/20,0),"Lần " &amp; ROUNDUP(P660/20,0),"")</f>
        <v/>
      </c>
      <c r="AB660" s="11">
        <f>IF(ROUNDUP(Q660/20,0)&gt;ROUNDUP(Q659/20,0),"Lần " &amp; ROUNDUP(Q660/20,0),"")</f>
        <v/>
      </c>
      <c r="AC660" s="11">
        <f>IF(ROUNDUP(R660/20,0)&gt;ROUNDUP(R659/20,0),"Lần " &amp; ROUNDUP(R660/20,0),"")</f>
        <v/>
      </c>
      <c r="AD660" s="11">
        <f>IF(ROUNDUP(S660/20,0)&gt;ROUNDUP(S659/20,0),"Lần " &amp; ROUNDUP(S660/20,0),"")</f>
        <v/>
      </c>
      <c r="AE660" s="11">
        <f>IF(ROUNDUP(T660/20,0)&gt;ROUNDUP(T659/20,0),"Lần " &amp; ROUNDUP(T660/20,0),"")</f>
        <v/>
      </c>
      <c r="AF660" s="11">
        <f>IF(ROUNDUP(U660/20,0)&gt;ROUNDUP(U659/20,0),"Lần " &amp; ROUNDUP(U660/20,0),"")</f>
        <v/>
      </c>
      <c r="AG660" s="11">
        <f>IF(ROUNDUP(V660/20,0)&gt;ROUNDUP(V659/20,0),"Lần " &amp; ROUNDUP(V660/20,0),"")</f>
        <v/>
      </c>
      <c r="AH660" s="11">
        <f>IF(ROUNDUP(W660/20,0)&gt;ROUNDUP(W659/20,0),"Lần " &amp; ROUNDUP(W660/20,0),"")</f>
        <v/>
      </c>
      <c r="AI660" s="11">
        <f>IF(ROUNDUP(X660/20,0)&gt;ROUNDUP(X659/20,0),"Lần " &amp; ROUNDUP(X660/20,0),"")</f>
        <v/>
      </c>
      <c r="AJ660" s="11">
        <f>IF(ROUNDUP(Y660/20,0)&gt;ROUNDUP(Y659/20,0),"Lần " &amp; ROUNDUP(Y660/20,0),"")</f>
        <v/>
      </c>
      <c r="AK660" s="11">
        <f>IF(ROUNDUP(Z660/20,0)&gt;ROUNDUP(Z659/20,0),"Lần " &amp; ROUNDUP(Z660/20,0),"")</f>
        <v/>
      </c>
      <c r="AL660" s="6" t="n"/>
      <c r="AN660" t="inlineStr">
        <is>
          <t>Coc</t>
        </is>
      </c>
      <c r="AO660" t="n">
        <v>20</v>
      </c>
    </row>
    <row r="661" ht="23" customHeight="1">
      <c r="A661" s="6" t="n">
        <v>628</v>
      </c>
      <c r="B661" s="7" t="inlineStr">
        <is>
          <t>Cọc khoan nhồi C6 Trụ T2 (D1.2m, L=30.0m)</t>
        </is>
      </c>
      <c r="C661" s="7" t="inlineStr">
        <is>
          <t>Cọc trụ T2 L=30m (tr.70)</t>
        </is>
      </c>
      <c r="D661" s="18" t="inlineStr">
        <is>
          <t>P8</t>
        </is>
      </c>
      <c r="E661" s="19" t="n">
        <v>12</v>
      </c>
      <c r="F661" s="6" t="inlineStr">
        <is>
          <t>CB400-V</t>
        </is>
      </c>
      <c r="G661" s="7" t="inlineStr"/>
      <c r="H661" s="20" t="n">
        <v>0.647</v>
      </c>
      <c r="I661" s="21" t="n">
        <v>12</v>
      </c>
      <c r="J661" s="22" t="n">
        <v>0.888</v>
      </c>
      <c r="K661" s="9">
        <f>ROUND(H661*I661*J661, 2)</f>
        <v/>
      </c>
      <c r="L661" s="23">
        <f>ROUND(K661/1000, 3)</f>
        <v/>
      </c>
      <c r="M661" s="8">
        <f>IF(AO661="","",IF(INDEX(Theo_Doi_Tan_Suat_Be_Tong!$C:$C,AO661)="","",INDEX(Theo_Doi_Tan_Suat_Be_Tong!$C:$C,AO661)-VLOOKUP(AN661,$AQ$2:$AR$7,2,FALSE)))</f>
        <v/>
      </c>
      <c r="N661" s="6" t="n"/>
      <c r="O661" s="24">
        <f>IF(ROUNDUP(Q661/20,0)&gt;ROUNDUP(Q660/20,0),"TN Ø12 (Lần " &amp; ROUNDUP(Q661/20,0) &amp; ")","")</f>
        <v/>
      </c>
      <c r="P661" s="20">
        <f>ROUND(P660+IF(AND(E661&lt;=10,F661&lt;&gt;"ASTM A416"),L661,0),3)</f>
        <v/>
      </c>
      <c r="Q661" s="20">
        <f>ROUND(Q660+IF(AND(E661=12,F661&lt;&gt;"ASTM A416"),L661,0),3)</f>
        <v/>
      </c>
      <c r="R661" s="20">
        <f>ROUND(R660+IF(AND(E661=14,F661&lt;&gt;"ASTM A416"),L661,0),3)</f>
        <v/>
      </c>
      <c r="S661" s="20">
        <f>ROUND(S660+IF(AND(E661=16,F661&lt;&gt;"ASTM A416"),L661,0),3)</f>
        <v/>
      </c>
      <c r="T661" s="20">
        <f>ROUND(T660+IF(AND(E661=18,F661&lt;&gt;"ASTM A416"),L661,0),3)</f>
        <v/>
      </c>
      <c r="U661" s="20">
        <f>ROUND(U660+IF(AND(E661=20,F661&lt;&gt;"ASTM A416"),L661,0),3)</f>
        <v/>
      </c>
      <c r="V661" s="20">
        <f>ROUND(V660+IF(AND(E661=22,F661&lt;&gt;"ASTM A416"),L661,0),3)</f>
        <v/>
      </c>
      <c r="W661" s="20">
        <f>ROUND(W660+IF(AND(E661=25,F661&lt;&gt;"ASTM A416"),L661,0),3)</f>
        <v/>
      </c>
      <c r="X661" s="20">
        <f>ROUND(X660+IF(AND(E661=28,F661&lt;&gt;"ASTM A416"),L661,0),3)</f>
        <v/>
      </c>
      <c r="Y661" s="20">
        <f>ROUND(Y660+IF(AND(E661=32,F661&lt;&gt;"ASTM A416"),L661,0),3)</f>
        <v/>
      </c>
      <c r="Z661" s="20">
        <f>ROUND(Z660+IF(F661="ASTM A416",L661,0),3)</f>
        <v/>
      </c>
      <c r="AA661" s="11">
        <f>IF(ROUNDUP(P661/20,0)&gt;ROUNDUP(P660/20,0),"Lần " &amp; ROUNDUP(P661/20,0),"")</f>
        <v/>
      </c>
      <c r="AB661" s="11">
        <f>IF(ROUNDUP(Q661/20,0)&gt;ROUNDUP(Q660/20,0),"Lần " &amp; ROUNDUP(Q661/20,0),"")</f>
        <v/>
      </c>
      <c r="AC661" s="11">
        <f>IF(ROUNDUP(R661/20,0)&gt;ROUNDUP(R660/20,0),"Lần " &amp; ROUNDUP(R661/20,0),"")</f>
        <v/>
      </c>
      <c r="AD661" s="11">
        <f>IF(ROUNDUP(S661/20,0)&gt;ROUNDUP(S660/20,0),"Lần " &amp; ROUNDUP(S661/20,0),"")</f>
        <v/>
      </c>
      <c r="AE661" s="11">
        <f>IF(ROUNDUP(T661/20,0)&gt;ROUNDUP(T660/20,0),"Lần " &amp; ROUNDUP(T661/20,0),"")</f>
        <v/>
      </c>
      <c r="AF661" s="11">
        <f>IF(ROUNDUP(U661/20,0)&gt;ROUNDUP(U660/20,0),"Lần " &amp; ROUNDUP(U661/20,0),"")</f>
        <v/>
      </c>
      <c r="AG661" s="11">
        <f>IF(ROUNDUP(V661/20,0)&gt;ROUNDUP(V660/20,0),"Lần " &amp; ROUNDUP(V661/20,0),"")</f>
        <v/>
      </c>
      <c r="AH661" s="11">
        <f>IF(ROUNDUP(W661/20,0)&gt;ROUNDUP(W660/20,0),"Lần " &amp; ROUNDUP(W661/20,0),"")</f>
        <v/>
      </c>
      <c r="AI661" s="11">
        <f>IF(ROUNDUP(X661/20,0)&gt;ROUNDUP(X660/20,0),"Lần " &amp; ROUNDUP(X661/20,0),"")</f>
        <v/>
      </c>
      <c r="AJ661" s="11">
        <f>IF(ROUNDUP(Y661/20,0)&gt;ROUNDUP(Y660/20,0),"Lần " &amp; ROUNDUP(Y661/20,0),"")</f>
        <v/>
      </c>
      <c r="AK661" s="11">
        <f>IF(ROUNDUP(Z661/20,0)&gt;ROUNDUP(Z660/20,0),"Lần " &amp; ROUNDUP(Z661/20,0),"")</f>
        <v/>
      </c>
      <c r="AL661" s="6" t="n"/>
      <c r="AN661" t="inlineStr">
        <is>
          <t>Coc</t>
        </is>
      </c>
      <c r="AO661" t="n">
        <v>20</v>
      </c>
    </row>
    <row r="662" ht="19" customHeight="1">
      <c r="A662" s="6" t="n">
        <v>629</v>
      </c>
      <c r="B662" s="7" t="inlineStr">
        <is>
          <t>Cọc khoan nhồi C6 Trụ T2 (D1.2m, L=30.0m)</t>
        </is>
      </c>
      <c r="C662" s="7" t="inlineStr">
        <is>
          <t>Cọc trụ T2 L=30m (tr.70)</t>
        </is>
      </c>
      <c r="D662" s="18" t="inlineStr">
        <is>
          <t>P9</t>
        </is>
      </c>
      <c r="E662" s="19" t="n">
        <v>12</v>
      </c>
      <c r="F662" s="6" t="inlineStr">
        <is>
          <t>CB400-V</t>
        </is>
      </c>
      <c r="G662" s="7" t="inlineStr"/>
      <c r="H662" s="20" t="n">
        <v>0.379</v>
      </c>
      <c r="I662" s="21" t="n">
        <v>36</v>
      </c>
      <c r="J662" s="22" t="n">
        <v>0.888</v>
      </c>
      <c r="K662" s="9">
        <f>ROUND(H662*I662*J662, 2)</f>
        <v/>
      </c>
      <c r="L662" s="23">
        <f>ROUND(K662/1000, 3)</f>
        <v/>
      </c>
      <c r="M662" s="8">
        <f>IF(AO662="","",IF(INDEX(Theo_Doi_Tan_Suat_Be_Tong!$C:$C,AO662)="","",INDEX(Theo_Doi_Tan_Suat_Be_Tong!$C:$C,AO662)-VLOOKUP(AN662,$AQ$2:$AR$7,2,FALSE)))</f>
        <v/>
      </c>
      <c r="N662" s="6" t="n"/>
      <c r="O662" s="24">
        <f>IF(ROUNDUP(Q662/20,0)&gt;ROUNDUP(Q661/20,0),"TN Ø12 (Lần " &amp; ROUNDUP(Q662/20,0) &amp; ")","")</f>
        <v/>
      </c>
      <c r="P662" s="20">
        <f>ROUND(P661+IF(AND(E662&lt;=10,F662&lt;&gt;"ASTM A416"),L662,0),3)</f>
        <v/>
      </c>
      <c r="Q662" s="20">
        <f>ROUND(Q661+IF(AND(E662=12,F662&lt;&gt;"ASTM A416"),L662,0),3)</f>
        <v/>
      </c>
      <c r="R662" s="20">
        <f>ROUND(R661+IF(AND(E662=14,F662&lt;&gt;"ASTM A416"),L662,0),3)</f>
        <v/>
      </c>
      <c r="S662" s="20">
        <f>ROUND(S661+IF(AND(E662=16,F662&lt;&gt;"ASTM A416"),L662,0),3)</f>
        <v/>
      </c>
      <c r="T662" s="20">
        <f>ROUND(T661+IF(AND(E662=18,F662&lt;&gt;"ASTM A416"),L662,0),3)</f>
        <v/>
      </c>
      <c r="U662" s="20">
        <f>ROUND(U661+IF(AND(E662=20,F662&lt;&gt;"ASTM A416"),L662,0),3)</f>
        <v/>
      </c>
      <c r="V662" s="20">
        <f>ROUND(V661+IF(AND(E662=22,F662&lt;&gt;"ASTM A416"),L662,0),3)</f>
        <v/>
      </c>
      <c r="W662" s="20">
        <f>ROUND(W661+IF(AND(E662=25,F662&lt;&gt;"ASTM A416"),L662,0),3)</f>
        <v/>
      </c>
      <c r="X662" s="20">
        <f>ROUND(X661+IF(AND(E662=28,F662&lt;&gt;"ASTM A416"),L662,0),3)</f>
        <v/>
      </c>
      <c r="Y662" s="20">
        <f>ROUND(Y661+IF(AND(E662=32,F662&lt;&gt;"ASTM A416"),L662,0),3)</f>
        <v/>
      </c>
      <c r="Z662" s="20">
        <f>ROUND(Z661+IF(F662="ASTM A416",L662,0),3)</f>
        <v/>
      </c>
      <c r="AA662" s="11">
        <f>IF(ROUNDUP(P662/20,0)&gt;ROUNDUP(P661/20,0),"Lần " &amp; ROUNDUP(P662/20,0),"")</f>
        <v/>
      </c>
      <c r="AB662" s="11">
        <f>IF(ROUNDUP(Q662/20,0)&gt;ROUNDUP(Q661/20,0),"Lần " &amp; ROUNDUP(Q662/20,0),"")</f>
        <v/>
      </c>
      <c r="AC662" s="11">
        <f>IF(ROUNDUP(R662/20,0)&gt;ROUNDUP(R661/20,0),"Lần " &amp; ROUNDUP(R662/20,0),"")</f>
        <v/>
      </c>
      <c r="AD662" s="11">
        <f>IF(ROUNDUP(S662/20,0)&gt;ROUNDUP(S661/20,0),"Lần " &amp; ROUNDUP(S662/20,0),"")</f>
        <v/>
      </c>
      <c r="AE662" s="11">
        <f>IF(ROUNDUP(T662/20,0)&gt;ROUNDUP(T661/20,0),"Lần " &amp; ROUNDUP(T662/20,0),"")</f>
        <v/>
      </c>
      <c r="AF662" s="11">
        <f>IF(ROUNDUP(U662/20,0)&gt;ROUNDUP(U661/20,0),"Lần " &amp; ROUNDUP(U662/20,0),"")</f>
        <v/>
      </c>
      <c r="AG662" s="11">
        <f>IF(ROUNDUP(V662/20,0)&gt;ROUNDUP(V661/20,0),"Lần " &amp; ROUNDUP(V662/20,0),"")</f>
        <v/>
      </c>
      <c r="AH662" s="11">
        <f>IF(ROUNDUP(W662/20,0)&gt;ROUNDUP(W661/20,0),"Lần " &amp; ROUNDUP(W662/20,0),"")</f>
        <v/>
      </c>
      <c r="AI662" s="11">
        <f>IF(ROUNDUP(X662/20,0)&gt;ROUNDUP(X661/20,0),"Lần " &amp; ROUNDUP(X662/20,0),"")</f>
        <v/>
      </c>
      <c r="AJ662" s="11">
        <f>IF(ROUNDUP(Y662/20,0)&gt;ROUNDUP(Y661/20,0),"Lần " &amp; ROUNDUP(Y662/20,0),"")</f>
        <v/>
      </c>
      <c r="AK662" s="11">
        <f>IF(ROUNDUP(Z662/20,0)&gt;ROUNDUP(Z661/20,0),"Lần " &amp; ROUNDUP(Z662/20,0),"")</f>
        <v/>
      </c>
      <c r="AL662" s="6" t="n"/>
      <c r="AN662" t="inlineStr">
        <is>
          <t>Coc</t>
        </is>
      </c>
      <c r="AO662" t="n">
        <v>20</v>
      </c>
    </row>
    <row r="663" ht="19" customHeight="1">
      <c r="A663" s="6" t="n">
        <v>630</v>
      </c>
      <c r="B663" s="7" t="inlineStr">
        <is>
          <t>Cọc khoan nhồi C6 Trụ T2 (D1.2m, L=30.0m)</t>
        </is>
      </c>
      <c r="C663" s="7" t="inlineStr">
        <is>
          <t>Cọc trụ T2 L=30m (tr.70)</t>
        </is>
      </c>
      <c r="D663" s="18" t="inlineStr">
        <is>
          <t>P10</t>
        </is>
      </c>
      <c r="E663" s="19" t="n">
        <v>20</v>
      </c>
      <c r="F663" s="6" t="inlineStr">
        <is>
          <t>CB400-V</t>
        </is>
      </c>
      <c r="G663" s="7" t="inlineStr"/>
      <c r="H663" s="20" t="n">
        <v>2.057</v>
      </c>
      <c r="I663" s="21" t="n">
        <v>1</v>
      </c>
      <c r="J663" s="22" t="n">
        <v>2.466</v>
      </c>
      <c r="K663" s="9">
        <f>ROUND(H663*I663*J663, 2)</f>
        <v/>
      </c>
      <c r="L663" s="23">
        <f>ROUND(K663/1000, 3)</f>
        <v/>
      </c>
      <c r="M663" s="8">
        <f>IF(AO663="","",IF(INDEX(Theo_Doi_Tan_Suat_Be_Tong!$C:$C,AO663)="","",INDEX(Theo_Doi_Tan_Suat_Be_Tong!$C:$C,AO663)-VLOOKUP(AN663,$AQ$2:$AR$7,2,FALSE)))</f>
        <v/>
      </c>
      <c r="N663" s="6" t="n"/>
      <c r="O663" s="24">
        <f>IF(ROUNDUP(U663/20,0)&gt;ROUNDUP(U662/20,0),"TN Ø20 (Lần " &amp; ROUNDUP(U663/20,0) &amp; ")","")</f>
        <v/>
      </c>
      <c r="P663" s="20">
        <f>ROUND(P662+IF(AND(E663&lt;=10,F663&lt;&gt;"ASTM A416"),L663,0),3)</f>
        <v/>
      </c>
      <c r="Q663" s="20">
        <f>ROUND(Q662+IF(AND(E663=12,F663&lt;&gt;"ASTM A416"),L663,0),3)</f>
        <v/>
      </c>
      <c r="R663" s="20">
        <f>ROUND(R662+IF(AND(E663=14,F663&lt;&gt;"ASTM A416"),L663,0),3)</f>
        <v/>
      </c>
      <c r="S663" s="20">
        <f>ROUND(S662+IF(AND(E663=16,F663&lt;&gt;"ASTM A416"),L663,0),3)</f>
        <v/>
      </c>
      <c r="T663" s="20">
        <f>ROUND(T662+IF(AND(E663=18,F663&lt;&gt;"ASTM A416"),L663,0),3)</f>
        <v/>
      </c>
      <c r="U663" s="20">
        <f>ROUND(U662+IF(AND(E663=20,F663&lt;&gt;"ASTM A416"),L663,0),3)</f>
        <v/>
      </c>
      <c r="V663" s="20">
        <f>ROUND(V662+IF(AND(E663=22,F663&lt;&gt;"ASTM A416"),L663,0),3)</f>
        <v/>
      </c>
      <c r="W663" s="20">
        <f>ROUND(W662+IF(AND(E663=25,F663&lt;&gt;"ASTM A416"),L663,0),3)</f>
        <v/>
      </c>
      <c r="X663" s="20">
        <f>ROUND(X662+IF(AND(E663=28,F663&lt;&gt;"ASTM A416"),L663,0),3)</f>
        <v/>
      </c>
      <c r="Y663" s="20">
        <f>ROUND(Y662+IF(AND(E663=32,F663&lt;&gt;"ASTM A416"),L663,0),3)</f>
        <v/>
      </c>
      <c r="Z663" s="20">
        <f>ROUND(Z662+IF(F663="ASTM A416",L663,0),3)</f>
        <v/>
      </c>
      <c r="AA663" s="11">
        <f>IF(ROUNDUP(P663/20,0)&gt;ROUNDUP(P662/20,0),"Lần " &amp; ROUNDUP(P663/20,0),"")</f>
        <v/>
      </c>
      <c r="AB663" s="11">
        <f>IF(ROUNDUP(Q663/20,0)&gt;ROUNDUP(Q662/20,0),"Lần " &amp; ROUNDUP(Q663/20,0),"")</f>
        <v/>
      </c>
      <c r="AC663" s="11">
        <f>IF(ROUNDUP(R663/20,0)&gt;ROUNDUP(R662/20,0),"Lần " &amp; ROUNDUP(R663/20,0),"")</f>
        <v/>
      </c>
      <c r="AD663" s="11">
        <f>IF(ROUNDUP(S663/20,0)&gt;ROUNDUP(S662/20,0),"Lần " &amp; ROUNDUP(S663/20,0),"")</f>
        <v/>
      </c>
      <c r="AE663" s="11">
        <f>IF(ROUNDUP(T663/20,0)&gt;ROUNDUP(T662/20,0),"Lần " &amp; ROUNDUP(T663/20,0),"")</f>
        <v/>
      </c>
      <c r="AF663" s="11">
        <f>IF(ROUNDUP(U663/20,0)&gt;ROUNDUP(U662/20,0),"Lần " &amp; ROUNDUP(U663/20,0),"")</f>
        <v/>
      </c>
      <c r="AG663" s="11">
        <f>IF(ROUNDUP(V663/20,0)&gt;ROUNDUP(V662/20,0),"Lần " &amp; ROUNDUP(V663/20,0),"")</f>
        <v/>
      </c>
      <c r="AH663" s="11">
        <f>IF(ROUNDUP(W663/20,0)&gt;ROUNDUP(W662/20,0),"Lần " &amp; ROUNDUP(W663/20,0),"")</f>
        <v/>
      </c>
      <c r="AI663" s="11">
        <f>IF(ROUNDUP(X663/20,0)&gt;ROUNDUP(X662/20,0),"Lần " &amp; ROUNDUP(X663/20,0),"")</f>
        <v/>
      </c>
      <c r="AJ663" s="11">
        <f>IF(ROUNDUP(Y663/20,0)&gt;ROUNDUP(Y662/20,0),"Lần " &amp; ROUNDUP(Y663/20,0),"")</f>
        <v/>
      </c>
      <c r="AK663" s="11">
        <f>IF(ROUNDUP(Z663/20,0)&gt;ROUNDUP(Z662/20,0),"Lần " &amp; ROUNDUP(Z663/20,0),"")</f>
        <v/>
      </c>
      <c r="AL663" s="6" t="n"/>
      <c r="AN663" t="inlineStr">
        <is>
          <t>Coc</t>
        </is>
      </c>
      <c r="AO663" t="n">
        <v>20</v>
      </c>
    </row>
    <row r="664" ht="19" customHeight="1">
      <c r="A664" s="6" t="n">
        <v>631</v>
      </c>
      <c r="B664" s="7" t="inlineStr">
        <is>
          <t>Cọc khoan nhồi C6 Trụ T2 (D1.2m, L=30.0m)</t>
        </is>
      </c>
      <c r="C664" s="7" t="inlineStr">
        <is>
          <t>Cọc trụ T2 L=30m (tr.70)</t>
        </is>
      </c>
      <c r="D664" s="18" t="inlineStr">
        <is>
          <t>P12</t>
        </is>
      </c>
      <c r="E664" s="19" t="n">
        <v>20</v>
      </c>
      <c r="F664" s="6" t="inlineStr">
        <is>
          <t>CB400-V</t>
        </is>
      </c>
      <c r="G664" s="7" t="inlineStr"/>
      <c r="H664" s="20" t="n">
        <v>0.583</v>
      </c>
      <c r="I664" s="21" t="n">
        <v>48</v>
      </c>
      <c r="J664" s="22" t="n">
        <v>2.466</v>
      </c>
      <c r="K664" s="9">
        <f>ROUND(H664*I664*J664, 2)</f>
        <v/>
      </c>
      <c r="L664" s="23">
        <f>ROUND(K664/1000, 3)</f>
        <v/>
      </c>
      <c r="M664" s="8">
        <f>IF(AO664="","",IF(INDEX(Theo_Doi_Tan_Suat_Be_Tong!$C:$C,AO664)="","",INDEX(Theo_Doi_Tan_Suat_Be_Tong!$C:$C,AO664)-VLOOKUP(AN664,$AQ$2:$AR$7,2,FALSE)))</f>
        <v/>
      </c>
      <c r="N664" s="6" t="n"/>
      <c r="O664" s="24">
        <f>IF(ROUNDUP(U664/20,0)&gt;ROUNDUP(U663/20,0),"TN Ø20 (Lần " &amp; ROUNDUP(U664/20,0) &amp; ")","")</f>
        <v/>
      </c>
      <c r="P664" s="20">
        <f>ROUND(P663+IF(AND(E664&lt;=10,F664&lt;&gt;"ASTM A416"),L664,0),3)</f>
        <v/>
      </c>
      <c r="Q664" s="20">
        <f>ROUND(Q663+IF(AND(E664=12,F664&lt;&gt;"ASTM A416"),L664,0),3)</f>
        <v/>
      </c>
      <c r="R664" s="20">
        <f>ROUND(R663+IF(AND(E664=14,F664&lt;&gt;"ASTM A416"),L664,0),3)</f>
        <v/>
      </c>
      <c r="S664" s="20">
        <f>ROUND(S663+IF(AND(E664=16,F664&lt;&gt;"ASTM A416"),L664,0),3)</f>
        <v/>
      </c>
      <c r="T664" s="20">
        <f>ROUND(T663+IF(AND(E664=18,F664&lt;&gt;"ASTM A416"),L664,0),3)</f>
        <v/>
      </c>
      <c r="U664" s="20">
        <f>ROUND(U663+IF(AND(E664=20,F664&lt;&gt;"ASTM A416"),L664,0),3)</f>
        <v/>
      </c>
      <c r="V664" s="20">
        <f>ROUND(V663+IF(AND(E664=22,F664&lt;&gt;"ASTM A416"),L664,0),3)</f>
        <v/>
      </c>
      <c r="W664" s="20">
        <f>ROUND(W663+IF(AND(E664=25,F664&lt;&gt;"ASTM A416"),L664,0),3)</f>
        <v/>
      </c>
      <c r="X664" s="20">
        <f>ROUND(X663+IF(AND(E664=28,F664&lt;&gt;"ASTM A416"),L664,0),3)</f>
        <v/>
      </c>
      <c r="Y664" s="20">
        <f>ROUND(Y663+IF(AND(E664=32,F664&lt;&gt;"ASTM A416"),L664,0),3)</f>
        <v/>
      </c>
      <c r="Z664" s="20">
        <f>ROUND(Z663+IF(F664="ASTM A416",L664,0),3)</f>
        <v/>
      </c>
      <c r="AA664" s="11">
        <f>IF(ROUNDUP(P664/20,0)&gt;ROUNDUP(P663/20,0),"Lần " &amp; ROUNDUP(P664/20,0),"")</f>
        <v/>
      </c>
      <c r="AB664" s="11">
        <f>IF(ROUNDUP(Q664/20,0)&gt;ROUNDUP(Q663/20,0),"Lần " &amp; ROUNDUP(Q664/20,0),"")</f>
        <v/>
      </c>
      <c r="AC664" s="11">
        <f>IF(ROUNDUP(R664/20,0)&gt;ROUNDUP(R663/20,0),"Lần " &amp; ROUNDUP(R664/20,0),"")</f>
        <v/>
      </c>
      <c r="AD664" s="11">
        <f>IF(ROUNDUP(S664/20,0)&gt;ROUNDUP(S663/20,0),"Lần " &amp; ROUNDUP(S664/20,0),"")</f>
        <v/>
      </c>
      <c r="AE664" s="11">
        <f>IF(ROUNDUP(T664/20,0)&gt;ROUNDUP(T663/20,0),"Lần " &amp; ROUNDUP(T664/20,0),"")</f>
        <v/>
      </c>
      <c r="AF664" s="11">
        <f>IF(ROUNDUP(U664/20,0)&gt;ROUNDUP(U663/20,0),"Lần " &amp; ROUNDUP(U664/20,0),"")</f>
        <v/>
      </c>
      <c r="AG664" s="11">
        <f>IF(ROUNDUP(V664/20,0)&gt;ROUNDUP(V663/20,0),"Lần " &amp; ROUNDUP(V664/20,0),"")</f>
        <v/>
      </c>
      <c r="AH664" s="11">
        <f>IF(ROUNDUP(W664/20,0)&gt;ROUNDUP(W663/20,0),"Lần " &amp; ROUNDUP(W664/20,0),"")</f>
        <v/>
      </c>
      <c r="AI664" s="11">
        <f>IF(ROUNDUP(X664/20,0)&gt;ROUNDUP(X663/20,0),"Lần " &amp; ROUNDUP(X664/20,0),"")</f>
        <v/>
      </c>
      <c r="AJ664" s="11">
        <f>IF(ROUNDUP(Y664/20,0)&gt;ROUNDUP(Y663/20,0),"Lần " &amp; ROUNDUP(Y664/20,0),"")</f>
        <v/>
      </c>
      <c r="AK664" s="11">
        <f>IF(ROUNDUP(Z664/20,0)&gt;ROUNDUP(Z663/20,0),"Lần " &amp; ROUNDUP(Z664/20,0),"")</f>
        <v/>
      </c>
      <c r="AL664" s="6" t="n"/>
      <c r="AN664" t="inlineStr">
        <is>
          <t>Coc</t>
        </is>
      </c>
      <c r="AO664" t="n">
        <v>20</v>
      </c>
    </row>
    <row r="665" ht="19" customHeight="1">
      <c r="A665" s="6" t="n">
        <v>632</v>
      </c>
      <c r="B665" s="7" t="inlineStr">
        <is>
          <t>Cọc khoan nhồi C6 Trụ T2 (D1.2m, L=30.0m)</t>
        </is>
      </c>
      <c r="C665" s="7" t="inlineStr">
        <is>
          <t>Cọc trụ T2 L=30m (tr.70)</t>
        </is>
      </c>
      <c r="D665" s="18" t="inlineStr">
        <is>
          <t>P11</t>
        </is>
      </c>
      <c r="E665" s="19" t="n">
        <v>16</v>
      </c>
      <c r="F665" s="6" t="inlineStr">
        <is>
          <t>CB400-V</t>
        </is>
      </c>
      <c r="G665" s="7" t="inlineStr"/>
      <c r="H665" s="20" t="n">
        <v>2.604</v>
      </c>
      <c r="I665" s="21" t="n">
        <v>4</v>
      </c>
      <c r="J665" s="22" t="n">
        <v>1.578</v>
      </c>
      <c r="K665" s="9">
        <f>ROUND(H665*I665*J665, 2)</f>
        <v/>
      </c>
      <c r="L665" s="23">
        <f>ROUND(K665/1000, 3)</f>
        <v/>
      </c>
      <c r="M665" s="8">
        <f>IF(AO665="","",IF(INDEX(Theo_Doi_Tan_Suat_Be_Tong!$C:$C,AO665)="","",INDEX(Theo_Doi_Tan_Suat_Be_Tong!$C:$C,AO665)-VLOOKUP(AN665,$AQ$2:$AR$7,2,FALSE)))</f>
        <v/>
      </c>
      <c r="N665" s="6" t="n"/>
      <c r="O665" s="24">
        <f>IF(ROUNDUP(S665/20,0)&gt;ROUNDUP(S664/20,0),"TN Ø16 (Lần " &amp; ROUNDUP(S665/20,0) &amp; ")","")</f>
        <v/>
      </c>
      <c r="P665" s="20">
        <f>ROUND(P664+IF(AND(E665&lt;=10,F665&lt;&gt;"ASTM A416"),L665,0),3)</f>
        <v/>
      </c>
      <c r="Q665" s="20">
        <f>ROUND(Q664+IF(AND(E665=12,F665&lt;&gt;"ASTM A416"),L665,0),3)</f>
        <v/>
      </c>
      <c r="R665" s="20">
        <f>ROUND(R664+IF(AND(E665=14,F665&lt;&gt;"ASTM A416"),L665,0),3)</f>
        <v/>
      </c>
      <c r="S665" s="20">
        <f>ROUND(S664+IF(AND(E665=16,F665&lt;&gt;"ASTM A416"),L665,0),3)</f>
        <v/>
      </c>
      <c r="T665" s="20">
        <f>ROUND(T664+IF(AND(E665=18,F665&lt;&gt;"ASTM A416"),L665,0),3)</f>
        <v/>
      </c>
      <c r="U665" s="20">
        <f>ROUND(U664+IF(AND(E665=20,F665&lt;&gt;"ASTM A416"),L665,0),3)</f>
        <v/>
      </c>
      <c r="V665" s="20">
        <f>ROUND(V664+IF(AND(E665=22,F665&lt;&gt;"ASTM A416"),L665,0),3)</f>
        <v/>
      </c>
      <c r="W665" s="20">
        <f>ROUND(W664+IF(AND(E665=25,F665&lt;&gt;"ASTM A416"),L665,0),3)</f>
        <v/>
      </c>
      <c r="X665" s="20">
        <f>ROUND(X664+IF(AND(E665=28,F665&lt;&gt;"ASTM A416"),L665,0),3)</f>
        <v/>
      </c>
      <c r="Y665" s="20">
        <f>ROUND(Y664+IF(AND(E665=32,F665&lt;&gt;"ASTM A416"),L665,0),3)</f>
        <v/>
      </c>
      <c r="Z665" s="20">
        <f>ROUND(Z664+IF(F665="ASTM A416",L665,0),3)</f>
        <v/>
      </c>
      <c r="AA665" s="11">
        <f>IF(ROUNDUP(P665/20,0)&gt;ROUNDUP(P664/20,0),"Lần " &amp; ROUNDUP(P665/20,0),"")</f>
        <v/>
      </c>
      <c r="AB665" s="11">
        <f>IF(ROUNDUP(Q665/20,0)&gt;ROUNDUP(Q664/20,0),"Lần " &amp; ROUNDUP(Q665/20,0),"")</f>
        <v/>
      </c>
      <c r="AC665" s="11">
        <f>IF(ROUNDUP(R665/20,0)&gt;ROUNDUP(R664/20,0),"Lần " &amp; ROUNDUP(R665/20,0),"")</f>
        <v/>
      </c>
      <c r="AD665" s="11">
        <f>IF(ROUNDUP(S665/20,0)&gt;ROUNDUP(S664/20,0),"Lần " &amp; ROUNDUP(S665/20,0),"")</f>
        <v/>
      </c>
      <c r="AE665" s="11">
        <f>IF(ROUNDUP(T665/20,0)&gt;ROUNDUP(T664/20,0),"Lần " &amp; ROUNDUP(T665/20,0),"")</f>
        <v/>
      </c>
      <c r="AF665" s="11">
        <f>IF(ROUNDUP(U665/20,0)&gt;ROUNDUP(U664/20,0),"Lần " &amp; ROUNDUP(U665/20,0),"")</f>
        <v/>
      </c>
      <c r="AG665" s="11">
        <f>IF(ROUNDUP(V665/20,0)&gt;ROUNDUP(V664/20,0),"Lần " &amp; ROUNDUP(V665/20,0),"")</f>
        <v/>
      </c>
      <c r="AH665" s="11">
        <f>IF(ROUNDUP(W665/20,0)&gt;ROUNDUP(W664/20,0),"Lần " &amp; ROUNDUP(W665/20,0),"")</f>
        <v/>
      </c>
      <c r="AI665" s="11">
        <f>IF(ROUNDUP(X665/20,0)&gt;ROUNDUP(X664/20,0),"Lần " &amp; ROUNDUP(X665/20,0),"")</f>
        <v/>
      </c>
      <c r="AJ665" s="11">
        <f>IF(ROUNDUP(Y665/20,0)&gt;ROUNDUP(Y664/20,0),"Lần " &amp; ROUNDUP(Y665/20,0),"")</f>
        <v/>
      </c>
      <c r="AK665" s="11">
        <f>IF(ROUNDUP(Z665/20,0)&gt;ROUNDUP(Z664/20,0),"Lần " &amp; ROUNDUP(Z665/20,0),"")</f>
        <v/>
      </c>
      <c r="AL665" s="6" t="n"/>
      <c r="AN665" t="inlineStr">
        <is>
          <t>Coc</t>
        </is>
      </c>
      <c r="AO665" t="n">
        <v>20</v>
      </c>
    </row>
    <row r="666" ht="19" customHeight="1">
      <c r="A666" s="17" t="inlineStr">
        <is>
          <t>--- CỌC KHOAN NHỒI C7 TRỤ T2 (D1.2M, L=30.0M) ---</t>
        </is>
      </c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  <c r="AG666" s="35" t="n"/>
      <c r="AH666" s="35" t="n"/>
      <c r="AI666" s="35" t="n"/>
      <c r="AJ666" s="35" t="n"/>
      <c r="AK666" s="35" t="n"/>
      <c r="AL666" s="34" t="n"/>
    </row>
    <row r="667" ht="19" customHeight="1">
      <c r="A667" s="6" t="n">
        <v>633</v>
      </c>
      <c r="B667" s="7" t="inlineStr">
        <is>
          <t>Cọc khoan nhồi C7 Trụ T2 (D1.2m, L=30.0m)</t>
        </is>
      </c>
      <c r="C667" s="7" t="inlineStr">
        <is>
          <t>Cọc trụ T2 L=30m (tr.70)</t>
        </is>
      </c>
      <c r="D667" s="18" t="inlineStr">
        <is>
          <t>P1</t>
        </is>
      </c>
      <c r="E667" s="19" t="n">
        <v>10</v>
      </c>
      <c r="F667" s="6" t="inlineStr">
        <is>
          <t>CB240-T</t>
        </is>
      </c>
      <c r="G667" s="7" t="inlineStr"/>
      <c r="H667" s="20" t="n">
        <v>96.604</v>
      </c>
      <c r="I667" s="21" t="n">
        <v>1</v>
      </c>
      <c r="J667" s="22" t="n">
        <v>0.617</v>
      </c>
      <c r="K667" s="9">
        <f>ROUND(H667*I667*J667, 2)</f>
        <v/>
      </c>
      <c r="L667" s="23">
        <f>ROUND(K667/1000, 3)</f>
        <v/>
      </c>
      <c r="M667" s="8">
        <f>IF(AO667="","",IF(INDEX(Theo_Doi_Tan_Suat_Be_Tong!$C:$C,AO667)="","",INDEX(Theo_Doi_Tan_Suat_Be_Tong!$C:$C,AO667)-VLOOKUP(AN667,$AQ$2:$AR$7,2,FALSE)))</f>
        <v/>
      </c>
      <c r="N667" s="6" t="n"/>
      <c r="O667" s="24">
        <f>IF(ROUNDUP(P667/20,0)&gt;ROUNDUP(P665/20,0),"TN Ø10 (Lần " &amp; ROUNDUP(P667/20,0) &amp; ")","")</f>
        <v/>
      </c>
      <c r="P667" s="20">
        <f>ROUND(P665+IF(AND(E667&lt;=10,F667&lt;&gt;"ASTM A416"),L667,0),3)</f>
        <v/>
      </c>
      <c r="Q667" s="20">
        <f>ROUND(Q665+IF(AND(E667=12,F667&lt;&gt;"ASTM A416"),L667,0),3)</f>
        <v/>
      </c>
      <c r="R667" s="20">
        <f>ROUND(R665+IF(AND(E667=14,F667&lt;&gt;"ASTM A416"),L667,0),3)</f>
        <v/>
      </c>
      <c r="S667" s="20">
        <f>ROUND(S665+IF(AND(E667=16,F667&lt;&gt;"ASTM A416"),L667,0),3)</f>
        <v/>
      </c>
      <c r="T667" s="20">
        <f>ROUND(T665+IF(AND(E667=18,F667&lt;&gt;"ASTM A416"),L667,0),3)</f>
        <v/>
      </c>
      <c r="U667" s="20">
        <f>ROUND(U665+IF(AND(E667=20,F667&lt;&gt;"ASTM A416"),L667,0),3)</f>
        <v/>
      </c>
      <c r="V667" s="20">
        <f>ROUND(V665+IF(AND(E667=22,F667&lt;&gt;"ASTM A416"),L667,0),3)</f>
        <v/>
      </c>
      <c r="W667" s="20">
        <f>ROUND(W665+IF(AND(E667=25,F667&lt;&gt;"ASTM A416"),L667,0),3)</f>
        <v/>
      </c>
      <c r="X667" s="20">
        <f>ROUND(X665+IF(AND(E667=28,F667&lt;&gt;"ASTM A416"),L667,0),3)</f>
        <v/>
      </c>
      <c r="Y667" s="20">
        <f>ROUND(Y665+IF(AND(E667=32,F667&lt;&gt;"ASTM A416"),L667,0),3)</f>
        <v/>
      </c>
      <c r="Z667" s="20">
        <f>ROUND(Z665+IF(F667="ASTM A416",L667,0),3)</f>
        <v/>
      </c>
      <c r="AA667" s="11">
        <f>IF(ROUNDUP(P667/20,0)&gt;ROUNDUP(P665/20,0),"Lần " &amp; ROUNDUP(P667/20,0),"")</f>
        <v/>
      </c>
      <c r="AB667" s="11">
        <f>IF(ROUNDUP(Q667/20,0)&gt;ROUNDUP(Q665/20,0),"Lần " &amp; ROUNDUP(Q667/20,0),"")</f>
        <v/>
      </c>
      <c r="AC667" s="11">
        <f>IF(ROUNDUP(R667/20,0)&gt;ROUNDUP(R665/20,0),"Lần " &amp; ROUNDUP(R667/20,0),"")</f>
        <v/>
      </c>
      <c r="AD667" s="11">
        <f>IF(ROUNDUP(S667/20,0)&gt;ROUNDUP(S665/20,0),"Lần " &amp; ROUNDUP(S667/20,0),"")</f>
        <v/>
      </c>
      <c r="AE667" s="11">
        <f>IF(ROUNDUP(T667/20,0)&gt;ROUNDUP(T665/20,0),"Lần " &amp; ROUNDUP(T667/20,0),"")</f>
        <v/>
      </c>
      <c r="AF667" s="11">
        <f>IF(ROUNDUP(U667/20,0)&gt;ROUNDUP(U665/20,0),"Lần " &amp; ROUNDUP(U667/20,0),"")</f>
        <v/>
      </c>
      <c r="AG667" s="11">
        <f>IF(ROUNDUP(V667/20,0)&gt;ROUNDUP(V665/20,0),"Lần " &amp; ROUNDUP(V667/20,0),"")</f>
        <v/>
      </c>
      <c r="AH667" s="11">
        <f>IF(ROUNDUP(W667/20,0)&gt;ROUNDUP(W665/20,0),"Lần " &amp; ROUNDUP(W667/20,0),"")</f>
        <v/>
      </c>
      <c r="AI667" s="11">
        <f>IF(ROUNDUP(X667/20,0)&gt;ROUNDUP(X665/20,0),"Lần " &amp; ROUNDUP(X667/20,0),"")</f>
        <v/>
      </c>
      <c r="AJ667" s="11">
        <f>IF(ROUNDUP(Y667/20,0)&gt;ROUNDUP(Y665/20,0),"Lần " &amp; ROUNDUP(Y667/20,0),"")</f>
        <v/>
      </c>
      <c r="AK667" s="11">
        <f>IF(ROUNDUP(Z667/20,0)&gt;ROUNDUP(Z665/20,0),"Lần " &amp; ROUNDUP(Z667/20,0),"")</f>
        <v/>
      </c>
      <c r="AL667" s="6" t="n"/>
      <c r="AN667" t="inlineStr">
        <is>
          <t>Coc</t>
        </is>
      </c>
      <c r="AO667" t="n">
        <v>21</v>
      </c>
    </row>
    <row r="668" ht="19" customHeight="1">
      <c r="A668" s="6" t="n">
        <v>634</v>
      </c>
      <c r="B668" s="7" t="inlineStr">
        <is>
          <t>Cọc khoan nhồi C7 Trụ T2 (D1.2m, L=30.0m)</t>
        </is>
      </c>
      <c r="C668" s="7" t="inlineStr">
        <is>
          <t>Cọc trụ T2 L=30m (tr.70)</t>
        </is>
      </c>
      <c r="D668" s="18" t="inlineStr">
        <is>
          <t>P1A</t>
        </is>
      </c>
      <c r="E668" s="19" t="n">
        <v>10</v>
      </c>
      <c r="F668" s="6" t="inlineStr">
        <is>
          <t>CB240-T</t>
        </is>
      </c>
      <c r="G668" s="7" t="inlineStr"/>
      <c r="H668" s="20" t="n">
        <v>389.636</v>
      </c>
      <c r="I668" s="21" t="n">
        <v>1</v>
      </c>
      <c r="J668" s="22" t="n">
        <v>0.617</v>
      </c>
      <c r="K668" s="9">
        <f>ROUND(H668*I668*J668, 2)</f>
        <v/>
      </c>
      <c r="L668" s="23">
        <f>ROUND(K668/1000, 3)</f>
        <v/>
      </c>
      <c r="M668" s="8">
        <f>IF(AO668="","",IF(INDEX(Theo_Doi_Tan_Suat_Be_Tong!$C:$C,AO668)="","",INDEX(Theo_Doi_Tan_Suat_Be_Tong!$C:$C,AO668)-VLOOKUP(AN668,$AQ$2:$AR$7,2,FALSE)))</f>
        <v/>
      </c>
      <c r="N668" s="6" t="n"/>
      <c r="O668" s="24">
        <f>IF(ROUNDUP(P668/20,0)&gt;ROUNDUP(P667/20,0),"TN Ø10 (Lần " &amp; ROUNDUP(P668/20,0) &amp; ")","")</f>
        <v/>
      </c>
      <c r="P668" s="20">
        <f>ROUND(P667+IF(AND(E668&lt;=10,F668&lt;&gt;"ASTM A416"),L668,0),3)</f>
        <v/>
      </c>
      <c r="Q668" s="20">
        <f>ROUND(Q667+IF(AND(E668=12,F668&lt;&gt;"ASTM A416"),L668,0),3)</f>
        <v/>
      </c>
      <c r="R668" s="20">
        <f>ROUND(R667+IF(AND(E668=14,F668&lt;&gt;"ASTM A416"),L668,0),3)</f>
        <v/>
      </c>
      <c r="S668" s="20">
        <f>ROUND(S667+IF(AND(E668=16,F668&lt;&gt;"ASTM A416"),L668,0),3)</f>
        <v/>
      </c>
      <c r="T668" s="20">
        <f>ROUND(T667+IF(AND(E668=18,F668&lt;&gt;"ASTM A416"),L668,0),3)</f>
        <v/>
      </c>
      <c r="U668" s="20">
        <f>ROUND(U667+IF(AND(E668=20,F668&lt;&gt;"ASTM A416"),L668,0),3)</f>
        <v/>
      </c>
      <c r="V668" s="20">
        <f>ROUND(V667+IF(AND(E668=22,F668&lt;&gt;"ASTM A416"),L668,0),3)</f>
        <v/>
      </c>
      <c r="W668" s="20">
        <f>ROUND(W667+IF(AND(E668=25,F668&lt;&gt;"ASTM A416"),L668,0),3)</f>
        <v/>
      </c>
      <c r="X668" s="20">
        <f>ROUND(X667+IF(AND(E668=28,F668&lt;&gt;"ASTM A416"),L668,0),3)</f>
        <v/>
      </c>
      <c r="Y668" s="20">
        <f>ROUND(Y667+IF(AND(E668=32,F668&lt;&gt;"ASTM A416"),L668,0),3)</f>
        <v/>
      </c>
      <c r="Z668" s="20">
        <f>ROUND(Z667+IF(F668="ASTM A416",L668,0),3)</f>
        <v/>
      </c>
      <c r="AA668" s="11">
        <f>IF(ROUNDUP(P668/20,0)&gt;ROUNDUP(P667/20,0),"Lần " &amp; ROUNDUP(P668/20,0),"")</f>
        <v/>
      </c>
      <c r="AB668" s="11">
        <f>IF(ROUNDUP(Q668/20,0)&gt;ROUNDUP(Q667/20,0),"Lần " &amp; ROUNDUP(Q668/20,0),"")</f>
        <v/>
      </c>
      <c r="AC668" s="11">
        <f>IF(ROUNDUP(R668/20,0)&gt;ROUNDUP(R667/20,0),"Lần " &amp; ROUNDUP(R668/20,0),"")</f>
        <v/>
      </c>
      <c r="AD668" s="11">
        <f>IF(ROUNDUP(S668/20,0)&gt;ROUNDUP(S667/20,0),"Lần " &amp; ROUNDUP(S668/20,0),"")</f>
        <v/>
      </c>
      <c r="AE668" s="11">
        <f>IF(ROUNDUP(T668/20,0)&gt;ROUNDUP(T667/20,0),"Lần " &amp; ROUNDUP(T668/20,0),"")</f>
        <v/>
      </c>
      <c r="AF668" s="11">
        <f>IF(ROUNDUP(U668/20,0)&gt;ROUNDUP(U667/20,0),"Lần " &amp; ROUNDUP(U668/20,0),"")</f>
        <v/>
      </c>
      <c r="AG668" s="11">
        <f>IF(ROUNDUP(V668/20,0)&gt;ROUNDUP(V667/20,0),"Lần " &amp; ROUNDUP(V668/20,0),"")</f>
        <v/>
      </c>
      <c r="AH668" s="11">
        <f>IF(ROUNDUP(W668/20,0)&gt;ROUNDUP(W667/20,0),"Lần " &amp; ROUNDUP(W668/20,0),"")</f>
        <v/>
      </c>
      <c r="AI668" s="11">
        <f>IF(ROUNDUP(X668/20,0)&gt;ROUNDUP(X667/20,0),"Lần " &amp; ROUNDUP(X668/20,0),"")</f>
        <v/>
      </c>
      <c r="AJ668" s="11">
        <f>IF(ROUNDUP(Y668/20,0)&gt;ROUNDUP(Y667/20,0),"Lần " &amp; ROUNDUP(Y668/20,0),"")</f>
        <v/>
      </c>
      <c r="AK668" s="11">
        <f>IF(ROUNDUP(Z668/20,0)&gt;ROUNDUP(Z667/20,0),"Lần " &amp; ROUNDUP(Z668/20,0),"")</f>
        <v/>
      </c>
      <c r="AL668" s="6" t="n"/>
      <c r="AN668" t="inlineStr">
        <is>
          <t>Coc</t>
        </is>
      </c>
      <c r="AO668" t="n">
        <v>21</v>
      </c>
    </row>
    <row r="669" ht="19" customHeight="1">
      <c r="A669" s="6" t="n">
        <v>635</v>
      </c>
      <c r="B669" s="7" t="inlineStr">
        <is>
          <t>Cọc khoan nhồi C7 Trụ T2 (D1.2m, L=30.0m)</t>
        </is>
      </c>
      <c r="C669" s="7" t="inlineStr">
        <is>
          <t>Cọc trụ T2 L=30m (tr.70)</t>
        </is>
      </c>
      <c r="D669" s="18" t="inlineStr">
        <is>
          <t>P1B</t>
        </is>
      </c>
      <c r="E669" s="19" t="n">
        <v>10</v>
      </c>
      <c r="F669" s="6" t="inlineStr">
        <is>
          <t>CB240-T</t>
        </is>
      </c>
      <c r="G669" s="7" t="inlineStr"/>
      <c r="H669" s="20" t="n">
        <v>100.256</v>
      </c>
      <c r="I669" s="21" t="n">
        <v>1</v>
      </c>
      <c r="J669" s="22" t="n">
        <v>0.617</v>
      </c>
      <c r="K669" s="9">
        <f>ROUND(H669*I669*J669, 2)</f>
        <v/>
      </c>
      <c r="L669" s="23">
        <f>ROUND(K669/1000, 3)</f>
        <v/>
      </c>
      <c r="M669" s="8">
        <f>IF(AO669="","",IF(INDEX(Theo_Doi_Tan_Suat_Be_Tong!$C:$C,AO669)="","",INDEX(Theo_Doi_Tan_Suat_Be_Tong!$C:$C,AO669)-VLOOKUP(AN669,$AQ$2:$AR$7,2,FALSE)))</f>
        <v/>
      </c>
      <c r="N669" s="6" t="n"/>
      <c r="O669" s="24">
        <f>IF(ROUNDUP(P669/20,0)&gt;ROUNDUP(P668/20,0),"TN Ø10 (Lần " &amp; ROUNDUP(P669/20,0) &amp; ")","")</f>
        <v/>
      </c>
      <c r="P669" s="20">
        <f>ROUND(P668+IF(AND(E669&lt;=10,F669&lt;&gt;"ASTM A416"),L669,0),3)</f>
        <v/>
      </c>
      <c r="Q669" s="20">
        <f>ROUND(Q668+IF(AND(E669=12,F669&lt;&gt;"ASTM A416"),L669,0),3)</f>
        <v/>
      </c>
      <c r="R669" s="20">
        <f>ROUND(R668+IF(AND(E669=14,F669&lt;&gt;"ASTM A416"),L669,0),3)</f>
        <v/>
      </c>
      <c r="S669" s="20">
        <f>ROUND(S668+IF(AND(E669=16,F669&lt;&gt;"ASTM A416"),L669,0),3)</f>
        <v/>
      </c>
      <c r="T669" s="20">
        <f>ROUND(T668+IF(AND(E669=18,F669&lt;&gt;"ASTM A416"),L669,0),3)</f>
        <v/>
      </c>
      <c r="U669" s="20">
        <f>ROUND(U668+IF(AND(E669=20,F669&lt;&gt;"ASTM A416"),L669,0),3)</f>
        <v/>
      </c>
      <c r="V669" s="20">
        <f>ROUND(V668+IF(AND(E669=22,F669&lt;&gt;"ASTM A416"),L669,0),3)</f>
        <v/>
      </c>
      <c r="W669" s="20">
        <f>ROUND(W668+IF(AND(E669=25,F669&lt;&gt;"ASTM A416"),L669,0),3)</f>
        <v/>
      </c>
      <c r="X669" s="20">
        <f>ROUND(X668+IF(AND(E669=28,F669&lt;&gt;"ASTM A416"),L669,0),3)</f>
        <v/>
      </c>
      <c r="Y669" s="20">
        <f>ROUND(Y668+IF(AND(E669=32,F669&lt;&gt;"ASTM A416"),L669,0),3)</f>
        <v/>
      </c>
      <c r="Z669" s="20">
        <f>ROUND(Z668+IF(F669="ASTM A416",L669,0),3)</f>
        <v/>
      </c>
      <c r="AA669" s="11">
        <f>IF(ROUNDUP(P669/20,0)&gt;ROUNDUP(P668/20,0),"Lần " &amp; ROUNDUP(P669/20,0),"")</f>
        <v/>
      </c>
      <c r="AB669" s="11">
        <f>IF(ROUNDUP(Q669/20,0)&gt;ROUNDUP(Q668/20,0),"Lần " &amp; ROUNDUP(Q669/20,0),"")</f>
        <v/>
      </c>
      <c r="AC669" s="11">
        <f>IF(ROUNDUP(R669/20,0)&gt;ROUNDUP(R668/20,0),"Lần " &amp; ROUNDUP(R669/20,0),"")</f>
        <v/>
      </c>
      <c r="AD669" s="11">
        <f>IF(ROUNDUP(S669/20,0)&gt;ROUNDUP(S668/20,0),"Lần " &amp; ROUNDUP(S669/20,0),"")</f>
        <v/>
      </c>
      <c r="AE669" s="11">
        <f>IF(ROUNDUP(T669/20,0)&gt;ROUNDUP(T668/20,0),"Lần " &amp; ROUNDUP(T669/20,0),"")</f>
        <v/>
      </c>
      <c r="AF669" s="11">
        <f>IF(ROUNDUP(U669/20,0)&gt;ROUNDUP(U668/20,0),"Lần " &amp; ROUNDUP(U669/20,0),"")</f>
        <v/>
      </c>
      <c r="AG669" s="11">
        <f>IF(ROUNDUP(V669/20,0)&gt;ROUNDUP(V668/20,0),"Lần " &amp; ROUNDUP(V669/20,0),"")</f>
        <v/>
      </c>
      <c r="AH669" s="11">
        <f>IF(ROUNDUP(W669/20,0)&gt;ROUNDUP(W668/20,0),"Lần " &amp; ROUNDUP(W669/20,0),"")</f>
        <v/>
      </c>
      <c r="AI669" s="11">
        <f>IF(ROUNDUP(X669/20,0)&gt;ROUNDUP(X668/20,0),"Lần " &amp; ROUNDUP(X669/20,0),"")</f>
        <v/>
      </c>
      <c r="AJ669" s="11">
        <f>IF(ROUNDUP(Y669/20,0)&gt;ROUNDUP(Y668/20,0),"Lần " &amp; ROUNDUP(Y669/20,0),"")</f>
        <v/>
      </c>
      <c r="AK669" s="11">
        <f>IF(ROUNDUP(Z669/20,0)&gt;ROUNDUP(Z668/20,0),"Lần " &amp; ROUNDUP(Z669/20,0),"")</f>
        <v/>
      </c>
      <c r="AL669" s="6" t="n"/>
      <c r="AN669" t="inlineStr">
        <is>
          <t>Coc</t>
        </is>
      </c>
      <c r="AO669" t="n">
        <v>21</v>
      </c>
    </row>
    <row r="670" ht="19" customHeight="1">
      <c r="A670" s="6" t="n">
        <v>636</v>
      </c>
      <c r="B670" s="7" t="inlineStr">
        <is>
          <t>Cọc khoan nhồi C7 Trụ T2 (D1.2m, L=30.0m)</t>
        </is>
      </c>
      <c r="C670" s="7" t="inlineStr">
        <is>
          <t>Cọc trụ T2 L=30m (tr.70)</t>
        </is>
      </c>
      <c r="D670" s="18" t="inlineStr">
        <is>
          <t>P1C</t>
        </is>
      </c>
      <c r="E670" s="19" t="n">
        <v>10</v>
      </c>
      <c r="F670" s="6" t="inlineStr">
        <is>
          <t>CB240-T</t>
        </is>
      </c>
      <c r="G670" s="7" t="inlineStr"/>
      <c r="H670" s="20" t="n">
        <v>3.592</v>
      </c>
      <c r="I670" s="21" t="n">
        <v>2</v>
      </c>
      <c r="J670" s="22" t="n">
        <v>0.617</v>
      </c>
      <c r="K670" s="9">
        <f>ROUND(H670*I670*J670, 2)</f>
        <v/>
      </c>
      <c r="L670" s="23">
        <f>ROUND(K670/1000, 3)</f>
        <v/>
      </c>
      <c r="M670" s="8">
        <f>IF(AO670="","",IF(INDEX(Theo_Doi_Tan_Suat_Be_Tong!$C:$C,AO670)="","",INDEX(Theo_Doi_Tan_Suat_Be_Tong!$C:$C,AO670)-VLOOKUP(AN670,$AQ$2:$AR$7,2,FALSE)))</f>
        <v/>
      </c>
      <c r="N670" s="6" t="n"/>
      <c r="O670" s="24">
        <f>IF(ROUNDUP(P670/20,0)&gt;ROUNDUP(P669/20,0),"TN Ø10 (Lần " &amp; ROUNDUP(P670/20,0) &amp; ")","")</f>
        <v/>
      </c>
      <c r="P670" s="20">
        <f>ROUND(P669+IF(AND(E670&lt;=10,F670&lt;&gt;"ASTM A416"),L670,0),3)</f>
        <v/>
      </c>
      <c r="Q670" s="20">
        <f>ROUND(Q669+IF(AND(E670=12,F670&lt;&gt;"ASTM A416"),L670,0),3)</f>
        <v/>
      </c>
      <c r="R670" s="20">
        <f>ROUND(R669+IF(AND(E670=14,F670&lt;&gt;"ASTM A416"),L670,0),3)</f>
        <v/>
      </c>
      <c r="S670" s="20">
        <f>ROUND(S669+IF(AND(E670=16,F670&lt;&gt;"ASTM A416"),L670,0),3)</f>
        <v/>
      </c>
      <c r="T670" s="20">
        <f>ROUND(T669+IF(AND(E670=18,F670&lt;&gt;"ASTM A416"),L670,0),3)</f>
        <v/>
      </c>
      <c r="U670" s="20">
        <f>ROUND(U669+IF(AND(E670=20,F670&lt;&gt;"ASTM A416"),L670,0),3)</f>
        <v/>
      </c>
      <c r="V670" s="20">
        <f>ROUND(V669+IF(AND(E670=22,F670&lt;&gt;"ASTM A416"),L670,0),3)</f>
        <v/>
      </c>
      <c r="W670" s="20">
        <f>ROUND(W669+IF(AND(E670=25,F670&lt;&gt;"ASTM A416"),L670,0),3)</f>
        <v/>
      </c>
      <c r="X670" s="20">
        <f>ROUND(X669+IF(AND(E670=28,F670&lt;&gt;"ASTM A416"),L670,0),3)</f>
        <v/>
      </c>
      <c r="Y670" s="20">
        <f>ROUND(Y669+IF(AND(E670=32,F670&lt;&gt;"ASTM A416"),L670,0),3)</f>
        <v/>
      </c>
      <c r="Z670" s="20">
        <f>ROUND(Z669+IF(F670="ASTM A416",L670,0),3)</f>
        <v/>
      </c>
      <c r="AA670" s="11">
        <f>IF(ROUNDUP(P670/20,0)&gt;ROUNDUP(P669/20,0),"Lần " &amp; ROUNDUP(P670/20,0),"")</f>
        <v/>
      </c>
      <c r="AB670" s="11">
        <f>IF(ROUNDUP(Q670/20,0)&gt;ROUNDUP(Q669/20,0),"Lần " &amp; ROUNDUP(Q670/20,0),"")</f>
        <v/>
      </c>
      <c r="AC670" s="11">
        <f>IF(ROUNDUP(R670/20,0)&gt;ROUNDUP(R669/20,0),"Lần " &amp; ROUNDUP(R670/20,0),"")</f>
        <v/>
      </c>
      <c r="AD670" s="11">
        <f>IF(ROUNDUP(S670/20,0)&gt;ROUNDUP(S669/20,0),"Lần " &amp; ROUNDUP(S670/20,0),"")</f>
        <v/>
      </c>
      <c r="AE670" s="11">
        <f>IF(ROUNDUP(T670/20,0)&gt;ROUNDUP(T669/20,0),"Lần " &amp; ROUNDUP(T670/20,0),"")</f>
        <v/>
      </c>
      <c r="AF670" s="11">
        <f>IF(ROUNDUP(U670/20,0)&gt;ROUNDUP(U669/20,0),"Lần " &amp; ROUNDUP(U670/20,0),"")</f>
        <v/>
      </c>
      <c r="AG670" s="11">
        <f>IF(ROUNDUP(V670/20,0)&gt;ROUNDUP(V669/20,0),"Lần " &amp; ROUNDUP(V670/20,0),"")</f>
        <v/>
      </c>
      <c r="AH670" s="11">
        <f>IF(ROUNDUP(W670/20,0)&gt;ROUNDUP(W669/20,0),"Lần " &amp; ROUNDUP(W670/20,0),"")</f>
        <v/>
      </c>
      <c r="AI670" s="11">
        <f>IF(ROUNDUP(X670/20,0)&gt;ROUNDUP(X669/20,0),"Lần " &amp; ROUNDUP(X670/20,0),"")</f>
        <v/>
      </c>
      <c r="AJ670" s="11">
        <f>IF(ROUNDUP(Y670/20,0)&gt;ROUNDUP(Y669/20,0),"Lần " &amp; ROUNDUP(Y670/20,0),"")</f>
        <v/>
      </c>
      <c r="AK670" s="11">
        <f>IF(ROUNDUP(Z670/20,0)&gt;ROUNDUP(Z669/20,0),"Lần " &amp; ROUNDUP(Z670/20,0),"")</f>
        <v/>
      </c>
      <c r="AL670" s="6" t="n"/>
      <c r="AN670" t="inlineStr">
        <is>
          <t>Coc</t>
        </is>
      </c>
      <c r="AO670" t="n">
        <v>21</v>
      </c>
    </row>
    <row r="671" ht="19" customHeight="1">
      <c r="A671" s="6" t="n">
        <v>637</v>
      </c>
      <c r="B671" s="7" t="inlineStr">
        <is>
          <t>Cọc khoan nhồi C7 Trụ T2 (D1.2m, L=30.0m)</t>
        </is>
      </c>
      <c r="C671" s="7" t="inlineStr">
        <is>
          <t>Cọc trụ T2 L=30m (tr.70)</t>
        </is>
      </c>
      <c r="D671" s="18" t="inlineStr">
        <is>
          <t>P1D</t>
        </is>
      </c>
      <c r="E671" s="19" t="n">
        <v>10</v>
      </c>
      <c r="F671" s="6" t="inlineStr">
        <is>
          <t>CB240-T</t>
        </is>
      </c>
      <c r="G671" s="7" t="inlineStr"/>
      <c r="H671" s="20" t="n">
        <v>19.721</v>
      </c>
      <c r="I671" s="21" t="n">
        <v>1</v>
      </c>
      <c r="J671" s="22" t="n">
        <v>0.617</v>
      </c>
      <c r="K671" s="9">
        <f>ROUND(H671*I671*J671, 2)</f>
        <v/>
      </c>
      <c r="L671" s="23">
        <f>ROUND(K671/1000, 3)</f>
        <v/>
      </c>
      <c r="M671" s="8">
        <f>IF(AO671="","",IF(INDEX(Theo_Doi_Tan_Suat_Be_Tong!$C:$C,AO671)="","",INDEX(Theo_Doi_Tan_Suat_Be_Tong!$C:$C,AO671)-VLOOKUP(AN671,$AQ$2:$AR$7,2,FALSE)))</f>
        <v/>
      </c>
      <c r="N671" s="6" t="n"/>
      <c r="O671" s="24">
        <f>IF(ROUNDUP(P671/20,0)&gt;ROUNDUP(P670/20,0),"TN Ø10 (Lần " &amp; ROUNDUP(P671/20,0) &amp; ")","")</f>
        <v/>
      </c>
      <c r="P671" s="20">
        <f>ROUND(P670+IF(AND(E671&lt;=10,F671&lt;&gt;"ASTM A416"),L671,0),3)</f>
        <v/>
      </c>
      <c r="Q671" s="20">
        <f>ROUND(Q670+IF(AND(E671=12,F671&lt;&gt;"ASTM A416"),L671,0),3)</f>
        <v/>
      </c>
      <c r="R671" s="20">
        <f>ROUND(R670+IF(AND(E671=14,F671&lt;&gt;"ASTM A416"),L671,0),3)</f>
        <v/>
      </c>
      <c r="S671" s="20">
        <f>ROUND(S670+IF(AND(E671=16,F671&lt;&gt;"ASTM A416"),L671,0),3)</f>
        <v/>
      </c>
      <c r="T671" s="20">
        <f>ROUND(T670+IF(AND(E671=18,F671&lt;&gt;"ASTM A416"),L671,0),3)</f>
        <v/>
      </c>
      <c r="U671" s="20">
        <f>ROUND(U670+IF(AND(E671=20,F671&lt;&gt;"ASTM A416"),L671,0),3)</f>
        <v/>
      </c>
      <c r="V671" s="20">
        <f>ROUND(V670+IF(AND(E671=22,F671&lt;&gt;"ASTM A416"),L671,0),3)</f>
        <v/>
      </c>
      <c r="W671" s="20">
        <f>ROUND(W670+IF(AND(E671=25,F671&lt;&gt;"ASTM A416"),L671,0),3)</f>
        <v/>
      </c>
      <c r="X671" s="20">
        <f>ROUND(X670+IF(AND(E671=28,F671&lt;&gt;"ASTM A416"),L671,0),3)</f>
        <v/>
      </c>
      <c r="Y671" s="20">
        <f>ROUND(Y670+IF(AND(E671=32,F671&lt;&gt;"ASTM A416"),L671,0),3)</f>
        <v/>
      </c>
      <c r="Z671" s="20">
        <f>ROUND(Z670+IF(F671="ASTM A416",L671,0),3)</f>
        <v/>
      </c>
      <c r="AA671" s="11">
        <f>IF(ROUNDUP(P671/20,0)&gt;ROUNDUP(P670/20,0),"Lần " &amp; ROUNDUP(P671/20,0),"")</f>
        <v/>
      </c>
      <c r="AB671" s="11">
        <f>IF(ROUNDUP(Q671/20,0)&gt;ROUNDUP(Q670/20,0),"Lần " &amp; ROUNDUP(Q671/20,0),"")</f>
        <v/>
      </c>
      <c r="AC671" s="11">
        <f>IF(ROUNDUP(R671/20,0)&gt;ROUNDUP(R670/20,0),"Lần " &amp; ROUNDUP(R671/20,0),"")</f>
        <v/>
      </c>
      <c r="AD671" s="11">
        <f>IF(ROUNDUP(S671/20,0)&gt;ROUNDUP(S670/20,0),"Lần " &amp; ROUNDUP(S671/20,0),"")</f>
        <v/>
      </c>
      <c r="AE671" s="11">
        <f>IF(ROUNDUP(T671/20,0)&gt;ROUNDUP(T670/20,0),"Lần " &amp; ROUNDUP(T671/20,0),"")</f>
        <v/>
      </c>
      <c r="AF671" s="11">
        <f>IF(ROUNDUP(U671/20,0)&gt;ROUNDUP(U670/20,0),"Lần " &amp; ROUNDUP(U671/20,0),"")</f>
        <v/>
      </c>
      <c r="AG671" s="11">
        <f>IF(ROUNDUP(V671/20,0)&gt;ROUNDUP(V670/20,0),"Lần " &amp; ROUNDUP(V671/20,0),"")</f>
        <v/>
      </c>
      <c r="AH671" s="11">
        <f>IF(ROUNDUP(W671/20,0)&gt;ROUNDUP(W670/20,0),"Lần " &amp; ROUNDUP(W671/20,0),"")</f>
        <v/>
      </c>
      <c r="AI671" s="11">
        <f>IF(ROUNDUP(X671/20,0)&gt;ROUNDUP(X670/20,0),"Lần " &amp; ROUNDUP(X671/20,0),"")</f>
        <v/>
      </c>
      <c r="AJ671" s="11">
        <f>IF(ROUNDUP(Y671/20,0)&gt;ROUNDUP(Y670/20,0),"Lần " &amp; ROUNDUP(Y671/20,0),"")</f>
        <v/>
      </c>
      <c r="AK671" s="11">
        <f>IF(ROUNDUP(Z671/20,0)&gt;ROUNDUP(Z670/20,0),"Lần " &amp; ROUNDUP(Z671/20,0),"")</f>
        <v/>
      </c>
      <c r="AL671" s="6" t="n"/>
      <c r="AN671" t="inlineStr">
        <is>
          <t>Coc</t>
        </is>
      </c>
      <c r="AO671" t="n">
        <v>21</v>
      </c>
    </row>
    <row r="672" ht="19" customHeight="1">
      <c r="A672" s="6" t="n">
        <v>638</v>
      </c>
      <c r="B672" s="7" t="inlineStr">
        <is>
          <t>Cọc khoan nhồi C7 Trụ T2 (D1.2m, L=30.0m)</t>
        </is>
      </c>
      <c r="C672" s="7" t="inlineStr">
        <is>
          <t>Cọc trụ T2 L=30m (tr.70)</t>
        </is>
      </c>
      <c r="D672" s="18" t="inlineStr">
        <is>
          <t>P2B</t>
        </is>
      </c>
      <c r="E672" s="19" t="n">
        <v>25</v>
      </c>
      <c r="F672" s="6" t="inlineStr">
        <is>
          <t>CB400-V</t>
        </is>
      </c>
      <c r="G672" s="7" t="inlineStr"/>
      <c r="H672" s="20" t="n">
        <v>2.985</v>
      </c>
      <c r="I672" s="21" t="n">
        <v>12</v>
      </c>
      <c r="J672" s="22" t="n">
        <v>3.853</v>
      </c>
      <c r="K672" s="9">
        <f>ROUND(H672*I672*J672, 2)</f>
        <v/>
      </c>
      <c r="L672" s="23">
        <f>ROUND(K672/1000, 3)</f>
        <v/>
      </c>
      <c r="M672" s="8">
        <f>IF(AO672="","",IF(INDEX(Theo_Doi_Tan_Suat_Be_Tong!$C:$C,AO672)="","",INDEX(Theo_Doi_Tan_Suat_Be_Tong!$C:$C,AO672)-VLOOKUP(AN672,$AQ$2:$AR$7,2,FALSE)))</f>
        <v/>
      </c>
      <c r="N672" s="6" t="n"/>
      <c r="O672" s="24">
        <f>IF(ROUNDUP(W672/20,0)&gt;ROUNDUP(W671/20,0),"TN Ø25 (Lần " &amp; ROUNDUP(W672/20,0) &amp; ")","")</f>
        <v/>
      </c>
      <c r="P672" s="20">
        <f>ROUND(P671+IF(AND(E672&lt;=10,F672&lt;&gt;"ASTM A416"),L672,0),3)</f>
        <v/>
      </c>
      <c r="Q672" s="20">
        <f>ROUND(Q671+IF(AND(E672=12,F672&lt;&gt;"ASTM A416"),L672,0),3)</f>
        <v/>
      </c>
      <c r="R672" s="20">
        <f>ROUND(R671+IF(AND(E672=14,F672&lt;&gt;"ASTM A416"),L672,0),3)</f>
        <v/>
      </c>
      <c r="S672" s="20">
        <f>ROUND(S671+IF(AND(E672=16,F672&lt;&gt;"ASTM A416"),L672,0),3)</f>
        <v/>
      </c>
      <c r="T672" s="20">
        <f>ROUND(T671+IF(AND(E672=18,F672&lt;&gt;"ASTM A416"),L672,0),3)</f>
        <v/>
      </c>
      <c r="U672" s="20">
        <f>ROUND(U671+IF(AND(E672=20,F672&lt;&gt;"ASTM A416"),L672,0),3)</f>
        <v/>
      </c>
      <c r="V672" s="20">
        <f>ROUND(V671+IF(AND(E672=22,F672&lt;&gt;"ASTM A416"),L672,0),3)</f>
        <v/>
      </c>
      <c r="W672" s="20">
        <f>ROUND(W671+IF(AND(E672=25,F672&lt;&gt;"ASTM A416"),L672,0),3)</f>
        <v/>
      </c>
      <c r="X672" s="20">
        <f>ROUND(X671+IF(AND(E672=28,F672&lt;&gt;"ASTM A416"),L672,0),3)</f>
        <v/>
      </c>
      <c r="Y672" s="20">
        <f>ROUND(Y671+IF(AND(E672=32,F672&lt;&gt;"ASTM A416"),L672,0),3)</f>
        <v/>
      </c>
      <c r="Z672" s="20">
        <f>ROUND(Z671+IF(F672="ASTM A416",L672,0),3)</f>
        <v/>
      </c>
      <c r="AA672" s="11">
        <f>IF(ROUNDUP(P672/20,0)&gt;ROUNDUP(P671/20,0),"Lần " &amp; ROUNDUP(P672/20,0),"")</f>
        <v/>
      </c>
      <c r="AB672" s="11">
        <f>IF(ROUNDUP(Q672/20,0)&gt;ROUNDUP(Q671/20,0),"Lần " &amp; ROUNDUP(Q672/20,0),"")</f>
        <v/>
      </c>
      <c r="AC672" s="11">
        <f>IF(ROUNDUP(R672/20,0)&gt;ROUNDUP(R671/20,0),"Lần " &amp; ROUNDUP(R672/20,0),"")</f>
        <v/>
      </c>
      <c r="AD672" s="11">
        <f>IF(ROUNDUP(S672/20,0)&gt;ROUNDUP(S671/20,0),"Lần " &amp; ROUNDUP(S672/20,0),"")</f>
        <v/>
      </c>
      <c r="AE672" s="11">
        <f>IF(ROUNDUP(T672/20,0)&gt;ROUNDUP(T671/20,0),"Lần " &amp; ROUNDUP(T672/20,0),"")</f>
        <v/>
      </c>
      <c r="AF672" s="11">
        <f>IF(ROUNDUP(U672/20,0)&gt;ROUNDUP(U671/20,0),"Lần " &amp; ROUNDUP(U672/20,0),"")</f>
        <v/>
      </c>
      <c r="AG672" s="11">
        <f>IF(ROUNDUP(V672/20,0)&gt;ROUNDUP(V671/20,0),"Lần " &amp; ROUNDUP(V672/20,0),"")</f>
        <v/>
      </c>
      <c r="AH672" s="11">
        <f>IF(ROUNDUP(W672/20,0)&gt;ROUNDUP(W671/20,0),"Lần " &amp; ROUNDUP(W672/20,0),"")</f>
        <v/>
      </c>
      <c r="AI672" s="11">
        <f>IF(ROUNDUP(X672/20,0)&gt;ROUNDUP(X671/20,0),"Lần " &amp; ROUNDUP(X672/20,0),"")</f>
        <v/>
      </c>
      <c r="AJ672" s="11">
        <f>IF(ROUNDUP(Y672/20,0)&gt;ROUNDUP(Y671/20,0),"Lần " &amp; ROUNDUP(Y672/20,0),"")</f>
        <v/>
      </c>
      <c r="AK672" s="11">
        <f>IF(ROUNDUP(Z672/20,0)&gt;ROUNDUP(Z671/20,0),"Lần " &amp; ROUNDUP(Z672/20,0),"")</f>
        <v/>
      </c>
      <c r="AL672" s="6" t="n"/>
      <c r="AN672" t="inlineStr">
        <is>
          <t>Coc</t>
        </is>
      </c>
      <c r="AO672" t="n">
        <v>21</v>
      </c>
    </row>
    <row r="673" ht="19" customHeight="1">
      <c r="A673" s="6" t="n">
        <v>639</v>
      </c>
      <c r="B673" s="7" t="inlineStr">
        <is>
          <t>Cọc khoan nhồi C7 Trụ T2 (D1.2m, L=30.0m)</t>
        </is>
      </c>
      <c r="C673" s="7" t="inlineStr">
        <is>
          <t>Cọc trụ T2 L=30m (tr.70)</t>
        </is>
      </c>
      <c r="D673" s="18" t="inlineStr">
        <is>
          <t>P3</t>
        </is>
      </c>
      <c r="E673" s="19" t="n">
        <v>25</v>
      </c>
      <c r="F673" s="6" t="inlineStr">
        <is>
          <t>CB400-V</t>
        </is>
      </c>
      <c r="G673" s="7" t="inlineStr"/>
      <c r="H673" s="20" t="n">
        <v>10.7</v>
      </c>
      <c r="I673" s="21" t="n">
        <v>12</v>
      </c>
      <c r="J673" s="22" t="n">
        <v>3.853</v>
      </c>
      <c r="K673" s="9">
        <f>ROUND(H673*I673*J673, 2)</f>
        <v/>
      </c>
      <c r="L673" s="23">
        <f>ROUND(K673/1000, 3)</f>
        <v/>
      </c>
      <c r="M673" s="8">
        <f>IF(AO673="","",IF(INDEX(Theo_Doi_Tan_Suat_Be_Tong!$C:$C,AO673)="","",INDEX(Theo_Doi_Tan_Suat_Be_Tong!$C:$C,AO673)-VLOOKUP(AN673,$AQ$2:$AR$7,2,FALSE)))</f>
        <v/>
      </c>
      <c r="N673" s="6" t="n"/>
      <c r="O673" s="24">
        <f>IF(ROUNDUP(W673/20,0)&gt;ROUNDUP(W672/20,0),"TN Ø25 (Lần " &amp; ROUNDUP(W673/20,0) &amp; ")","")</f>
        <v/>
      </c>
      <c r="P673" s="20">
        <f>ROUND(P672+IF(AND(E673&lt;=10,F673&lt;&gt;"ASTM A416"),L673,0),3)</f>
        <v/>
      </c>
      <c r="Q673" s="20">
        <f>ROUND(Q672+IF(AND(E673=12,F673&lt;&gt;"ASTM A416"),L673,0),3)</f>
        <v/>
      </c>
      <c r="R673" s="20">
        <f>ROUND(R672+IF(AND(E673=14,F673&lt;&gt;"ASTM A416"),L673,0),3)</f>
        <v/>
      </c>
      <c r="S673" s="20">
        <f>ROUND(S672+IF(AND(E673=16,F673&lt;&gt;"ASTM A416"),L673,0),3)</f>
        <v/>
      </c>
      <c r="T673" s="20">
        <f>ROUND(T672+IF(AND(E673=18,F673&lt;&gt;"ASTM A416"),L673,0),3)</f>
        <v/>
      </c>
      <c r="U673" s="20">
        <f>ROUND(U672+IF(AND(E673=20,F673&lt;&gt;"ASTM A416"),L673,0),3)</f>
        <v/>
      </c>
      <c r="V673" s="20">
        <f>ROUND(V672+IF(AND(E673=22,F673&lt;&gt;"ASTM A416"),L673,0),3)</f>
        <v/>
      </c>
      <c r="W673" s="20">
        <f>ROUND(W672+IF(AND(E673=25,F673&lt;&gt;"ASTM A416"),L673,0),3)</f>
        <v/>
      </c>
      <c r="X673" s="20">
        <f>ROUND(X672+IF(AND(E673=28,F673&lt;&gt;"ASTM A416"),L673,0),3)</f>
        <v/>
      </c>
      <c r="Y673" s="20">
        <f>ROUND(Y672+IF(AND(E673=32,F673&lt;&gt;"ASTM A416"),L673,0),3)</f>
        <v/>
      </c>
      <c r="Z673" s="20">
        <f>ROUND(Z672+IF(F673="ASTM A416",L673,0),3)</f>
        <v/>
      </c>
      <c r="AA673" s="11">
        <f>IF(ROUNDUP(P673/20,0)&gt;ROUNDUP(P672/20,0),"Lần " &amp; ROUNDUP(P673/20,0),"")</f>
        <v/>
      </c>
      <c r="AB673" s="11">
        <f>IF(ROUNDUP(Q673/20,0)&gt;ROUNDUP(Q672/20,0),"Lần " &amp; ROUNDUP(Q673/20,0),"")</f>
        <v/>
      </c>
      <c r="AC673" s="11">
        <f>IF(ROUNDUP(R673/20,0)&gt;ROUNDUP(R672/20,0),"Lần " &amp; ROUNDUP(R673/20,0),"")</f>
        <v/>
      </c>
      <c r="AD673" s="11">
        <f>IF(ROUNDUP(S673/20,0)&gt;ROUNDUP(S672/20,0),"Lần " &amp; ROUNDUP(S673/20,0),"")</f>
        <v/>
      </c>
      <c r="AE673" s="11">
        <f>IF(ROUNDUP(T673/20,0)&gt;ROUNDUP(T672/20,0),"Lần " &amp; ROUNDUP(T673/20,0),"")</f>
        <v/>
      </c>
      <c r="AF673" s="11">
        <f>IF(ROUNDUP(U673/20,0)&gt;ROUNDUP(U672/20,0),"Lần " &amp; ROUNDUP(U673/20,0),"")</f>
        <v/>
      </c>
      <c r="AG673" s="11">
        <f>IF(ROUNDUP(V673/20,0)&gt;ROUNDUP(V672/20,0),"Lần " &amp; ROUNDUP(V673/20,0),"")</f>
        <v/>
      </c>
      <c r="AH673" s="11">
        <f>IF(ROUNDUP(W673/20,0)&gt;ROUNDUP(W672/20,0),"Lần " &amp; ROUNDUP(W673/20,0),"")</f>
        <v/>
      </c>
      <c r="AI673" s="11">
        <f>IF(ROUNDUP(X673/20,0)&gt;ROUNDUP(X672/20,0),"Lần " &amp; ROUNDUP(X673/20,0),"")</f>
        <v/>
      </c>
      <c r="AJ673" s="11">
        <f>IF(ROUNDUP(Y673/20,0)&gt;ROUNDUP(Y672/20,0),"Lần " &amp; ROUNDUP(Y673/20,0),"")</f>
        <v/>
      </c>
      <c r="AK673" s="11">
        <f>IF(ROUNDUP(Z673/20,0)&gt;ROUNDUP(Z672/20,0),"Lần " &amp; ROUNDUP(Z673/20,0),"")</f>
        <v/>
      </c>
      <c r="AL673" s="6" t="n"/>
      <c r="AN673" t="inlineStr">
        <is>
          <t>Coc</t>
        </is>
      </c>
      <c r="AO673" t="n">
        <v>21</v>
      </c>
    </row>
    <row r="674" ht="19" customHeight="1">
      <c r="A674" s="6" t="n">
        <v>640</v>
      </c>
      <c r="B674" s="7" t="inlineStr">
        <is>
          <t>Cọc khoan nhồi C7 Trụ T2 (D1.2m, L=30.0m)</t>
        </is>
      </c>
      <c r="C674" s="7" t="inlineStr">
        <is>
          <t>Cọc trụ T2 L=30m (tr.70)</t>
        </is>
      </c>
      <c r="D674" s="18" t="inlineStr">
        <is>
          <t>P4</t>
        </is>
      </c>
      <c r="E674" s="19" t="n">
        <v>25</v>
      </c>
      <c r="F674" s="6" t="inlineStr">
        <is>
          <t>CB400-V</t>
        </is>
      </c>
      <c r="G674" s="7" t="inlineStr"/>
      <c r="H674" s="20" t="n">
        <v>11.7</v>
      </c>
      <c r="I674" s="21" t="n">
        <v>36</v>
      </c>
      <c r="J674" s="22" t="n">
        <v>3.853</v>
      </c>
      <c r="K674" s="9">
        <f>ROUND(H674*I674*J674, 2)</f>
        <v/>
      </c>
      <c r="L674" s="23">
        <f>ROUND(K674/1000, 3)</f>
        <v/>
      </c>
      <c r="M674" s="8">
        <f>IF(AO674="","",IF(INDEX(Theo_Doi_Tan_Suat_Be_Tong!$C:$C,AO674)="","",INDEX(Theo_Doi_Tan_Suat_Be_Tong!$C:$C,AO674)-VLOOKUP(AN674,$AQ$2:$AR$7,2,FALSE)))</f>
        <v/>
      </c>
      <c r="N674" s="6" t="n"/>
      <c r="O674" s="24">
        <f>IF(ROUNDUP(W674/20,0)&gt;ROUNDUP(W673/20,0),"TN Ø25 (Lần " &amp; ROUNDUP(W674/20,0) &amp; ")","")</f>
        <v/>
      </c>
      <c r="P674" s="20">
        <f>ROUND(P673+IF(AND(E674&lt;=10,F674&lt;&gt;"ASTM A416"),L674,0),3)</f>
        <v/>
      </c>
      <c r="Q674" s="20">
        <f>ROUND(Q673+IF(AND(E674=12,F674&lt;&gt;"ASTM A416"),L674,0),3)</f>
        <v/>
      </c>
      <c r="R674" s="20">
        <f>ROUND(R673+IF(AND(E674=14,F674&lt;&gt;"ASTM A416"),L674,0),3)</f>
        <v/>
      </c>
      <c r="S674" s="20">
        <f>ROUND(S673+IF(AND(E674=16,F674&lt;&gt;"ASTM A416"),L674,0),3)</f>
        <v/>
      </c>
      <c r="T674" s="20">
        <f>ROUND(T673+IF(AND(E674=18,F674&lt;&gt;"ASTM A416"),L674,0),3)</f>
        <v/>
      </c>
      <c r="U674" s="20">
        <f>ROUND(U673+IF(AND(E674=20,F674&lt;&gt;"ASTM A416"),L674,0),3)</f>
        <v/>
      </c>
      <c r="V674" s="20">
        <f>ROUND(V673+IF(AND(E674=22,F674&lt;&gt;"ASTM A416"),L674,0),3)</f>
        <v/>
      </c>
      <c r="W674" s="20">
        <f>ROUND(W673+IF(AND(E674=25,F674&lt;&gt;"ASTM A416"),L674,0),3)</f>
        <v/>
      </c>
      <c r="X674" s="20">
        <f>ROUND(X673+IF(AND(E674=28,F674&lt;&gt;"ASTM A416"),L674,0),3)</f>
        <v/>
      </c>
      <c r="Y674" s="20">
        <f>ROUND(Y673+IF(AND(E674=32,F674&lt;&gt;"ASTM A416"),L674,0),3)</f>
        <v/>
      </c>
      <c r="Z674" s="20">
        <f>ROUND(Z673+IF(F674="ASTM A416",L674,0),3)</f>
        <v/>
      </c>
      <c r="AA674" s="11">
        <f>IF(ROUNDUP(P674/20,0)&gt;ROUNDUP(P673/20,0),"Lần " &amp; ROUNDUP(P674/20,0),"")</f>
        <v/>
      </c>
      <c r="AB674" s="11">
        <f>IF(ROUNDUP(Q674/20,0)&gt;ROUNDUP(Q673/20,0),"Lần " &amp; ROUNDUP(Q674/20,0),"")</f>
        <v/>
      </c>
      <c r="AC674" s="11">
        <f>IF(ROUNDUP(R674/20,0)&gt;ROUNDUP(R673/20,0),"Lần " &amp; ROUNDUP(R674/20,0),"")</f>
        <v/>
      </c>
      <c r="AD674" s="11">
        <f>IF(ROUNDUP(S674/20,0)&gt;ROUNDUP(S673/20,0),"Lần " &amp; ROUNDUP(S674/20,0),"")</f>
        <v/>
      </c>
      <c r="AE674" s="11">
        <f>IF(ROUNDUP(T674/20,0)&gt;ROUNDUP(T673/20,0),"Lần " &amp; ROUNDUP(T674/20,0),"")</f>
        <v/>
      </c>
      <c r="AF674" s="11">
        <f>IF(ROUNDUP(U674/20,0)&gt;ROUNDUP(U673/20,0),"Lần " &amp; ROUNDUP(U674/20,0),"")</f>
        <v/>
      </c>
      <c r="AG674" s="11">
        <f>IF(ROUNDUP(V674/20,0)&gt;ROUNDUP(V673/20,0),"Lần " &amp; ROUNDUP(V674/20,0),"")</f>
        <v/>
      </c>
      <c r="AH674" s="11">
        <f>IF(ROUNDUP(W674/20,0)&gt;ROUNDUP(W673/20,0),"Lần " &amp; ROUNDUP(W674/20,0),"")</f>
        <v/>
      </c>
      <c r="AI674" s="11">
        <f>IF(ROUNDUP(X674/20,0)&gt;ROUNDUP(X673/20,0),"Lần " &amp; ROUNDUP(X674/20,0),"")</f>
        <v/>
      </c>
      <c r="AJ674" s="11">
        <f>IF(ROUNDUP(Y674/20,0)&gt;ROUNDUP(Y673/20,0),"Lần " &amp; ROUNDUP(Y674/20,0),"")</f>
        <v/>
      </c>
      <c r="AK674" s="11">
        <f>IF(ROUNDUP(Z674/20,0)&gt;ROUNDUP(Z673/20,0),"Lần " &amp; ROUNDUP(Z674/20,0),"")</f>
        <v/>
      </c>
      <c r="AL674" s="6" t="n"/>
      <c r="AN674" t="inlineStr">
        <is>
          <t>Coc</t>
        </is>
      </c>
      <c r="AO674" t="n">
        <v>21</v>
      </c>
    </row>
    <row r="675" ht="19" customHeight="1">
      <c r="A675" s="6" t="n">
        <v>641</v>
      </c>
      <c r="B675" s="7" t="inlineStr">
        <is>
          <t>Cọc khoan nhồi C7 Trụ T2 (D1.2m, L=30.0m)</t>
        </is>
      </c>
      <c r="C675" s="7" t="inlineStr">
        <is>
          <t>Cọc trụ T2 L=30m (tr.70)</t>
        </is>
      </c>
      <c r="D675" s="18" t="inlineStr">
        <is>
          <t>P6</t>
        </is>
      </c>
      <c r="E675" s="19" t="n">
        <v>25</v>
      </c>
      <c r="F675" s="6" t="inlineStr">
        <is>
          <t>CB400-V</t>
        </is>
      </c>
      <c r="G675" s="7" t="inlineStr"/>
      <c r="H675" s="20" t="n">
        <v>9.733000000000001</v>
      </c>
      <c r="I675" s="21" t="n">
        <v>12</v>
      </c>
      <c r="J675" s="22" t="n">
        <v>3.853</v>
      </c>
      <c r="K675" s="9">
        <f>ROUND(H675*I675*J675, 2)</f>
        <v/>
      </c>
      <c r="L675" s="23">
        <f>ROUND(K675/1000, 3)</f>
        <v/>
      </c>
      <c r="M675" s="8">
        <f>IF(AO675="","",IF(INDEX(Theo_Doi_Tan_Suat_Be_Tong!$C:$C,AO675)="","",INDEX(Theo_Doi_Tan_Suat_Be_Tong!$C:$C,AO675)-VLOOKUP(AN675,$AQ$2:$AR$7,2,FALSE)))</f>
        <v/>
      </c>
      <c r="N675" s="6" t="n"/>
      <c r="O675" s="24">
        <f>IF(ROUNDUP(W675/20,0)&gt;ROUNDUP(W674/20,0),"TN Ø25 (Lần " &amp; ROUNDUP(W675/20,0) &amp; ")","")</f>
        <v/>
      </c>
      <c r="P675" s="20">
        <f>ROUND(P674+IF(AND(E675&lt;=10,F675&lt;&gt;"ASTM A416"),L675,0),3)</f>
        <v/>
      </c>
      <c r="Q675" s="20">
        <f>ROUND(Q674+IF(AND(E675=12,F675&lt;&gt;"ASTM A416"),L675,0),3)</f>
        <v/>
      </c>
      <c r="R675" s="20">
        <f>ROUND(R674+IF(AND(E675=14,F675&lt;&gt;"ASTM A416"),L675,0),3)</f>
        <v/>
      </c>
      <c r="S675" s="20">
        <f>ROUND(S674+IF(AND(E675=16,F675&lt;&gt;"ASTM A416"),L675,0),3)</f>
        <v/>
      </c>
      <c r="T675" s="20">
        <f>ROUND(T674+IF(AND(E675=18,F675&lt;&gt;"ASTM A416"),L675,0),3)</f>
        <v/>
      </c>
      <c r="U675" s="20">
        <f>ROUND(U674+IF(AND(E675=20,F675&lt;&gt;"ASTM A416"),L675,0),3)</f>
        <v/>
      </c>
      <c r="V675" s="20">
        <f>ROUND(V674+IF(AND(E675=22,F675&lt;&gt;"ASTM A416"),L675,0),3)</f>
        <v/>
      </c>
      <c r="W675" s="20">
        <f>ROUND(W674+IF(AND(E675=25,F675&lt;&gt;"ASTM A416"),L675,0),3)</f>
        <v/>
      </c>
      <c r="X675" s="20">
        <f>ROUND(X674+IF(AND(E675=28,F675&lt;&gt;"ASTM A416"),L675,0),3)</f>
        <v/>
      </c>
      <c r="Y675" s="20">
        <f>ROUND(Y674+IF(AND(E675=32,F675&lt;&gt;"ASTM A416"),L675,0),3)</f>
        <v/>
      </c>
      <c r="Z675" s="20">
        <f>ROUND(Z674+IF(F675="ASTM A416",L675,0),3)</f>
        <v/>
      </c>
      <c r="AA675" s="11">
        <f>IF(ROUNDUP(P675/20,0)&gt;ROUNDUP(P674/20,0),"Lần " &amp; ROUNDUP(P675/20,0),"")</f>
        <v/>
      </c>
      <c r="AB675" s="11">
        <f>IF(ROUNDUP(Q675/20,0)&gt;ROUNDUP(Q674/20,0),"Lần " &amp; ROUNDUP(Q675/20,0),"")</f>
        <v/>
      </c>
      <c r="AC675" s="11">
        <f>IF(ROUNDUP(R675/20,0)&gt;ROUNDUP(R674/20,0),"Lần " &amp; ROUNDUP(R675/20,0),"")</f>
        <v/>
      </c>
      <c r="AD675" s="11">
        <f>IF(ROUNDUP(S675/20,0)&gt;ROUNDUP(S674/20,0),"Lần " &amp; ROUNDUP(S675/20,0),"")</f>
        <v/>
      </c>
      <c r="AE675" s="11">
        <f>IF(ROUNDUP(T675/20,0)&gt;ROUNDUP(T674/20,0),"Lần " &amp; ROUNDUP(T675/20,0),"")</f>
        <v/>
      </c>
      <c r="AF675" s="11">
        <f>IF(ROUNDUP(U675/20,0)&gt;ROUNDUP(U674/20,0),"Lần " &amp; ROUNDUP(U675/20,0),"")</f>
        <v/>
      </c>
      <c r="AG675" s="11">
        <f>IF(ROUNDUP(V675/20,0)&gt;ROUNDUP(V674/20,0),"Lần " &amp; ROUNDUP(V675/20,0),"")</f>
        <v/>
      </c>
      <c r="AH675" s="11">
        <f>IF(ROUNDUP(W675/20,0)&gt;ROUNDUP(W674/20,0),"Lần " &amp; ROUNDUP(W675/20,0),"")</f>
        <v/>
      </c>
      <c r="AI675" s="11">
        <f>IF(ROUNDUP(X675/20,0)&gt;ROUNDUP(X674/20,0),"Lần " &amp; ROUNDUP(X675/20,0),"")</f>
        <v/>
      </c>
      <c r="AJ675" s="11">
        <f>IF(ROUNDUP(Y675/20,0)&gt;ROUNDUP(Y674/20,0),"Lần " &amp; ROUNDUP(Y675/20,0),"")</f>
        <v/>
      </c>
      <c r="AK675" s="11">
        <f>IF(ROUNDUP(Z675/20,0)&gt;ROUNDUP(Z674/20,0),"Lần " &amp; ROUNDUP(Z675/20,0),"")</f>
        <v/>
      </c>
      <c r="AL675" s="6" t="n"/>
      <c r="AN675" t="inlineStr">
        <is>
          <t>Coc</t>
        </is>
      </c>
      <c r="AO675" t="n">
        <v>21</v>
      </c>
    </row>
    <row r="676" ht="19" customHeight="1">
      <c r="A676" s="6" t="n">
        <v>642</v>
      </c>
      <c r="B676" s="7" t="inlineStr">
        <is>
          <t>Cọc khoan nhồi C7 Trụ T2 (D1.2m, L=30.0m)</t>
        </is>
      </c>
      <c r="C676" s="7" t="inlineStr">
        <is>
          <t>Cọc trụ T2 L=30m (tr.70)</t>
        </is>
      </c>
      <c r="D676" s="18" t="inlineStr">
        <is>
          <t>P7</t>
        </is>
      </c>
      <c r="E676" s="19" t="n">
        <v>25</v>
      </c>
      <c r="F676" s="6" t="inlineStr">
        <is>
          <t>CB400-V</t>
        </is>
      </c>
      <c r="G676" s="7" t="inlineStr"/>
      <c r="H676" s="20" t="n">
        <v>10.733</v>
      </c>
      <c r="I676" s="21" t="n">
        <v>12</v>
      </c>
      <c r="J676" s="22" t="n">
        <v>3.853</v>
      </c>
      <c r="K676" s="9">
        <f>ROUND(H676*I676*J676, 2)</f>
        <v/>
      </c>
      <c r="L676" s="23">
        <f>ROUND(K676/1000, 3)</f>
        <v/>
      </c>
      <c r="M676" s="8">
        <f>IF(AO676="","",IF(INDEX(Theo_Doi_Tan_Suat_Be_Tong!$C:$C,AO676)="","",INDEX(Theo_Doi_Tan_Suat_Be_Tong!$C:$C,AO676)-VLOOKUP(AN676,$AQ$2:$AR$7,2,FALSE)))</f>
        <v/>
      </c>
      <c r="N676" s="6" t="n"/>
      <c r="O676" s="24">
        <f>IF(ROUNDUP(W676/20,0)&gt;ROUNDUP(W675/20,0),"TN Ø25 (Lần " &amp; ROUNDUP(W676/20,0) &amp; ")","")</f>
        <v/>
      </c>
      <c r="P676" s="20">
        <f>ROUND(P675+IF(AND(E676&lt;=10,F676&lt;&gt;"ASTM A416"),L676,0),3)</f>
        <v/>
      </c>
      <c r="Q676" s="20">
        <f>ROUND(Q675+IF(AND(E676=12,F676&lt;&gt;"ASTM A416"),L676,0),3)</f>
        <v/>
      </c>
      <c r="R676" s="20">
        <f>ROUND(R675+IF(AND(E676=14,F676&lt;&gt;"ASTM A416"),L676,0),3)</f>
        <v/>
      </c>
      <c r="S676" s="20">
        <f>ROUND(S675+IF(AND(E676=16,F676&lt;&gt;"ASTM A416"),L676,0),3)</f>
        <v/>
      </c>
      <c r="T676" s="20">
        <f>ROUND(T675+IF(AND(E676=18,F676&lt;&gt;"ASTM A416"),L676,0),3)</f>
        <v/>
      </c>
      <c r="U676" s="20">
        <f>ROUND(U675+IF(AND(E676=20,F676&lt;&gt;"ASTM A416"),L676,0),3)</f>
        <v/>
      </c>
      <c r="V676" s="20">
        <f>ROUND(V675+IF(AND(E676=22,F676&lt;&gt;"ASTM A416"),L676,0),3)</f>
        <v/>
      </c>
      <c r="W676" s="20">
        <f>ROUND(W675+IF(AND(E676=25,F676&lt;&gt;"ASTM A416"),L676,0),3)</f>
        <v/>
      </c>
      <c r="X676" s="20">
        <f>ROUND(X675+IF(AND(E676=28,F676&lt;&gt;"ASTM A416"),L676,0),3)</f>
        <v/>
      </c>
      <c r="Y676" s="20">
        <f>ROUND(Y675+IF(AND(E676=32,F676&lt;&gt;"ASTM A416"),L676,0),3)</f>
        <v/>
      </c>
      <c r="Z676" s="20">
        <f>ROUND(Z675+IF(F676="ASTM A416",L676,0),3)</f>
        <v/>
      </c>
      <c r="AA676" s="11">
        <f>IF(ROUNDUP(P676/20,0)&gt;ROUNDUP(P675/20,0),"Lần " &amp; ROUNDUP(P676/20,0),"")</f>
        <v/>
      </c>
      <c r="AB676" s="11">
        <f>IF(ROUNDUP(Q676/20,0)&gt;ROUNDUP(Q675/20,0),"Lần " &amp; ROUNDUP(Q676/20,0),"")</f>
        <v/>
      </c>
      <c r="AC676" s="11">
        <f>IF(ROUNDUP(R676/20,0)&gt;ROUNDUP(R675/20,0),"Lần " &amp; ROUNDUP(R676/20,0),"")</f>
        <v/>
      </c>
      <c r="AD676" s="11">
        <f>IF(ROUNDUP(S676/20,0)&gt;ROUNDUP(S675/20,0),"Lần " &amp; ROUNDUP(S676/20,0),"")</f>
        <v/>
      </c>
      <c r="AE676" s="11">
        <f>IF(ROUNDUP(T676/20,0)&gt;ROUNDUP(T675/20,0),"Lần " &amp; ROUNDUP(T676/20,0),"")</f>
        <v/>
      </c>
      <c r="AF676" s="11">
        <f>IF(ROUNDUP(U676/20,0)&gt;ROUNDUP(U675/20,0),"Lần " &amp; ROUNDUP(U676/20,0),"")</f>
        <v/>
      </c>
      <c r="AG676" s="11">
        <f>IF(ROUNDUP(V676/20,0)&gt;ROUNDUP(V675/20,0),"Lần " &amp; ROUNDUP(V676/20,0),"")</f>
        <v/>
      </c>
      <c r="AH676" s="11">
        <f>IF(ROUNDUP(W676/20,0)&gt;ROUNDUP(W675/20,0),"Lần " &amp; ROUNDUP(W676/20,0),"")</f>
        <v/>
      </c>
      <c r="AI676" s="11">
        <f>IF(ROUNDUP(X676/20,0)&gt;ROUNDUP(X675/20,0),"Lần " &amp; ROUNDUP(X676/20,0),"")</f>
        <v/>
      </c>
      <c r="AJ676" s="11">
        <f>IF(ROUNDUP(Y676/20,0)&gt;ROUNDUP(Y675/20,0),"Lần " &amp; ROUNDUP(Y676/20,0),"")</f>
        <v/>
      </c>
      <c r="AK676" s="11">
        <f>IF(ROUNDUP(Z676/20,0)&gt;ROUNDUP(Z675/20,0),"Lần " &amp; ROUNDUP(Z676/20,0),"")</f>
        <v/>
      </c>
      <c r="AL676" s="6" t="n"/>
      <c r="AN676" t="inlineStr">
        <is>
          <t>Coc</t>
        </is>
      </c>
      <c r="AO676" t="n">
        <v>21</v>
      </c>
    </row>
    <row r="677" ht="19" customHeight="1">
      <c r="A677" s="6" t="n">
        <v>643</v>
      </c>
      <c r="B677" s="7" t="inlineStr">
        <is>
          <t>Cọc khoan nhồi C7 Trụ T2 (D1.2m, L=30.0m)</t>
        </is>
      </c>
      <c r="C677" s="7" t="inlineStr">
        <is>
          <t>Cọc trụ T2 L=30m (tr.70)</t>
        </is>
      </c>
      <c r="D677" s="18" t="inlineStr">
        <is>
          <t>P8</t>
        </is>
      </c>
      <c r="E677" s="19" t="n">
        <v>12</v>
      </c>
      <c r="F677" s="6" t="inlineStr">
        <is>
          <t>CB400-V</t>
        </is>
      </c>
      <c r="G677" s="7" t="inlineStr"/>
      <c r="H677" s="20" t="n">
        <v>0.647</v>
      </c>
      <c r="I677" s="21" t="n">
        <v>12</v>
      </c>
      <c r="J677" s="22" t="n">
        <v>0.888</v>
      </c>
      <c r="K677" s="9">
        <f>ROUND(H677*I677*J677, 2)</f>
        <v/>
      </c>
      <c r="L677" s="23">
        <f>ROUND(K677/1000, 3)</f>
        <v/>
      </c>
      <c r="M677" s="8">
        <f>IF(AO677="","",IF(INDEX(Theo_Doi_Tan_Suat_Be_Tong!$C:$C,AO677)="","",INDEX(Theo_Doi_Tan_Suat_Be_Tong!$C:$C,AO677)-VLOOKUP(AN677,$AQ$2:$AR$7,2,FALSE)))</f>
        <v/>
      </c>
      <c r="N677" s="6" t="n"/>
      <c r="O677" s="24">
        <f>IF(ROUNDUP(Q677/20,0)&gt;ROUNDUP(Q676/20,0),"TN Ø12 (Lần " &amp; ROUNDUP(Q677/20,0) &amp; ")","")</f>
        <v/>
      </c>
      <c r="P677" s="20">
        <f>ROUND(P676+IF(AND(E677&lt;=10,F677&lt;&gt;"ASTM A416"),L677,0),3)</f>
        <v/>
      </c>
      <c r="Q677" s="20">
        <f>ROUND(Q676+IF(AND(E677=12,F677&lt;&gt;"ASTM A416"),L677,0),3)</f>
        <v/>
      </c>
      <c r="R677" s="20">
        <f>ROUND(R676+IF(AND(E677=14,F677&lt;&gt;"ASTM A416"),L677,0),3)</f>
        <v/>
      </c>
      <c r="S677" s="20">
        <f>ROUND(S676+IF(AND(E677=16,F677&lt;&gt;"ASTM A416"),L677,0),3)</f>
        <v/>
      </c>
      <c r="T677" s="20">
        <f>ROUND(T676+IF(AND(E677=18,F677&lt;&gt;"ASTM A416"),L677,0),3)</f>
        <v/>
      </c>
      <c r="U677" s="20">
        <f>ROUND(U676+IF(AND(E677=20,F677&lt;&gt;"ASTM A416"),L677,0),3)</f>
        <v/>
      </c>
      <c r="V677" s="20">
        <f>ROUND(V676+IF(AND(E677=22,F677&lt;&gt;"ASTM A416"),L677,0),3)</f>
        <v/>
      </c>
      <c r="W677" s="20">
        <f>ROUND(W676+IF(AND(E677=25,F677&lt;&gt;"ASTM A416"),L677,0),3)</f>
        <v/>
      </c>
      <c r="X677" s="20">
        <f>ROUND(X676+IF(AND(E677=28,F677&lt;&gt;"ASTM A416"),L677,0),3)</f>
        <v/>
      </c>
      <c r="Y677" s="20">
        <f>ROUND(Y676+IF(AND(E677=32,F677&lt;&gt;"ASTM A416"),L677,0),3)</f>
        <v/>
      </c>
      <c r="Z677" s="20">
        <f>ROUND(Z676+IF(F677="ASTM A416",L677,0),3)</f>
        <v/>
      </c>
      <c r="AA677" s="11">
        <f>IF(ROUNDUP(P677/20,0)&gt;ROUNDUP(P676/20,0),"Lần " &amp; ROUNDUP(P677/20,0),"")</f>
        <v/>
      </c>
      <c r="AB677" s="11">
        <f>IF(ROUNDUP(Q677/20,0)&gt;ROUNDUP(Q676/20,0),"Lần " &amp; ROUNDUP(Q677/20,0),"")</f>
        <v/>
      </c>
      <c r="AC677" s="11">
        <f>IF(ROUNDUP(R677/20,0)&gt;ROUNDUP(R676/20,0),"Lần " &amp; ROUNDUP(R677/20,0),"")</f>
        <v/>
      </c>
      <c r="AD677" s="11">
        <f>IF(ROUNDUP(S677/20,0)&gt;ROUNDUP(S676/20,0),"Lần " &amp; ROUNDUP(S677/20,0),"")</f>
        <v/>
      </c>
      <c r="AE677" s="11">
        <f>IF(ROUNDUP(T677/20,0)&gt;ROUNDUP(T676/20,0),"Lần " &amp; ROUNDUP(T677/20,0),"")</f>
        <v/>
      </c>
      <c r="AF677" s="11">
        <f>IF(ROUNDUP(U677/20,0)&gt;ROUNDUP(U676/20,0),"Lần " &amp; ROUNDUP(U677/20,0),"")</f>
        <v/>
      </c>
      <c r="AG677" s="11">
        <f>IF(ROUNDUP(V677/20,0)&gt;ROUNDUP(V676/20,0),"Lần " &amp; ROUNDUP(V677/20,0),"")</f>
        <v/>
      </c>
      <c r="AH677" s="11">
        <f>IF(ROUNDUP(W677/20,0)&gt;ROUNDUP(W676/20,0),"Lần " &amp; ROUNDUP(W677/20,0),"")</f>
        <v/>
      </c>
      <c r="AI677" s="11">
        <f>IF(ROUNDUP(X677/20,0)&gt;ROUNDUP(X676/20,0),"Lần " &amp; ROUNDUP(X677/20,0),"")</f>
        <v/>
      </c>
      <c r="AJ677" s="11">
        <f>IF(ROUNDUP(Y677/20,0)&gt;ROUNDUP(Y676/20,0),"Lần " &amp; ROUNDUP(Y677/20,0),"")</f>
        <v/>
      </c>
      <c r="AK677" s="11">
        <f>IF(ROUNDUP(Z677/20,0)&gt;ROUNDUP(Z676/20,0),"Lần " &amp; ROUNDUP(Z677/20,0),"")</f>
        <v/>
      </c>
      <c r="AL677" s="6" t="n"/>
      <c r="AN677" t="inlineStr">
        <is>
          <t>Coc</t>
        </is>
      </c>
      <c r="AO677" t="n">
        <v>21</v>
      </c>
    </row>
    <row r="678" ht="19" customHeight="1">
      <c r="A678" s="6" t="n">
        <v>644</v>
      </c>
      <c r="B678" s="7" t="inlineStr">
        <is>
          <t>Cọc khoan nhồi C7 Trụ T2 (D1.2m, L=30.0m)</t>
        </is>
      </c>
      <c r="C678" s="7" t="inlineStr">
        <is>
          <t>Cọc trụ T2 L=30m (tr.70)</t>
        </is>
      </c>
      <c r="D678" s="18" t="inlineStr">
        <is>
          <t>P9</t>
        </is>
      </c>
      <c r="E678" s="19" t="n">
        <v>12</v>
      </c>
      <c r="F678" s="6" t="inlineStr">
        <is>
          <t>CB400-V</t>
        </is>
      </c>
      <c r="G678" s="7" t="inlineStr"/>
      <c r="H678" s="20" t="n">
        <v>0.379</v>
      </c>
      <c r="I678" s="21" t="n">
        <v>36</v>
      </c>
      <c r="J678" s="22" t="n">
        <v>0.888</v>
      </c>
      <c r="K678" s="9">
        <f>ROUND(H678*I678*J678, 2)</f>
        <v/>
      </c>
      <c r="L678" s="23">
        <f>ROUND(K678/1000, 3)</f>
        <v/>
      </c>
      <c r="M678" s="8">
        <f>IF(AO678="","",IF(INDEX(Theo_Doi_Tan_Suat_Be_Tong!$C:$C,AO678)="","",INDEX(Theo_Doi_Tan_Suat_Be_Tong!$C:$C,AO678)-VLOOKUP(AN678,$AQ$2:$AR$7,2,FALSE)))</f>
        <v/>
      </c>
      <c r="N678" s="6" t="n"/>
      <c r="O678" s="24">
        <f>IF(ROUNDUP(Q678/20,0)&gt;ROUNDUP(Q677/20,0),"TN Ø12 (Lần " &amp; ROUNDUP(Q678/20,0) &amp; ")","")</f>
        <v/>
      </c>
      <c r="P678" s="20">
        <f>ROUND(P677+IF(AND(E678&lt;=10,F678&lt;&gt;"ASTM A416"),L678,0),3)</f>
        <v/>
      </c>
      <c r="Q678" s="20">
        <f>ROUND(Q677+IF(AND(E678=12,F678&lt;&gt;"ASTM A416"),L678,0),3)</f>
        <v/>
      </c>
      <c r="R678" s="20">
        <f>ROUND(R677+IF(AND(E678=14,F678&lt;&gt;"ASTM A416"),L678,0),3)</f>
        <v/>
      </c>
      <c r="S678" s="20">
        <f>ROUND(S677+IF(AND(E678=16,F678&lt;&gt;"ASTM A416"),L678,0),3)</f>
        <v/>
      </c>
      <c r="T678" s="20">
        <f>ROUND(T677+IF(AND(E678=18,F678&lt;&gt;"ASTM A416"),L678,0),3)</f>
        <v/>
      </c>
      <c r="U678" s="20">
        <f>ROUND(U677+IF(AND(E678=20,F678&lt;&gt;"ASTM A416"),L678,0),3)</f>
        <v/>
      </c>
      <c r="V678" s="20">
        <f>ROUND(V677+IF(AND(E678=22,F678&lt;&gt;"ASTM A416"),L678,0),3)</f>
        <v/>
      </c>
      <c r="W678" s="20">
        <f>ROUND(W677+IF(AND(E678=25,F678&lt;&gt;"ASTM A416"),L678,0),3)</f>
        <v/>
      </c>
      <c r="X678" s="20">
        <f>ROUND(X677+IF(AND(E678=28,F678&lt;&gt;"ASTM A416"),L678,0),3)</f>
        <v/>
      </c>
      <c r="Y678" s="20">
        <f>ROUND(Y677+IF(AND(E678=32,F678&lt;&gt;"ASTM A416"),L678,0),3)</f>
        <v/>
      </c>
      <c r="Z678" s="20">
        <f>ROUND(Z677+IF(F678="ASTM A416",L678,0),3)</f>
        <v/>
      </c>
      <c r="AA678" s="11">
        <f>IF(ROUNDUP(P678/20,0)&gt;ROUNDUP(P677/20,0),"Lần " &amp; ROUNDUP(P678/20,0),"")</f>
        <v/>
      </c>
      <c r="AB678" s="11">
        <f>IF(ROUNDUP(Q678/20,0)&gt;ROUNDUP(Q677/20,0),"Lần " &amp; ROUNDUP(Q678/20,0),"")</f>
        <v/>
      </c>
      <c r="AC678" s="11">
        <f>IF(ROUNDUP(R678/20,0)&gt;ROUNDUP(R677/20,0),"Lần " &amp; ROUNDUP(R678/20,0),"")</f>
        <v/>
      </c>
      <c r="AD678" s="11">
        <f>IF(ROUNDUP(S678/20,0)&gt;ROUNDUP(S677/20,0),"Lần " &amp; ROUNDUP(S678/20,0),"")</f>
        <v/>
      </c>
      <c r="AE678" s="11">
        <f>IF(ROUNDUP(T678/20,0)&gt;ROUNDUP(T677/20,0),"Lần " &amp; ROUNDUP(T678/20,0),"")</f>
        <v/>
      </c>
      <c r="AF678" s="11">
        <f>IF(ROUNDUP(U678/20,0)&gt;ROUNDUP(U677/20,0),"Lần " &amp; ROUNDUP(U678/20,0),"")</f>
        <v/>
      </c>
      <c r="AG678" s="11">
        <f>IF(ROUNDUP(V678/20,0)&gt;ROUNDUP(V677/20,0),"Lần " &amp; ROUNDUP(V678/20,0),"")</f>
        <v/>
      </c>
      <c r="AH678" s="11">
        <f>IF(ROUNDUP(W678/20,0)&gt;ROUNDUP(W677/20,0),"Lần " &amp; ROUNDUP(W678/20,0),"")</f>
        <v/>
      </c>
      <c r="AI678" s="11">
        <f>IF(ROUNDUP(X678/20,0)&gt;ROUNDUP(X677/20,0),"Lần " &amp; ROUNDUP(X678/20,0),"")</f>
        <v/>
      </c>
      <c r="AJ678" s="11">
        <f>IF(ROUNDUP(Y678/20,0)&gt;ROUNDUP(Y677/20,0),"Lần " &amp; ROUNDUP(Y678/20,0),"")</f>
        <v/>
      </c>
      <c r="AK678" s="11">
        <f>IF(ROUNDUP(Z678/20,0)&gt;ROUNDUP(Z677/20,0),"Lần " &amp; ROUNDUP(Z678/20,0),"")</f>
        <v/>
      </c>
      <c r="AL678" s="6" t="n"/>
      <c r="AN678" t="inlineStr">
        <is>
          <t>Coc</t>
        </is>
      </c>
      <c r="AO678" t="n">
        <v>21</v>
      </c>
    </row>
    <row r="679" ht="19" customHeight="1">
      <c r="A679" s="6" t="n">
        <v>645</v>
      </c>
      <c r="B679" s="7" t="inlineStr">
        <is>
          <t>Cọc khoan nhồi C7 Trụ T2 (D1.2m, L=30.0m)</t>
        </is>
      </c>
      <c r="C679" s="7" t="inlineStr">
        <is>
          <t>Cọc trụ T2 L=30m (tr.70)</t>
        </is>
      </c>
      <c r="D679" s="18" t="inlineStr">
        <is>
          <t>P10</t>
        </is>
      </c>
      <c r="E679" s="19" t="n">
        <v>20</v>
      </c>
      <c r="F679" s="6" t="inlineStr">
        <is>
          <t>CB400-V</t>
        </is>
      </c>
      <c r="G679" s="7" t="inlineStr"/>
      <c r="H679" s="20" t="n">
        <v>2.057</v>
      </c>
      <c r="I679" s="21" t="n">
        <v>1</v>
      </c>
      <c r="J679" s="22" t="n">
        <v>2.466</v>
      </c>
      <c r="K679" s="9">
        <f>ROUND(H679*I679*J679, 2)</f>
        <v/>
      </c>
      <c r="L679" s="23">
        <f>ROUND(K679/1000, 3)</f>
        <v/>
      </c>
      <c r="M679" s="8">
        <f>IF(AO679="","",IF(INDEX(Theo_Doi_Tan_Suat_Be_Tong!$C:$C,AO679)="","",INDEX(Theo_Doi_Tan_Suat_Be_Tong!$C:$C,AO679)-VLOOKUP(AN679,$AQ$2:$AR$7,2,FALSE)))</f>
        <v/>
      </c>
      <c r="N679" s="6" t="n"/>
      <c r="O679" s="24">
        <f>IF(ROUNDUP(U679/20,0)&gt;ROUNDUP(U678/20,0),"TN Ø20 (Lần " &amp; ROUNDUP(U679/20,0) &amp; ")","")</f>
        <v/>
      </c>
      <c r="P679" s="20">
        <f>ROUND(P678+IF(AND(E679&lt;=10,F679&lt;&gt;"ASTM A416"),L679,0),3)</f>
        <v/>
      </c>
      <c r="Q679" s="20">
        <f>ROUND(Q678+IF(AND(E679=12,F679&lt;&gt;"ASTM A416"),L679,0),3)</f>
        <v/>
      </c>
      <c r="R679" s="20">
        <f>ROUND(R678+IF(AND(E679=14,F679&lt;&gt;"ASTM A416"),L679,0),3)</f>
        <v/>
      </c>
      <c r="S679" s="20">
        <f>ROUND(S678+IF(AND(E679=16,F679&lt;&gt;"ASTM A416"),L679,0),3)</f>
        <v/>
      </c>
      <c r="T679" s="20">
        <f>ROUND(T678+IF(AND(E679=18,F679&lt;&gt;"ASTM A416"),L679,0),3)</f>
        <v/>
      </c>
      <c r="U679" s="20">
        <f>ROUND(U678+IF(AND(E679=20,F679&lt;&gt;"ASTM A416"),L679,0),3)</f>
        <v/>
      </c>
      <c r="V679" s="20">
        <f>ROUND(V678+IF(AND(E679=22,F679&lt;&gt;"ASTM A416"),L679,0),3)</f>
        <v/>
      </c>
      <c r="W679" s="20">
        <f>ROUND(W678+IF(AND(E679=25,F679&lt;&gt;"ASTM A416"),L679,0),3)</f>
        <v/>
      </c>
      <c r="X679" s="20">
        <f>ROUND(X678+IF(AND(E679=28,F679&lt;&gt;"ASTM A416"),L679,0),3)</f>
        <v/>
      </c>
      <c r="Y679" s="20">
        <f>ROUND(Y678+IF(AND(E679=32,F679&lt;&gt;"ASTM A416"),L679,0),3)</f>
        <v/>
      </c>
      <c r="Z679" s="20">
        <f>ROUND(Z678+IF(F679="ASTM A416",L679,0),3)</f>
        <v/>
      </c>
      <c r="AA679" s="11">
        <f>IF(ROUNDUP(P679/20,0)&gt;ROUNDUP(P678/20,0),"Lần " &amp; ROUNDUP(P679/20,0),"")</f>
        <v/>
      </c>
      <c r="AB679" s="11">
        <f>IF(ROUNDUP(Q679/20,0)&gt;ROUNDUP(Q678/20,0),"Lần " &amp; ROUNDUP(Q679/20,0),"")</f>
        <v/>
      </c>
      <c r="AC679" s="11">
        <f>IF(ROUNDUP(R679/20,0)&gt;ROUNDUP(R678/20,0),"Lần " &amp; ROUNDUP(R679/20,0),"")</f>
        <v/>
      </c>
      <c r="AD679" s="11">
        <f>IF(ROUNDUP(S679/20,0)&gt;ROUNDUP(S678/20,0),"Lần " &amp; ROUNDUP(S679/20,0),"")</f>
        <v/>
      </c>
      <c r="AE679" s="11">
        <f>IF(ROUNDUP(T679/20,0)&gt;ROUNDUP(T678/20,0),"Lần " &amp; ROUNDUP(T679/20,0),"")</f>
        <v/>
      </c>
      <c r="AF679" s="11">
        <f>IF(ROUNDUP(U679/20,0)&gt;ROUNDUP(U678/20,0),"Lần " &amp; ROUNDUP(U679/20,0),"")</f>
        <v/>
      </c>
      <c r="AG679" s="11">
        <f>IF(ROUNDUP(V679/20,0)&gt;ROUNDUP(V678/20,0),"Lần " &amp; ROUNDUP(V679/20,0),"")</f>
        <v/>
      </c>
      <c r="AH679" s="11">
        <f>IF(ROUNDUP(W679/20,0)&gt;ROUNDUP(W678/20,0),"Lần " &amp; ROUNDUP(W679/20,0),"")</f>
        <v/>
      </c>
      <c r="AI679" s="11">
        <f>IF(ROUNDUP(X679/20,0)&gt;ROUNDUP(X678/20,0),"Lần " &amp; ROUNDUP(X679/20,0),"")</f>
        <v/>
      </c>
      <c r="AJ679" s="11">
        <f>IF(ROUNDUP(Y679/20,0)&gt;ROUNDUP(Y678/20,0),"Lần " &amp; ROUNDUP(Y679/20,0),"")</f>
        <v/>
      </c>
      <c r="AK679" s="11">
        <f>IF(ROUNDUP(Z679/20,0)&gt;ROUNDUP(Z678/20,0),"Lần " &amp; ROUNDUP(Z679/20,0),"")</f>
        <v/>
      </c>
      <c r="AL679" s="6" t="n"/>
      <c r="AN679" t="inlineStr">
        <is>
          <t>Coc</t>
        </is>
      </c>
      <c r="AO679" t="n">
        <v>21</v>
      </c>
    </row>
    <row r="680" ht="19" customHeight="1">
      <c r="A680" s="6" t="n">
        <v>646</v>
      </c>
      <c r="B680" s="7" t="inlineStr">
        <is>
          <t>Cọc khoan nhồi C7 Trụ T2 (D1.2m, L=30.0m)</t>
        </is>
      </c>
      <c r="C680" s="7" t="inlineStr">
        <is>
          <t>Cọc trụ T2 L=30m (tr.70)</t>
        </is>
      </c>
      <c r="D680" s="18" t="inlineStr">
        <is>
          <t>P12</t>
        </is>
      </c>
      <c r="E680" s="19" t="n">
        <v>20</v>
      </c>
      <c r="F680" s="6" t="inlineStr">
        <is>
          <t>CB400-V</t>
        </is>
      </c>
      <c r="G680" s="7" t="inlineStr"/>
      <c r="H680" s="20" t="n">
        <v>0.583</v>
      </c>
      <c r="I680" s="21" t="n">
        <v>48</v>
      </c>
      <c r="J680" s="22" t="n">
        <v>2.466</v>
      </c>
      <c r="K680" s="9">
        <f>ROUND(H680*I680*J680, 2)</f>
        <v/>
      </c>
      <c r="L680" s="23">
        <f>ROUND(K680/1000, 3)</f>
        <v/>
      </c>
      <c r="M680" s="8">
        <f>IF(AO680="","",IF(INDEX(Theo_Doi_Tan_Suat_Be_Tong!$C:$C,AO680)="","",INDEX(Theo_Doi_Tan_Suat_Be_Tong!$C:$C,AO680)-VLOOKUP(AN680,$AQ$2:$AR$7,2,FALSE)))</f>
        <v/>
      </c>
      <c r="N680" s="6" t="n"/>
      <c r="O680" s="24">
        <f>IF(ROUNDUP(U680/20,0)&gt;ROUNDUP(U679/20,0),"TN Ø20 (Lần " &amp; ROUNDUP(U680/20,0) &amp; ")","")</f>
        <v/>
      </c>
      <c r="P680" s="20">
        <f>ROUND(P679+IF(AND(E680&lt;=10,F680&lt;&gt;"ASTM A416"),L680,0),3)</f>
        <v/>
      </c>
      <c r="Q680" s="20">
        <f>ROUND(Q679+IF(AND(E680=12,F680&lt;&gt;"ASTM A416"),L680,0),3)</f>
        <v/>
      </c>
      <c r="R680" s="20">
        <f>ROUND(R679+IF(AND(E680=14,F680&lt;&gt;"ASTM A416"),L680,0),3)</f>
        <v/>
      </c>
      <c r="S680" s="20">
        <f>ROUND(S679+IF(AND(E680=16,F680&lt;&gt;"ASTM A416"),L680,0),3)</f>
        <v/>
      </c>
      <c r="T680" s="20">
        <f>ROUND(T679+IF(AND(E680=18,F680&lt;&gt;"ASTM A416"),L680,0),3)</f>
        <v/>
      </c>
      <c r="U680" s="20">
        <f>ROUND(U679+IF(AND(E680=20,F680&lt;&gt;"ASTM A416"),L680,0),3)</f>
        <v/>
      </c>
      <c r="V680" s="20">
        <f>ROUND(V679+IF(AND(E680=22,F680&lt;&gt;"ASTM A416"),L680,0),3)</f>
        <v/>
      </c>
      <c r="W680" s="20">
        <f>ROUND(W679+IF(AND(E680=25,F680&lt;&gt;"ASTM A416"),L680,0),3)</f>
        <v/>
      </c>
      <c r="X680" s="20">
        <f>ROUND(X679+IF(AND(E680=28,F680&lt;&gt;"ASTM A416"),L680,0),3)</f>
        <v/>
      </c>
      <c r="Y680" s="20">
        <f>ROUND(Y679+IF(AND(E680=32,F680&lt;&gt;"ASTM A416"),L680,0),3)</f>
        <v/>
      </c>
      <c r="Z680" s="20">
        <f>ROUND(Z679+IF(F680="ASTM A416",L680,0),3)</f>
        <v/>
      </c>
      <c r="AA680" s="11">
        <f>IF(ROUNDUP(P680/20,0)&gt;ROUNDUP(P679/20,0),"Lần " &amp; ROUNDUP(P680/20,0),"")</f>
        <v/>
      </c>
      <c r="AB680" s="11">
        <f>IF(ROUNDUP(Q680/20,0)&gt;ROUNDUP(Q679/20,0),"Lần " &amp; ROUNDUP(Q680/20,0),"")</f>
        <v/>
      </c>
      <c r="AC680" s="11">
        <f>IF(ROUNDUP(R680/20,0)&gt;ROUNDUP(R679/20,0),"Lần " &amp; ROUNDUP(R680/20,0),"")</f>
        <v/>
      </c>
      <c r="AD680" s="11">
        <f>IF(ROUNDUP(S680/20,0)&gt;ROUNDUP(S679/20,0),"Lần " &amp; ROUNDUP(S680/20,0),"")</f>
        <v/>
      </c>
      <c r="AE680" s="11">
        <f>IF(ROUNDUP(T680/20,0)&gt;ROUNDUP(T679/20,0),"Lần " &amp; ROUNDUP(T680/20,0),"")</f>
        <v/>
      </c>
      <c r="AF680" s="11">
        <f>IF(ROUNDUP(U680/20,0)&gt;ROUNDUP(U679/20,0),"Lần " &amp; ROUNDUP(U680/20,0),"")</f>
        <v/>
      </c>
      <c r="AG680" s="11">
        <f>IF(ROUNDUP(V680/20,0)&gt;ROUNDUP(V679/20,0),"Lần " &amp; ROUNDUP(V680/20,0),"")</f>
        <v/>
      </c>
      <c r="AH680" s="11">
        <f>IF(ROUNDUP(W680/20,0)&gt;ROUNDUP(W679/20,0),"Lần " &amp; ROUNDUP(W680/20,0),"")</f>
        <v/>
      </c>
      <c r="AI680" s="11">
        <f>IF(ROUNDUP(X680/20,0)&gt;ROUNDUP(X679/20,0),"Lần " &amp; ROUNDUP(X680/20,0),"")</f>
        <v/>
      </c>
      <c r="AJ680" s="11">
        <f>IF(ROUNDUP(Y680/20,0)&gt;ROUNDUP(Y679/20,0),"Lần " &amp; ROUNDUP(Y680/20,0),"")</f>
        <v/>
      </c>
      <c r="AK680" s="11">
        <f>IF(ROUNDUP(Z680/20,0)&gt;ROUNDUP(Z679/20,0),"Lần " &amp; ROUNDUP(Z680/20,0),"")</f>
        <v/>
      </c>
      <c r="AL680" s="6" t="n"/>
      <c r="AN680" t="inlineStr">
        <is>
          <t>Coc</t>
        </is>
      </c>
      <c r="AO680" t="n">
        <v>21</v>
      </c>
    </row>
    <row r="681" ht="19" customHeight="1">
      <c r="A681" s="6" t="n">
        <v>647</v>
      </c>
      <c r="B681" s="7" t="inlineStr">
        <is>
          <t>Cọc khoan nhồi C7 Trụ T2 (D1.2m, L=30.0m)</t>
        </is>
      </c>
      <c r="C681" s="7" t="inlineStr">
        <is>
          <t>Cọc trụ T2 L=30m (tr.70)</t>
        </is>
      </c>
      <c r="D681" s="18" t="inlineStr">
        <is>
          <t>P11</t>
        </is>
      </c>
      <c r="E681" s="19" t="n">
        <v>16</v>
      </c>
      <c r="F681" s="6" t="inlineStr">
        <is>
          <t>CB400-V</t>
        </is>
      </c>
      <c r="G681" s="7" t="inlineStr"/>
      <c r="H681" s="20" t="n">
        <v>2.604</v>
      </c>
      <c r="I681" s="21" t="n">
        <v>4</v>
      </c>
      <c r="J681" s="22" t="n">
        <v>1.578</v>
      </c>
      <c r="K681" s="9">
        <f>ROUND(H681*I681*J681, 2)</f>
        <v/>
      </c>
      <c r="L681" s="23">
        <f>ROUND(K681/1000, 3)</f>
        <v/>
      </c>
      <c r="M681" s="8">
        <f>IF(AO681="","",IF(INDEX(Theo_Doi_Tan_Suat_Be_Tong!$C:$C,AO681)="","",INDEX(Theo_Doi_Tan_Suat_Be_Tong!$C:$C,AO681)-VLOOKUP(AN681,$AQ$2:$AR$7,2,FALSE)))</f>
        <v/>
      </c>
      <c r="N681" s="6" t="n"/>
      <c r="O681" s="24">
        <f>IF(ROUNDUP(S681/20,0)&gt;ROUNDUP(S680/20,0),"TN Ø16 (Lần " &amp; ROUNDUP(S681/20,0) &amp; ")","")</f>
        <v/>
      </c>
      <c r="P681" s="20">
        <f>ROUND(P680+IF(AND(E681&lt;=10,F681&lt;&gt;"ASTM A416"),L681,0),3)</f>
        <v/>
      </c>
      <c r="Q681" s="20">
        <f>ROUND(Q680+IF(AND(E681=12,F681&lt;&gt;"ASTM A416"),L681,0),3)</f>
        <v/>
      </c>
      <c r="R681" s="20">
        <f>ROUND(R680+IF(AND(E681=14,F681&lt;&gt;"ASTM A416"),L681,0),3)</f>
        <v/>
      </c>
      <c r="S681" s="20">
        <f>ROUND(S680+IF(AND(E681=16,F681&lt;&gt;"ASTM A416"),L681,0),3)</f>
        <v/>
      </c>
      <c r="T681" s="20">
        <f>ROUND(T680+IF(AND(E681=18,F681&lt;&gt;"ASTM A416"),L681,0),3)</f>
        <v/>
      </c>
      <c r="U681" s="20">
        <f>ROUND(U680+IF(AND(E681=20,F681&lt;&gt;"ASTM A416"),L681,0),3)</f>
        <v/>
      </c>
      <c r="V681" s="20">
        <f>ROUND(V680+IF(AND(E681=22,F681&lt;&gt;"ASTM A416"),L681,0),3)</f>
        <v/>
      </c>
      <c r="W681" s="20">
        <f>ROUND(W680+IF(AND(E681=25,F681&lt;&gt;"ASTM A416"),L681,0),3)</f>
        <v/>
      </c>
      <c r="X681" s="20">
        <f>ROUND(X680+IF(AND(E681=28,F681&lt;&gt;"ASTM A416"),L681,0),3)</f>
        <v/>
      </c>
      <c r="Y681" s="20">
        <f>ROUND(Y680+IF(AND(E681=32,F681&lt;&gt;"ASTM A416"),L681,0),3)</f>
        <v/>
      </c>
      <c r="Z681" s="20">
        <f>ROUND(Z680+IF(F681="ASTM A416",L681,0),3)</f>
        <v/>
      </c>
      <c r="AA681" s="11">
        <f>IF(ROUNDUP(P681/20,0)&gt;ROUNDUP(P680/20,0),"Lần " &amp; ROUNDUP(P681/20,0),"")</f>
        <v/>
      </c>
      <c r="AB681" s="11">
        <f>IF(ROUNDUP(Q681/20,0)&gt;ROUNDUP(Q680/20,0),"Lần " &amp; ROUNDUP(Q681/20,0),"")</f>
        <v/>
      </c>
      <c r="AC681" s="11">
        <f>IF(ROUNDUP(R681/20,0)&gt;ROUNDUP(R680/20,0),"Lần " &amp; ROUNDUP(R681/20,0),"")</f>
        <v/>
      </c>
      <c r="AD681" s="11">
        <f>IF(ROUNDUP(S681/20,0)&gt;ROUNDUP(S680/20,0),"Lần " &amp; ROUNDUP(S681/20,0),"")</f>
        <v/>
      </c>
      <c r="AE681" s="11">
        <f>IF(ROUNDUP(T681/20,0)&gt;ROUNDUP(T680/20,0),"Lần " &amp; ROUNDUP(T681/20,0),"")</f>
        <v/>
      </c>
      <c r="AF681" s="11">
        <f>IF(ROUNDUP(U681/20,0)&gt;ROUNDUP(U680/20,0),"Lần " &amp; ROUNDUP(U681/20,0),"")</f>
        <v/>
      </c>
      <c r="AG681" s="11">
        <f>IF(ROUNDUP(V681/20,0)&gt;ROUNDUP(V680/20,0),"Lần " &amp; ROUNDUP(V681/20,0),"")</f>
        <v/>
      </c>
      <c r="AH681" s="11">
        <f>IF(ROUNDUP(W681/20,0)&gt;ROUNDUP(W680/20,0),"Lần " &amp; ROUNDUP(W681/20,0),"")</f>
        <v/>
      </c>
      <c r="AI681" s="11">
        <f>IF(ROUNDUP(X681/20,0)&gt;ROUNDUP(X680/20,0),"Lần " &amp; ROUNDUP(X681/20,0),"")</f>
        <v/>
      </c>
      <c r="AJ681" s="11">
        <f>IF(ROUNDUP(Y681/20,0)&gt;ROUNDUP(Y680/20,0),"Lần " &amp; ROUNDUP(Y681/20,0),"")</f>
        <v/>
      </c>
      <c r="AK681" s="11">
        <f>IF(ROUNDUP(Z681/20,0)&gt;ROUNDUP(Z680/20,0),"Lần " &amp; ROUNDUP(Z681/20,0),"")</f>
        <v/>
      </c>
      <c r="AL681" s="6" t="n"/>
      <c r="AN681" t="inlineStr">
        <is>
          <t>Coc</t>
        </is>
      </c>
      <c r="AO681" t="n">
        <v>21</v>
      </c>
    </row>
    <row r="682" ht="19" customHeight="1">
      <c r="A682" s="17" t="inlineStr">
        <is>
          <t>--- CỌC KHOAN NHỒI C8 TRỤ T2 (D1.2M, L=30.0M) ---</t>
        </is>
      </c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  <c r="AG682" s="35" t="n"/>
      <c r="AH682" s="35" t="n"/>
      <c r="AI682" s="35" t="n"/>
      <c r="AJ682" s="35" t="n"/>
      <c r="AK682" s="35" t="n"/>
      <c r="AL682" s="34" t="n"/>
    </row>
    <row r="683" ht="19" customHeight="1">
      <c r="A683" s="6" t="n">
        <v>648</v>
      </c>
      <c r="B683" s="7" t="inlineStr">
        <is>
          <t>Cọc khoan nhồi C8 Trụ T2 (D1.2m, L=30.0m)</t>
        </is>
      </c>
      <c r="C683" s="7" t="inlineStr">
        <is>
          <t>Cọc trụ T2 L=30m (tr.70)</t>
        </is>
      </c>
      <c r="D683" s="18" t="inlineStr">
        <is>
          <t>P1</t>
        </is>
      </c>
      <c r="E683" s="19" t="n">
        <v>10</v>
      </c>
      <c r="F683" s="6" t="inlineStr">
        <is>
          <t>CB240-T</t>
        </is>
      </c>
      <c r="G683" s="7" t="inlineStr"/>
      <c r="H683" s="20" t="n">
        <v>96.604</v>
      </c>
      <c r="I683" s="21" t="n">
        <v>1</v>
      </c>
      <c r="J683" s="22" t="n">
        <v>0.617</v>
      </c>
      <c r="K683" s="9">
        <f>ROUND(H683*I683*J683, 2)</f>
        <v/>
      </c>
      <c r="L683" s="23">
        <f>ROUND(K683/1000, 3)</f>
        <v/>
      </c>
      <c r="M683" s="8">
        <f>IF(AO683="","",IF(INDEX(Theo_Doi_Tan_Suat_Be_Tong!$C:$C,AO683)="","",INDEX(Theo_Doi_Tan_Suat_Be_Tong!$C:$C,AO683)-VLOOKUP(AN683,$AQ$2:$AR$7,2,FALSE)))</f>
        <v/>
      </c>
      <c r="N683" s="6" t="n"/>
      <c r="O683" s="24">
        <f>IF(ROUNDUP(P683/20,0)&gt;ROUNDUP(P681/20,0),"TN Ø10 (Lần " &amp; ROUNDUP(P683/20,0) &amp; ")","")</f>
        <v/>
      </c>
      <c r="P683" s="20">
        <f>ROUND(P681+IF(AND(E683&lt;=10,F683&lt;&gt;"ASTM A416"),L683,0),3)</f>
        <v/>
      </c>
      <c r="Q683" s="20">
        <f>ROUND(Q681+IF(AND(E683=12,F683&lt;&gt;"ASTM A416"),L683,0),3)</f>
        <v/>
      </c>
      <c r="R683" s="20">
        <f>ROUND(R681+IF(AND(E683=14,F683&lt;&gt;"ASTM A416"),L683,0),3)</f>
        <v/>
      </c>
      <c r="S683" s="20">
        <f>ROUND(S681+IF(AND(E683=16,F683&lt;&gt;"ASTM A416"),L683,0),3)</f>
        <v/>
      </c>
      <c r="T683" s="20">
        <f>ROUND(T681+IF(AND(E683=18,F683&lt;&gt;"ASTM A416"),L683,0),3)</f>
        <v/>
      </c>
      <c r="U683" s="20">
        <f>ROUND(U681+IF(AND(E683=20,F683&lt;&gt;"ASTM A416"),L683,0),3)</f>
        <v/>
      </c>
      <c r="V683" s="20">
        <f>ROUND(V681+IF(AND(E683=22,F683&lt;&gt;"ASTM A416"),L683,0),3)</f>
        <v/>
      </c>
      <c r="W683" s="20">
        <f>ROUND(W681+IF(AND(E683=25,F683&lt;&gt;"ASTM A416"),L683,0),3)</f>
        <v/>
      </c>
      <c r="X683" s="20">
        <f>ROUND(X681+IF(AND(E683=28,F683&lt;&gt;"ASTM A416"),L683,0),3)</f>
        <v/>
      </c>
      <c r="Y683" s="20">
        <f>ROUND(Y681+IF(AND(E683=32,F683&lt;&gt;"ASTM A416"),L683,0),3)</f>
        <v/>
      </c>
      <c r="Z683" s="20">
        <f>ROUND(Z681+IF(F683="ASTM A416",L683,0),3)</f>
        <v/>
      </c>
      <c r="AA683" s="11">
        <f>IF(ROUNDUP(P683/20,0)&gt;ROUNDUP(P681/20,0),"Lần " &amp; ROUNDUP(P683/20,0),"")</f>
        <v/>
      </c>
      <c r="AB683" s="11">
        <f>IF(ROUNDUP(Q683/20,0)&gt;ROUNDUP(Q681/20,0),"Lần " &amp; ROUNDUP(Q683/20,0),"")</f>
        <v/>
      </c>
      <c r="AC683" s="11">
        <f>IF(ROUNDUP(R683/20,0)&gt;ROUNDUP(R681/20,0),"Lần " &amp; ROUNDUP(R683/20,0),"")</f>
        <v/>
      </c>
      <c r="AD683" s="11">
        <f>IF(ROUNDUP(S683/20,0)&gt;ROUNDUP(S681/20,0),"Lần " &amp; ROUNDUP(S683/20,0),"")</f>
        <v/>
      </c>
      <c r="AE683" s="11">
        <f>IF(ROUNDUP(T683/20,0)&gt;ROUNDUP(T681/20,0),"Lần " &amp; ROUNDUP(T683/20,0),"")</f>
        <v/>
      </c>
      <c r="AF683" s="11">
        <f>IF(ROUNDUP(U683/20,0)&gt;ROUNDUP(U681/20,0),"Lần " &amp; ROUNDUP(U683/20,0),"")</f>
        <v/>
      </c>
      <c r="AG683" s="11">
        <f>IF(ROUNDUP(V683/20,0)&gt;ROUNDUP(V681/20,0),"Lần " &amp; ROUNDUP(V683/20,0),"")</f>
        <v/>
      </c>
      <c r="AH683" s="11">
        <f>IF(ROUNDUP(W683/20,0)&gt;ROUNDUP(W681/20,0),"Lần " &amp; ROUNDUP(W683/20,0),"")</f>
        <v/>
      </c>
      <c r="AI683" s="11">
        <f>IF(ROUNDUP(X683/20,0)&gt;ROUNDUP(X681/20,0),"Lần " &amp; ROUNDUP(X683/20,0),"")</f>
        <v/>
      </c>
      <c r="AJ683" s="11">
        <f>IF(ROUNDUP(Y683/20,0)&gt;ROUNDUP(Y681/20,0),"Lần " &amp; ROUNDUP(Y683/20,0),"")</f>
        <v/>
      </c>
      <c r="AK683" s="11">
        <f>IF(ROUNDUP(Z683/20,0)&gt;ROUNDUP(Z681/20,0),"Lần " &amp; ROUNDUP(Z683/20,0),"")</f>
        <v/>
      </c>
      <c r="AL683" s="6" t="n"/>
      <c r="AN683" t="inlineStr">
        <is>
          <t>Coc</t>
        </is>
      </c>
      <c r="AO683" t="n">
        <v>22</v>
      </c>
    </row>
    <row r="684" ht="19" customHeight="1">
      <c r="A684" s="6" t="n">
        <v>649</v>
      </c>
      <c r="B684" s="7" t="inlineStr">
        <is>
          <t>Cọc khoan nhồi C8 Trụ T2 (D1.2m, L=30.0m)</t>
        </is>
      </c>
      <c r="C684" s="7" t="inlineStr">
        <is>
          <t>Cọc trụ T2 L=30m (tr.70)</t>
        </is>
      </c>
      <c r="D684" s="18" t="inlineStr">
        <is>
          <t>P1A</t>
        </is>
      </c>
      <c r="E684" s="19" t="n">
        <v>10</v>
      </c>
      <c r="F684" s="6" t="inlineStr">
        <is>
          <t>CB240-T</t>
        </is>
      </c>
      <c r="G684" s="7" t="inlineStr"/>
      <c r="H684" s="20" t="n">
        <v>389.636</v>
      </c>
      <c r="I684" s="21" t="n">
        <v>1</v>
      </c>
      <c r="J684" s="22" t="n">
        <v>0.617</v>
      </c>
      <c r="K684" s="9">
        <f>ROUND(H684*I684*J684, 2)</f>
        <v/>
      </c>
      <c r="L684" s="23">
        <f>ROUND(K684/1000, 3)</f>
        <v/>
      </c>
      <c r="M684" s="8">
        <f>IF(AO684="","",IF(INDEX(Theo_Doi_Tan_Suat_Be_Tong!$C:$C,AO684)="","",INDEX(Theo_Doi_Tan_Suat_Be_Tong!$C:$C,AO684)-VLOOKUP(AN684,$AQ$2:$AR$7,2,FALSE)))</f>
        <v/>
      </c>
      <c r="N684" s="6" t="n"/>
      <c r="O684" s="24">
        <f>IF(ROUNDUP(P684/20,0)&gt;ROUNDUP(P683/20,0),"TN Ø10 (Lần " &amp; ROUNDUP(P684/20,0) &amp; ")","")</f>
        <v/>
      </c>
      <c r="P684" s="20">
        <f>ROUND(P683+IF(AND(E684&lt;=10,F684&lt;&gt;"ASTM A416"),L684,0),3)</f>
        <v/>
      </c>
      <c r="Q684" s="20">
        <f>ROUND(Q683+IF(AND(E684=12,F684&lt;&gt;"ASTM A416"),L684,0),3)</f>
        <v/>
      </c>
      <c r="R684" s="20">
        <f>ROUND(R683+IF(AND(E684=14,F684&lt;&gt;"ASTM A416"),L684,0),3)</f>
        <v/>
      </c>
      <c r="S684" s="20">
        <f>ROUND(S683+IF(AND(E684=16,F684&lt;&gt;"ASTM A416"),L684,0),3)</f>
        <v/>
      </c>
      <c r="T684" s="20">
        <f>ROUND(T683+IF(AND(E684=18,F684&lt;&gt;"ASTM A416"),L684,0),3)</f>
        <v/>
      </c>
      <c r="U684" s="20">
        <f>ROUND(U683+IF(AND(E684=20,F684&lt;&gt;"ASTM A416"),L684,0),3)</f>
        <v/>
      </c>
      <c r="V684" s="20">
        <f>ROUND(V683+IF(AND(E684=22,F684&lt;&gt;"ASTM A416"),L684,0),3)</f>
        <v/>
      </c>
      <c r="W684" s="20">
        <f>ROUND(W683+IF(AND(E684=25,F684&lt;&gt;"ASTM A416"),L684,0),3)</f>
        <v/>
      </c>
      <c r="X684" s="20">
        <f>ROUND(X683+IF(AND(E684=28,F684&lt;&gt;"ASTM A416"),L684,0),3)</f>
        <v/>
      </c>
      <c r="Y684" s="20">
        <f>ROUND(Y683+IF(AND(E684=32,F684&lt;&gt;"ASTM A416"),L684,0),3)</f>
        <v/>
      </c>
      <c r="Z684" s="20">
        <f>ROUND(Z683+IF(F684="ASTM A416",L684,0),3)</f>
        <v/>
      </c>
      <c r="AA684" s="11">
        <f>IF(ROUNDUP(P684/20,0)&gt;ROUNDUP(P683/20,0),"Lần " &amp; ROUNDUP(P684/20,0),"")</f>
        <v/>
      </c>
      <c r="AB684" s="11">
        <f>IF(ROUNDUP(Q684/20,0)&gt;ROUNDUP(Q683/20,0),"Lần " &amp; ROUNDUP(Q684/20,0),"")</f>
        <v/>
      </c>
      <c r="AC684" s="11">
        <f>IF(ROUNDUP(R684/20,0)&gt;ROUNDUP(R683/20,0),"Lần " &amp; ROUNDUP(R684/20,0),"")</f>
        <v/>
      </c>
      <c r="AD684" s="11">
        <f>IF(ROUNDUP(S684/20,0)&gt;ROUNDUP(S683/20,0),"Lần " &amp; ROUNDUP(S684/20,0),"")</f>
        <v/>
      </c>
      <c r="AE684" s="11">
        <f>IF(ROUNDUP(T684/20,0)&gt;ROUNDUP(T683/20,0),"Lần " &amp; ROUNDUP(T684/20,0),"")</f>
        <v/>
      </c>
      <c r="AF684" s="11">
        <f>IF(ROUNDUP(U684/20,0)&gt;ROUNDUP(U683/20,0),"Lần " &amp; ROUNDUP(U684/20,0),"")</f>
        <v/>
      </c>
      <c r="AG684" s="11">
        <f>IF(ROUNDUP(V684/20,0)&gt;ROUNDUP(V683/20,0),"Lần " &amp; ROUNDUP(V684/20,0),"")</f>
        <v/>
      </c>
      <c r="AH684" s="11">
        <f>IF(ROUNDUP(W684/20,0)&gt;ROUNDUP(W683/20,0),"Lần " &amp; ROUNDUP(W684/20,0),"")</f>
        <v/>
      </c>
      <c r="AI684" s="11">
        <f>IF(ROUNDUP(X684/20,0)&gt;ROUNDUP(X683/20,0),"Lần " &amp; ROUNDUP(X684/20,0),"")</f>
        <v/>
      </c>
      <c r="AJ684" s="11">
        <f>IF(ROUNDUP(Y684/20,0)&gt;ROUNDUP(Y683/20,0),"Lần " &amp; ROUNDUP(Y684/20,0),"")</f>
        <v/>
      </c>
      <c r="AK684" s="11">
        <f>IF(ROUNDUP(Z684/20,0)&gt;ROUNDUP(Z683/20,0),"Lần " &amp; ROUNDUP(Z684/20,0),"")</f>
        <v/>
      </c>
      <c r="AL684" s="6" t="n"/>
      <c r="AN684" t="inlineStr">
        <is>
          <t>Coc</t>
        </is>
      </c>
      <c r="AO684" t="n">
        <v>22</v>
      </c>
    </row>
    <row r="685" ht="19" customHeight="1">
      <c r="A685" s="6" t="n">
        <v>650</v>
      </c>
      <c r="B685" s="7" t="inlineStr">
        <is>
          <t>Cọc khoan nhồi C8 Trụ T2 (D1.2m, L=30.0m)</t>
        </is>
      </c>
      <c r="C685" s="7" t="inlineStr">
        <is>
          <t>Cọc trụ T2 L=30m (tr.70)</t>
        </is>
      </c>
      <c r="D685" s="18" t="inlineStr">
        <is>
          <t>P1B</t>
        </is>
      </c>
      <c r="E685" s="19" t="n">
        <v>10</v>
      </c>
      <c r="F685" s="6" t="inlineStr">
        <is>
          <t>CB240-T</t>
        </is>
      </c>
      <c r="G685" s="7" t="inlineStr"/>
      <c r="H685" s="20" t="n">
        <v>100.256</v>
      </c>
      <c r="I685" s="21" t="n">
        <v>1</v>
      </c>
      <c r="J685" s="22" t="n">
        <v>0.617</v>
      </c>
      <c r="K685" s="9">
        <f>ROUND(H685*I685*J685, 2)</f>
        <v/>
      </c>
      <c r="L685" s="23">
        <f>ROUND(K685/1000, 3)</f>
        <v/>
      </c>
      <c r="M685" s="8">
        <f>IF(AO685="","",IF(INDEX(Theo_Doi_Tan_Suat_Be_Tong!$C:$C,AO685)="","",INDEX(Theo_Doi_Tan_Suat_Be_Tong!$C:$C,AO685)-VLOOKUP(AN685,$AQ$2:$AR$7,2,FALSE)))</f>
        <v/>
      </c>
      <c r="N685" s="6" t="n"/>
      <c r="O685" s="24">
        <f>IF(ROUNDUP(P685/20,0)&gt;ROUNDUP(P684/20,0),"TN Ø10 (Lần " &amp; ROUNDUP(P685/20,0) &amp; ")","")</f>
        <v/>
      </c>
      <c r="P685" s="20">
        <f>ROUND(P684+IF(AND(E685&lt;=10,F685&lt;&gt;"ASTM A416"),L685,0),3)</f>
        <v/>
      </c>
      <c r="Q685" s="20">
        <f>ROUND(Q684+IF(AND(E685=12,F685&lt;&gt;"ASTM A416"),L685,0),3)</f>
        <v/>
      </c>
      <c r="R685" s="20">
        <f>ROUND(R684+IF(AND(E685=14,F685&lt;&gt;"ASTM A416"),L685,0),3)</f>
        <v/>
      </c>
      <c r="S685" s="20">
        <f>ROUND(S684+IF(AND(E685=16,F685&lt;&gt;"ASTM A416"),L685,0),3)</f>
        <v/>
      </c>
      <c r="T685" s="20">
        <f>ROUND(T684+IF(AND(E685=18,F685&lt;&gt;"ASTM A416"),L685,0),3)</f>
        <v/>
      </c>
      <c r="U685" s="20">
        <f>ROUND(U684+IF(AND(E685=20,F685&lt;&gt;"ASTM A416"),L685,0),3)</f>
        <v/>
      </c>
      <c r="V685" s="20">
        <f>ROUND(V684+IF(AND(E685=22,F685&lt;&gt;"ASTM A416"),L685,0),3)</f>
        <v/>
      </c>
      <c r="W685" s="20">
        <f>ROUND(W684+IF(AND(E685=25,F685&lt;&gt;"ASTM A416"),L685,0),3)</f>
        <v/>
      </c>
      <c r="X685" s="20">
        <f>ROUND(X684+IF(AND(E685=28,F685&lt;&gt;"ASTM A416"),L685,0),3)</f>
        <v/>
      </c>
      <c r="Y685" s="20">
        <f>ROUND(Y684+IF(AND(E685=32,F685&lt;&gt;"ASTM A416"),L685,0),3)</f>
        <v/>
      </c>
      <c r="Z685" s="20">
        <f>ROUND(Z684+IF(F685="ASTM A416",L685,0),3)</f>
        <v/>
      </c>
      <c r="AA685" s="11">
        <f>IF(ROUNDUP(P685/20,0)&gt;ROUNDUP(P684/20,0),"Lần " &amp; ROUNDUP(P685/20,0),"")</f>
        <v/>
      </c>
      <c r="AB685" s="11">
        <f>IF(ROUNDUP(Q685/20,0)&gt;ROUNDUP(Q684/20,0),"Lần " &amp; ROUNDUP(Q685/20,0),"")</f>
        <v/>
      </c>
      <c r="AC685" s="11">
        <f>IF(ROUNDUP(R685/20,0)&gt;ROUNDUP(R684/20,0),"Lần " &amp; ROUNDUP(R685/20,0),"")</f>
        <v/>
      </c>
      <c r="AD685" s="11">
        <f>IF(ROUNDUP(S685/20,0)&gt;ROUNDUP(S684/20,0),"Lần " &amp; ROUNDUP(S685/20,0),"")</f>
        <v/>
      </c>
      <c r="AE685" s="11">
        <f>IF(ROUNDUP(T685/20,0)&gt;ROUNDUP(T684/20,0),"Lần " &amp; ROUNDUP(T685/20,0),"")</f>
        <v/>
      </c>
      <c r="AF685" s="11">
        <f>IF(ROUNDUP(U685/20,0)&gt;ROUNDUP(U684/20,0),"Lần " &amp; ROUNDUP(U685/20,0),"")</f>
        <v/>
      </c>
      <c r="AG685" s="11">
        <f>IF(ROUNDUP(V685/20,0)&gt;ROUNDUP(V684/20,0),"Lần " &amp; ROUNDUP(V685/20,0),"")</f>
        <v/>
      </c>
      <c r="AH685" s="11">
        <f>IF(ROUNDUP(W685/20,0)&gt;ROUNDUP(W684/20,0),"Lần " &amp; ROUNDUP(W685/20,0),"")</f>
        <v/>
      </c>
      <c r="AI685" s="11">
        <f>IF(ROUNDUP(X685/20,0)&gt;ROUNDUP(X684/20,0),"Lần " &amp; ROUNDUP(X685/20,0),"")</f>
        <v/>
      </c>
      <c r="AJ685" s="11">
        <f>IF(ROUNDUP(Y685/20,0)&gt;ROUNDUP(Y684/20,0),"Lần " &amp; ROUNDUP(Y685/20,0),"")</f>
        <v/>
      </c>
      <c r="AK685" s="11">
        <f>IF(ROUNDUP(Z685/20,0)&gt;ROUNDUP(Z684/20,0),"Lần " &amp; ROUNDUP(Z685/20,0),"")</f>
        <v/>
      </c>
      <c r="AL685" s="6" t="n"/>
      <c r="AN685" t="inlineStr">
        <is>
          <t>Coc</t>
        </is>
      </c>
      <c r="AO685" t="n">
        <v>22</v>
      </c>
    </row>
    <row r="686" ht="19" customHeight="1">
      <c r="A686" s="6" t="n">
        <v>651</v>
      </c>
      <c r="B686" s="7" t="inlineStr">
        <is>
          <t>Cọc khoan nhồi C8 Trụ T2 (D1.2m, L=30.0m)</t>
        </is>
      </c>
      <c r="C686" s="7" t="inlineStr">
        <is>
          <t>Cọc trụ T2 L=30m (tr.70)</t>
        </is>
      </c>
      <c r="D686" s="18" t="inlineStr">
        <is>
          <t>P1C</t>
        </is>
      </c>
      <c r="E686" s="19" t="n">
        <v>10</v>
      </c>
      <c r="F686" s="6" t="inlineStr">
        <is>
          <t>CB240-T</t>
        </is>
      </c>
      <c r="G686" s="7" t="inlineStr"/>
      <c r="H686" s="20" t="n">
        <v>3.592</v>
      </c>
      <c r="I686" s="21" t="n">
        <v>2</v>
      </c>
      <c r="J686" s="22" t="n">
        <v>0.617</v>
      </c>
      <c r="K686" s="9">
        <f>ROUND(H686*I686*J686, 2)</f>
        <v/>
      </c>
      <c r="L686" s="23">
        <f>ROUND(K686/1000, 3)</f>
        <v/>
      </c>
      <c r="M686" s="8">
        <f>IF(AO686="","",IF(INDEX(Theo_Doi_Tan_Suat_Be_Tong!$C:$C,AO686)="","",INDEX(Theo_Doi_Tan_Suat_Be_Tong!$C:$C,AO686)-VLOOKUP(AN686,$AQ$2:$AR$7,2,FALSE)))</f>
        <v/>
      </c>
      <c r="N686" s="6" t="n"/>
      <c r="O686" s="24">
        <f>IF(ROUNDUP(P686/20,0)&gt;ROUNDUP(P685/20,0),"TN Ø10 (Lần " &amp; ROUNDUP(P686/20,0) &amp; ")","")</f>
        <v/>
      </c>
      <c r="P686" s="20">
        <f>ROUND(P685+IF(AND(E686&lt;=10,F686&lt;&gt;"ASTM A416"),L686,0),3)</f>
        <v/>
      </c>
      <c r="Q686" s="20">
        <f>ROUND(Q685+IF(AND(E686=12,F686&lt;&gt;"ASTM A416"),L686,0),3)</f>
        <v/>
      </c>
      <c r="R686" s="20">
        <f>ROUND(R685+IF(AND(E686=14,F686&lt;&gt;"ASTM A416"),L686,0),3)</f>
        <v/>
      </c>
      <c r="S686" s="20">
        <f>ROUND(S685+IF(AND(E686=16,F686&lt;&gt;"ASTM A416"),L686,0),3)</f>
        <v/>
      </c>
      <c r="T686" s="20">
        <f>ROUND(T685+IF(AND(E686=18,F686&lt;&gt;"ASTM A416"),L686,0),3)</f>
        <v/>
      </c>
      <c r="U686" s="20">
        <f>ROUND(U685+IF(AND(E686=20,F686&lt;&gt;"ASTM A416"),L686,0),3)</f>
        <v/>
      </c>
      <c r="V686" s="20">
        <f>ROUND(V685+IF(AND(E686=22,F686&lt;&gt;"ASTM A416"),L686,0),3)</f>
        <v/>
      </c>
      <c r="W686" s="20">
        <f>ROUND(W685+IF(AND(E686=25,F686&lt;&gt;"ASTM A416"),L686,0),3)</f>
        <v/>
      </c>
      <c r="X686" s="20">
        <f>ROUND(X685+IF(AND(E686=28,F686&lt;&gt;"ASTM A416"),L686,0),3)</f>
        <v/>
      </c>
      <c r="Y686" s="20">
        <f>ROUND(Y685+IF(AND(E686=32,F686&lt;&gt;"ASTM A416"),L686,0),3)</f>
        <v/>
      </c>
      <c r="Z686" s="20">
        <f>ROUND(Z685+IF(F686="ASTM A416",L686,0),3)</f>
        <v/>
      </c>
      <c r="AA686" s="11">
        <f>IF(ROUNDUP(P686/20,0)&gt;ROUNDUP(P685/20,0),"Lần " &amp; ROUNDUP(P686/20,0),"")</f>
        <v/>
      </c>
      <c r="AB686" s="11">
        <f>IF(ROUNDUP(Q686/20,0)&gt;ROUNDUP(Q685/20,0),"Lần " &amp; ROUNDUP(Q686/20,0),"")</f>
        <v/>
      </c>
      <c r="AC686" s="11">
        <f>IF(ROUNDUP(R686/20,0)&gt;ROUNDUP(R685/20,0),"Lần " &amp; ROUNDUP(R686/20,0),"")</f>
        <v/>
      </c>
      <c r="AD686" s="11">
        <f>IF(ROUNDUP(S686/20,0)&gt;ROUNDUP(S685/20,0),"Lần " &amp; ROUNDUP(S686/20,0),"")</f>
        <v/>
      </c>
      <c r="AE686" s="11">
        <f>IF(ROUNDUP(T686/20,0)&gt;ROUNDUP(T685/20,0),"Lần " &amp; ROUNDUP(T686/20,0),"")</f>
        <v/>
      </c>
      <c r="AF686" s="11">
        <f>IF(ROUNDUP(U686/20,0)&gt;ROUNDUP(U685/20,0),"Lần " &amp; ROUNDUP(U686/20,0),"")</f>
        <v/>
      </c>
      <c r="AG686" s="11">
        <f>IF(ROUNDUP(V686/20,0)&gt;ROUNDUP(V685/20,0),"Lần " &amp; ROUNDUP(V686/20,0),"")</f>
        <v/>
      </c>
      <c r="AH686" s="11">
        <f>IF(ROUNDUP(W686/20,0)&gt;ROUNDUP(W685/20,0),"Lần " &amp; ROUNDUP(W686/20,0),"")</f>
        <v/>
      </c>
      <c r="AI686" s="11">
        <f>IF(ROUNDUP(X686/20,0)&gt;ROUNDUP(X685/20,0),"Lần " &amp; ROUNDUP(X686/20,0),"")</f>
        <v/>
      </c>
      <c r="AJ686" s="11">
        <f>IF(ROUNDUP(Y686/20,0)&gt;ROUNDUP(Y685/20,0),"Lần " &amp; ROUNDUP(Y686/20,0),"")</f>
        <v/>
      </c>
      <c r="AK686" s="11">
        <f>IF(ROUNDUP(Z686/20,0)&gt;ROUNDUP(Z685/20,0),"Lần " &amp; ROUNDUP(Z686/20,0),"")</f>
        <v/>
      </c>
      <c r="AL686" s="6" t="n"/>
      <c r="AN686" t="inlineStr">
        <is>
          <t>Coc</t>
        </is>
      </c>
      <c r="AO686" t="n">
        <v>22</v>
      </c>
    </row>
    <row r="687" ht="19" customHeight="1">
      <c r="A687" s="6" t="n">
        <v>652</v>
      </c>
      <c r="B687" s="7" t="inlineStr">
        <is>
          <t>Cọc khoan nhồi C8 Trụ T2 (D1.2m, L=30.0m)</t>
        </is>
      </c>
      <c r="C687" s="7" t="inlineStr">
        <is>
          <t>Cọc trụ T2 L=30m (tr.70)</t>
        </is>
      </c>
      <c r="D687" s="18" t="inlineStr">
        <is>
          <t>P1D</t>
        </is>
      </c>
      <c r="E687" s="19" t="n">
        <v>10</v>
      </c>
      <c r="F687" s="6" t="inlineStr">
        <is>
          <t>CB240-T</t>
        </is>
      </c>
      <c r="G687" s="7" t="inlineStr"/>
      <c r="H687" s="20" t="n">
        <v>19.721</v>
      </c>
      <c r="I687" s="21" t="n">
        <v>1</v>
      </c>
      <c r="J687" s="22" t="n">
        <v>0.617</v>
      </c>
      <c r="K687" s="9">
        <f>ROUND(H687*I687*J687, 2)</f>
        <v/>
      </c>
      <c r="L687" s="23">
        <f>ROUND(K687/1000, 3)</f>
        <v/>
      </c>
      <c r="M687" s="8">
        <f>IF(AO687="","",IF(INDEX(Theo_Doi_Tan_Suat_Be_Tong!$C:$C,AO687)="","",INDEX(Theo_Doi_Tan_Suat_Be_Tong!$C:$C,AO687)-VLOOKUP(AN687,$AQ$2:$AR$7,2,FALSE)))</f>
        <v/>
      </c>
      <c r="N687" s="6" t="n"/>
      <c r="O687" s="24">
        <f>IF(ROUNDUP(P687/20,0)&gt;ROUNDUP(P686/20,0),"TN Ø10 (Lần " &amp; ROUNDUP(P687/20,0) &amp; ")","")</f>
        <v/>
      </c>
      <c r="P687" s="20">
        <f>ROUND(P686+IF(AND(E687&lt;=10,F687&lt;&gt;"ASTM A416"),L687,0),3)</f>
        <v/>
      </c>
      <c r="Q687" s="20">
        <f>ROUND(Q686+IF(AND(E687=12,F687&lt;&gt;"ASTM A416"),L687,0),3)</f>
        <v/>
      </c>
      <c r="R687" s="20">
        <f>ROUND(R686+IF(AND(E687=14,F687&lt;&gt;"ASTM A416"),L687,0),3)</f>
        <v/>
      </c>
      <c r="S687" s="20">
        <f>ROUND(S686+IF(AND(E687=16,F687&lt;&gt;"ASTM A416"),L687,0),3)</f>
        <v/>
      </c>
      <c r="T687" s="20">
        <f>ROUND(T686+IF(AND(E687=18,F687&lt;&gt;"ASTM A416"),L687,0),3)</f>
        <v/>
      </c>
      <c r="U687" s="20">
        <f>ROUND(U686+IF(AND(E687=20,F687&lt;&gt;"ASTM A416"),L687,0),3)</f>
        <v/>
      </c>
      <c r="V687" s="20">
        <f>ROUND(V686+IF(AND(E687=22,F687&lt;&gt;"ASTM A416"),L687,0),3)</f>
        <v/>
      </c>
      <c r="W687" s="20">
        <f>ROUND(W686+IF(AND(E687=25,F687&lt;&gt;"ASTM A416"),L687,0),3)</f>
        <v/>
      </c>
      <c r="X687" s="20">
        <f>ROUND(X686+IF(AND(E687=28,F687&lt;&gt;"ASTM A416"),L687,0),3)</f>
        <v/>
      </c>
      <c r="Y687" s="20">
        <f>ROUND(Y686+IF(AND(E687=32,F687&lt;&gt;"ASTM A416"),L687,0),3)</f>
        <v/>
      </c>
      <c r="Z687" s="20">
        <f>ROUND(Z686+IF(F687="ASTM A416",L687,0),3)</f>
        <v/>
      </c>
      <c r="AA687" s="11">
        <f>IF(ROUNDUP(P687/20,0)&gt;ROUNDUP(P686/20,0),"Lần " &amp; ROUNDUP(P687/20,0),"")</f>
        <v/>
      </c>
      <c r="AB687" s="11">
        <f>IF(ROUNDUP(Q687/20,0)&gt;ROUNDUP(Q686/20,0),"Lần " &amp; ROUNDUP(Q687/20,0),"")</f>
        <v/>
      </c>
      <c r="AC687" s="11">
        <f>IF(ROUNDUP(R687/20,0)&gt;ROUNDUP(R686/20,0),"Lần " &amp; ROUNDUP(R687/20,0),"")</f>
        <v/>
      </c>
      <c r="AD687" s="11">
        <f>IF(ROUNDUP(S687/20,0)&gt;ROUNDUP(S686/20,0),"Lần " &amp; ROUNDUP(S687/20,0),"")</f>
        <v/>
      </c>
      <c r="AE687" s="11">
        <f>IF(ROUNDUP(T687/20,0)&gt;ROUNDUP(T686/20,0),"Lần " &amp; ROUNDUP(T687/20,0),"")</f>
        <v/>
      </c>
      <c r="AF687" s="11">
        <f>IF(ROUNDUP(U687/20,0)&gt;ROUNDUP(U686/20,0),"Lần " &amp; ROUNDUP(U687/20,0),"")</f>
        <v/>
      </c>
      <c r="AG687" s="11">
        <f>IF(ROUNDUP(V687/20,0)&gt;ROUNDUP(V686/20,0),"Lần " &amp; ROUNDUP(V687/20,0),"")</f>
        <v/>
      </c>
      <c r="AH687" s="11">
        <f>IF(ROUNDUP(W687/20,0)&gt;ROUNDUP(W686/20,0),"Lần " &amp; ROUNDUP(W687/20,0),"")</f>
        <v/>
      </c>
      <c r="AI687" s="11">
        <f>IF(ROUNDUP(X687/20,0)&gt;ROUNDUP(X686/20,0),"Lần " &amp; ROUNDUP(X687/20,0),"")</f>
        <v/>
      </c>
      <c r="AJ687" s="11">
        <f>IF(ROUNDUP(Y687/20,0)&gt;ROUNDUP(Y686/20,0),"Lần " &amp; ROUNDUP(Y687/20,0),"")</f>
        <v/>
      </c>
      <c r="AK687" s="11">
        <f>IF(ROUNDUP(Z687/20,0)&gt;ROUNDUP(Z686/20,0),"Lần " &amp; ROUNDUP(Z687/20,0),"")</f>
        <v/>
      </c>
      <c r="AL687" s="6" t="n"/>
      <c r="AN687" t="inlineStr">
        <is>
          <t>Coc</t>
        </is>
      </c>
      <c r="AO687" t="n">
        <v>22</v>
      </c>
    </row>
    <row r="688" ht="19" customHeight="1">
      <c r="A688" s="6" t="n">
        <v>653</v>
      </c>
      <c r="B688" s="7" t="inlineStr">
        <is>
          <t>Cọc khoan nhồi C8 Trụ T2 (D1.2m, L=30.0m)</t>
        </is>
      </c>
      <c r="C688" s="7" t="inlineStr">
        <is>
          <t>Cọc trụ T2 L=30m (tr.70)</t>
        </is>
      </c>
      <c r="D688" s="18" t="inlineStr">
        <is>
          <t>P2B</t>
        </is>
      </c>
      <c r="E688" s="19" t="n">
        <v>25</v>
      </c>
      <c r="F688" s="6" t="inlineStr">
        <is>
          <t>CB400-V</t>
        </is>
      </c>
      <c r="G688" s="7" t="inlineStr"/>
      <c r="H688" s="20" t="n">
        <v>2.985</v>
      </c>
      <c r="I688" s="21" t="n">
        <v>12</v>
      </c>
      <c r="J688" s="22" t="n">
        <v>3.853</v>
      </c>
      <c r="K688" s="9">
        <f>ROUND(H688*I688*J688, 2)</f>
        <v/>
      </c>
      <c r="L688" s="23">
        <f>ROUND(K688/1000, 3)</f>
        <v/>
      </c>
      <c r="M688" s="8">
        <f>IF(AO688="","",IF(INDEX(Theo_Doi_Tan_Suat_Be_Tong!$C:$C,AO688)="","",INDEX(Theo_Doi_Tan_Suat_Be_Tong!$C:$C,AO688)-VLOOKUP(AN688,$AQ$2:$AR$7,2,FALSE)))</f>
        <v/>
      </c>
      <c r="N688" s="6" t="n"/>
      <c r="O688" s="24">
        <f>IF(ROUNDUP(W688/20,0)&gt;ROUNDUP(W687/20,0),"TN Ø25 (Lần " &amp; ROUNDUP(W688/20,0) &amp; ")","")</f>
        <v/>
      </c>
      <c r="P688" s="20">
        <f>ROUND(P687+IF(AND(E688&lt;=10,F688&lt;&gt;"ASTM A416"),L688,0),3)</f>
        <v/>
      </c>
      <c r="Q688" s="20">
        <f>ROUND(Q687+IF(AND(E688=12,F688&lt;&gt;"ASTM A416"),L688,0),3)</f>
        <v/>
      </c>
      <c r="R688" s="20">
        <f>ROUND(R687+IF(AND(E688=14,F688&lt;&gt;"ASTM A416"),L688,0),3)</f>
        <v/>
      </c>
      <c r="S688" s="20">
        <f>ROUND(S687+IF(AND(E688=16,F688&lt;&gt;"ASTM A416"),L688,0),3)</f>
        <v/>
      </c>
      <c r="T688" s="20">
        <f>ROUND(T687+IF(AND(E688=18,F688&lt;&gt;"ASTM A416"),L688,0),3)</f>
        <v/>
      </c>
      <c r="U688" s="20">
        <f>ROUND(U687+IF(AND(E688=20,F688&lt;&gt;"ASTM A416"),L688,0),3)</f>
        <v/>
      </c>
      <c r="V688" s="20">
        <f>ROUND(V687+IF(AND(E688=22,F688&lt;&gt;"ASTM A416"),L688,0),3)</f>
        <v/>
      </c>
      <c r="W688" s="20">
        <f>ROUND(W687+IF(AND(E688=25,F688&lt;&gt;"ASTM A416"),L688,0),3)</f>
        <v/>
      </c>
      <c r="X688" s="20">
        <f>ROUND(X687+IF(AND(E688=28,F688&lt;&gt;"ASTM A416"),L688,0),3)</f>
        <v/>
      </c>
      <c r="Y688" s="20">
        <f>ROUND(Y687+IF(AND(E688=32,F688&lt;&gt;"ASTM A416"),L688,0),3)</f>
        <v/>
      </c>
      <c r="Z688" s="20">
        <f>ROUND(Z687+IF(F688="ASTM A416",L688,0),3)</f>
        <v/>
      </c>
      <c r="AA688" s="11">
        <f>IF(ROUNDUP(P688/20,0)&gt;ROUNDUP(P687/20,0),"Lần " &amp; ROUNDUP(P688/20,0),"")</f>
        <v/>
      </c>
      <c r="AB688" s="11">
        <f>IF(ROUNDUP(Q688/20,0)&gt;ROUNDUP(Q687/20,0),"Lần " &amp; ROUNDUP(Q688/20,0),"")</f>
        <v/>
      </c>
      <c r="AC688" s="11">
        <f>IF(ROUNDUP(R688/20,0)&gt;ROUNDUP(R687/20,0),"Lần " &amp; ROUNDUP(R688/20,0),"")</f>
        <v/>
      </c>
      <c r="AD688" s="11">
        <f>IF(ROUNDUP(S688/20,0)&gt;ROUNDUP(S687/20,0),"Lần " &amp; ROUNDUP(S688/20,0),"")</f>
        <v/>
      </c>
      <c r="AE688" s="11">
        <f>IF(ROUNDUP(T688/20,0)&gt;ROUNDUP(T687/20,0),"Lần " &amp; ROUNDUP(T688/20,0),"")</f>
        <v/>
      </c>
      <c r="AF688" s="11">
        <f>IF(ROUNDUP(U688/20,0)&gt;ROUNDUP(U687/20,0),"Lần " &amp; ROUNDUP(U688/20,0),"")</f>
        <v/>
      </c>
      <c r="AG688" s="11">
        <f>IF(ROUNDUP(V688/20,0)&gt;ROUNDUP(V687/20,0),"Lần " &amp; ROUNDUP(V688/20,0),"")</f>
        <v/>
      </c>
      <c r="AH688" s="11">
        <f>IF(ROUNDUP(W688/20,0)&gt;ROUNDUP(W687/20,0),"Lần " &amp; ROUNDUP(W688/20,0),"")</f>
        <v/>
      </c>
      <c r="AI688" s="11">
        <f>IF(ROUNDUP(X688/20,0)&gt;ROUNDUP(X687/20,0),"Lần " &amp; ROUNDUP(X688/20,0),"")</f>
        <v/>
      </c>
      <c r="AJ688" s="11">
        <f>IF(ROUNDUP(Y688/20,0)&gt;ROUNDUP(Y687/20,0),"Lần " &amp; ROUNDUP(Y688/20,0),"")</f>
        <v/>
      </c>
      <c r="AK688" s="11">
        <f>IF(ROUNDUP(Z688/20,0)&gt;ROUNDUP(Z687/20,0),"Lần " &amp; ROUNDUP(Z688/20,0),"")</f>
        <v/>
      </c>
      <c r="AL688" s="6" t="n"/>
      <c r="AN688" t="inlineStr">
        <is>
          <t>Coc</t>
        </is>
      </c>
      <c r="AO688" t="n">
        <v>22</v>
      </c>
    </row>
    <row r="689" ht="19" customHeight="1">
      <c r="A689" s="6" t="n">
        <v>654</v>
      </c>
      <c r="B689" s="7" t="inlineStr">
        <is>
          <t>Cọc khoan nhồi C8 Trụ T2 (D1.2m, L=30.0m)</t>
        </is>
      </c>
      <c r="C689" s="7" t="inlineStr">
        <is>
          <t>Cọc trụ T2 L=30m (tr.70)</t>
        </is>
      </c>
      <c r="D689" s="18" t="inlineStr">
        <is>
          <t>P3</t>
        </is>
      </c>
      <c r="E689" s="19" t="n">
        <v>25</v>
      </c>
      <c r="F689" s="6" t="inlineStr">
        <is>
          <t>CB400-V</t>
        </is>
      </c>
      <c r="G689" s="7" t="inlineStr"/>
      <c r="H689" s="20" t="n">
        <v>10.7</v>
      </c>
      <c r="I689" s="21" t="n">
        <v>12</v>
      </c>
      <c r="J689" s="22" t="n">
        <v>3.853</v>
      </c>
      <c r="K689" s="9">
        <f>ROUND(H689*I689*J689, 2)</f>
        <v/>
      </c>
      <c r="L689" s="23">
        <f>ROUND(K689/1000, 3)</f>
        <v/>
      </c>
      <c r="M689" s="8">
        <f>IF(AO689="","",IF(INDEX(Theo_Doi_Tan_Suat_Be_Tong!$C:$C,AO689)="","",INDEX(Theo_Doi_Tan_Suat_Be_Tong!$C:$C,AO689)-VLOOKUP(AN689,$AQ$2:$AR$7,2,FALSE)))</f>
        <v/>
      </c>
      <c r="N689" s="6" t="n"/>
      <c r="O689" s="24">
        <f>IF(ROUNDUP(W689/20,0)&gt;ROUNDUP(W688/20,0),"TN Ø25 (Lần " &amp; ROUNDUP(W689/20,0) &amp; ")","")</f>
        <v/>
      </c>
      <c r="P689" s="20">
        <f>ROUND(P688+IF(AND(E689&lt;=10,F689&lt;&gt;"ASTM A416"),L689,0),3)</f>
        <v/>
      </c>
      <c r="Q689" s="20">
        <f>ROUND(Q688+IF(AND(E689=12,F689&lt;&gt;"ASTM A416"),L689,0),3)</f>
        <v/>
      </c>
      <c r="R689" s="20">
        <f>ROUND(R688+IF(AND(E689=14,F689&lt;&gt;"ASTM A416"),L689,0),3)</f>
        <v/>
      </c>
      <c r="S689" s="20">
        <f>ROUND(S688+IF(AND(E689=16,F689&lt;&gt;"ASTM A416"),L689,0),3)</f>
        <v/>
      </c>
      <c r="T689" s="20">
        <f>ROUND(T688+IF(AND(E689=18,F689&lt;&gt;"ASTM A416"),L689,0),3)</f>
        <v/>
      </c>
      <c r="U689" s="20">
        <f>ROUND(U688+IF(AND(E689=20,F689&lt;&gt;"ASTM A416"),L689,0),3)</f>
        <v/>
      </c>
      <c r="V689" s="20">
        <f>ROUND(V688+IF(AND(E689=22,F689&lt;&gt;"ASTM A416"),L689,0),3)</f>
        <v/>
      </c>
      <c r="W689" s="20">
        <f>ROUND(W688+IF(AND(E689=25,F689&lt;&gt;"ASTM A416"),L689,0),3)</f>
        <v/>
      </c>
      <c r="X689" s="20">
        <f>ROUND(X688+IF(AND(E689=28,F689&lt;&gt;"ASTM A416"),L689,0),3)</f>
        <v/>
      </c>
      <c r="Y689" s="20">
        <f>ROUND(Y688+IF(AND(E689=32,F689&lt;&gt;"ASTM A416"),L689,0),3)</f>
        <v/>
      </c>
      <c r="Z689" s="20">
        <f>ROUND(Z688+IF(F689="ASTM A416",L689,0),3)</f>
        <v/>
      </c>
      <c r="AA689" s="11">
        <f>IF(ROUNDUP(P689/20,0)&gt;ROUNDUP(P688/20,0),"Lần " &amp; ROUNDUP(P689/20,0),"")</f>
        <v/>
      </c>
      <c r="AB689" s="11">
        <f>IF(ROUNDUP(Q689/20,0)&gt;ROUNDUP(Q688/20,0),"Lần " &amp; ROUNDUP(Q689/20,0),"")</f>
        <v/>
      </c>
      <c r="AC689" s="11">
        <f>IF(ROUNDUP(R689/20,0)&gt;ROUNDUP(R688/20,0),"Lần " &amp; ROUNDUP(R689/20,0),"")</f>
        <v/>
      </c>
      <c r="AD689" s="11">
        <f>IF(ROUNDUP(S689/20,0)&gt;ROUNDUP(S688/20,0),"Lần " &amp; ROUNDUP(S689/20,0),"")</f>
        <v/>
      </c>
      <c r="AE689" s="11">
        <f>IF(ROUNDUP(T689/20,0)&gt;ROUNDUP(T688/20,0),"Lần " &amp; ROUNDUP(T689/20,0),"")</f>
        <v/>
      </c>
      <c r="AF689" s="11">
        <f>IF(ROUNDUP(U689/20,0)&gt;ROUNDUP(U688/20,0),"Lần " &amp; ROUNDUP(U689/20,0),"")</f>
        <v/>
      </c>
      <c r="AG689" s="11">
        <f>IF(ROUNDUP(V689/20,0)&gt;ROUNDUP(V688/20,0),"Lần " &amp; ROUNDUP(V689/20,0),"")</f>
        <v/>
      </c>
      <c r="AH689" s="11">
        <f>IF(ROUNDUP(W689/20,0)&gt;ROUNDUP(W688/20,0),"Lần " &amp; ROUNDUP(W689/20,0),"")</f>
        <v/>
      </c>
      <c r="AI689" s="11">
        <f>IF(ROUNDUP(X689/20,0)&gt;ROUNDUP(X688/20,0),"Lần " &amp; ROUNDUP(X689/20,0),"")</f>
        <v/>
      </c>
      <c r="AJ689" s="11">
        <f>IF(ROUNDUP(Y689/20,0)&gt;ROUNDUP(Y688/20,0),"Lần " &amp; ROUNDUP(Y689/20,0),"")</f>
        <v/>
      </c>
      <c r="AK689" s="11">
        <f>IF(ROUNDUP(Z689/20,0)&gt;ROUNDUP(Z688/20,0),"Lần " &amp; ROUNDUP(Z689/20,0),"")</f>
        <v/>
      </c>
      <c r="AL689" s="6" t="n"/>
      <c r="AN689" t="inlineStr">
        <is>
          <t>Coc</t>
        </is>
      </c>
      <c r="AO689" t="n">
        <v>22</v>
      </c>
    </row>
    <row r="690" ht="19" customHeight="1">
      <c r="A690" s="6" t="n">
        <v>655</v>
      </c>
      <c r="B690" s="7" t="inlineStr">
        <is>
          <t>Cọc khoan nhồi C8 Trụ T2 (D1.2m, L=30.0m)</t>
        </is>
      </c>
      <c r="C690" s="7" t="inlineStr">
        <is>
          <t>Cọc trụ T2 L=30m (tr.70)</t>
        </is>
      </c>
      <c r="D690" s="18" t="inlineStr">
        <is>
          <t>P4</t>
        </is>
      </c>
      <c r="E690" s="19" t="n">
        <v>25</v>
      </c>
      <c r="F690" s="6" t="inlineStr">
        <is>
          <t>CB400-V</t>
        </is>
      </c>
      <c r="G690" s="7" t="inlineStr"/>
      <c r="H690" s="20" t="n">
        <v>11.7</v>
      </c>
      <c r="I690" s="21" t="n">
        <v>36</v>
      </c>
      <c r="J690" s="22" t="n">
        <v>3.853</v>
      </c>
      <c r="K690" s="9">
        <f>ROUND(H690*I690*J690, 2)</f>
        <v/>
      </c>
      <c r="L690" s="23">
        <f>ROUND(K690/1000, 3)</f>
        <v/>
      </c>
      <c r="M690" s="8">
        <f>IF(AO690="","",IF(INDEX(Theo_Doi_Tan_Suat_Be_Tong!$C:$C,AO690)="","",INDEX(Theo_Doi_Tan_Suat_Be_Tong!$C:$C,AO690)-VLOOKUP(AN690,$AQ$2:$AR$7,2,FALSE)))</f>
        <v/>
      </c>
      <c r="N690" s="6" t="n"/>
      <c r="O690" s="24">
        <f>IF(ROUNDUP(W690/20,0)&gt;ROUNDUP(W689/20,0),"TN Ø25 (Lần " &amp; ROUNDUP(W690/20,0) &amp; ")","")</f>
        <v/>
      </c>
      <c r="P690" s="20">
        <f>ROUND(P689+IF(AND(E690&lt;=10,F690&lt;&gt;"ASTM A416"),L690,0),3)</f>
        <v/>
      </c>
      <c r="Q690" s="20">
        <f>ROUND(Q689+IF(AND(E690=12,F690&lt;&gt;"ASTM A416"),L690,0),3)</f>
        <v/>
      </c>
      <c r="R690" s="20">
        <f>ROUND(R689+IF(AND(E690=14,F690&lt;&gt;"ASTM A416"),L690,0),3)</f>
        <v/>
      </c>
      <c r="S690" s="20">
        <f>ROUND(S689+IF(AND(E690=16,F690&lt;&gt;"ASTM A416"),L690,0),3)</f>
        <v/>
      </c>
      <c r="T690" s="20">
        <f>ROUND(T689+IF(AND(E690=18,F690&lt;&gt;"ASTM A416"),L690,0),3)</f>
        <v/>
      </c>
      <c r="U690" s="20">
        <f>ROUND(U689+IF(AND(E690=20,F690&lt;&gt;"ASTM A416"),L690,0),3)</f>
        <v/>
      </c>
      <c r="V690" s="20">
        <f>ROUND(V689+IF(AND(E690=22,F690&lt;&gt;"ASTM A416"),L690,0),3)</f>
        <v/>
      </c>
      <c r="W690" s="20">
        <f>ROUND(W689+IF(AND(E690=25,F690&lt;&gt;"ASTM A416"),L690,0),3)</f>
        <v/>
      </c>
      <c r="X690" s="20">
        <f>ROUND(X689+IF(AND(E690=28,F690&lt;&gt;"ASTM A416"),L690,0),3)</f>
        <v/>
      </c>
      <c r="Y690" s="20">
        <f>ROUND(Y689+IF(AND(E690=32,F690&lt;&gt;"ASTM A416"),L690,0),3)</f>
        <v/>
      </c>
      <c r="Z690" s="20">
        <f>ROUND(Z689+IF(F690="ASTM A416",L690,0),3)</f>
        <v/>
      </c>
      <c r="AA690" s="11">
        <f>IF(ROUNDUP(P690/20,0)&gt;ROUNDUP(P689/20,0),"Lần " &amp; ROUNDUP(P690/20,0),"")</f>
        <v/>
      </c>
      <c r="AB690" s="11">
        <f>IF(ROUNDUP(Q690/20,0)&gt;ROUNDUP(Q689/20,0),"Lần " &amp; ROUNDUP(Q690/20,0),"")</f>
        <v/>
      </c>
      <c r="AC690" s="11">
        <f>IF(ROUNDUP(R690/20,0)&gt;ROUNDUP(R689/20,0),"Lần " &amp; ROUNDUP(R690/20,0),"")</f>
        <v/>
      </c>
      <c r="AD690" s="11">
        <f>IF(ROUNDUP(S690/20,0)&gt;ROUNDUP(S689/20,0),"Lần " &amp; ROUNDUP(S690/20,0),"")</f>
        <v/>
      </c>
      <c r="AE690" s="11">
        <f>IF(ROUNDUP(T690/20,0)&gt;ROUNDUP(T689/20,0),"Lần " &amp; ROUNDUP(T690/20,0),"")</f>
        <v/>
      </c>
      <c r="AF690" s="11">
        <f>IF(ROUNDUP(U690/20,0)&gt;ROUNDUP(U689/20,0),"Lần " &amp; ROUNDUP(U690/20,0),"")</f>
        <v/>
      </c>
      <c r="AG690" s="11">
        <f>IF(ROUNDUP(V690/20,0)&gt;ROUNDUP(V689/20,0),"Lần " &amp; ROUNDUP(V690/20,0),"")</f>
        <v/>
      </c>
      <c r="AH690" s="11">
        <f>IF(ROUNDUP(W690/20,0)&gt;ROUNDUP(W689/20,0),"Lần " &amp; ROUNDUP(W690/20,0),"")</f>
        <v/>
      </c>
      <c r="AI690" s="11">
        <f>IF(ROUNDUP(X690/20,0)&gt;ROUNDUP(X689/20,0),"Lần " &amp; ROUNDUP(X690/20,0),"")</f>
        <v/>
      </c>
      <c r="AJ690" s="11">
        <f>IF(ROUNDUP(Y690/20,0)&gt;ROUNDUP(Y689/20,0),"Lần " &amp; ROUNDUP(Y690/20,0),"")</f>
        <v/>
      </c>
      <c r="AK690" s="11">
        <f>IF(ROUNDUP(Z690/20,0)&gt;ROUNDUP(Z689/20,0),"Lần " &amp; ROUNDUP(Z690/20,0),"")</f>
        <v/>
      </c>
      <c r="AL690" s="6" t="n"/>
      <c r="AN690" t="inlineStr">
        <is>
          <t>Coc</t>
        </is>
      </c>
      <c r="AO690" t="n">
        <v>22</v>
      </c>
    </row>
    <row r="691" ht="19" customHeight="1">
      <c r="A691" s="6" t="n">
        <v>656</v>
      </c>
      <c r="B691" s="7" t="inlineStr">
        <is>
          <t>Cọc khoan nhồi C8 Trụ T2 (D1.2m, L=30.0m)</t>
        </is>
      </c>
      <c r="C691" s="7" t="inlineStr">
        <is>
          <t>Cọc trụ T2 L=30m (tr.70)</t>
        </is>
      </c>
      <c r="D691" s="18" t="inlineStr">
        <is>
          <t>P6</t>
        </is>
      </c>
      <c r="E691" s="19" t="n">
        <v>25</v>
      </c>
      <c r="F691" s="6" t="inlineStr">
        <is>
          <t>CB400-V</t>
        </is>
      </c>
      <c r="G691" s="7" t="inlineStr"/>
      <c r="H691" s="20" t="n">
        <v>9.733000000000001</v>
      </c>
      <c r="I691" s="21" t="n">
        <v>12</v>
      </c>
      <c r="J691" s="22" t="n">
        <v>3.853</v>
      </c>
      <c r="K691" s="9">
        <f>ROUND(H691*I691*J691, 2)</f>
        <v/>
      </c>
      <c r="L691" s="23">
        <f>ROUND(K691/1000, 3)</f>
        <v/>
      </c>
      <c r="M691" s="8">
        <f>IF(AO691="","",IF(INDEX(Theo_Doi_Tan_Suat_Be_Tong!$C:$C,AO691)="","",INDEX(Theo_Doi_Tan_Suat_Be_Tong!$C:$C,AO691)-VLOOKUP(AN691,$AQ$2:$AR$7,2,FALSE)))</f>
        <v/>
      </c>
      <c r="N691" s="6" t="n"/>
      <c r="O691" s="24">
        <f>IF(ROUNDUP(W691/20,0)&gt;ROUNDUP(W690/20,0),"TN Ø25 (Lần " &amp; ROUNDUP(W691/20,0) &amp; ")","")</f>
        <v/>
      </c>
      <c r="P691" s="20">
        <f>ROUND(P690+IF(AND(E691&lt;=10,F691&lt;&gt;"ASTM A416"),L691,0),3)</f>
        <v/>
      </c>
      <c r="Q691" s="20">
        <f>ROUND(Q690+IF(AND(E691=12,F691&lt;&gt;"ASTM A416"),L691,0),3)</f>
        <v/>
      </c>
      <c r="R691" s="20">
        <f>ROUND(R690+IF(AND(E691=14,F691&lt;&gt;"ASTM A416"),L691,0),3)</f>
        <v/>
      </c>
      <c r="S691" s="20">
        <f>ROUND(S690+IF(AND(E691=16,F691&lt;&gt;"ASTM A416"),L691,0),3)</f>
        <v/>
      </c>
      <c r="T691" s="20">
        <f>ROUND(T690+IF(AND(E691=18,F691&lt;&gt;"ASTM A416"),L691,0),3)</f>
        <v/>
      </c>
      <c r="U691" s="20">
        <f>ROUND(U690+IF(AND(E691=20,F691&lt;&gt;"ASTM A416"),L691,0),3)</f>
        <v/>
      </c>
      <c r="V691" s="20">
        <f>ROUND(V690+IF(AND(E691=22,F691&lt;&gt;"ASTM A416"),L691,0),3)</f>
        <v/>
      </c>
      <c r="W691" s="20">
        <f>ROUND(W690+IF(AND(E691=25,F691&lt;&gt;"ASTM A416"),L691,0),3)</f>
        <v/>
      </c>
      <c r="X691" s="20">
        <f>ROUND(X690+IF(AND(E691=28,F691&lt;&gt;"ASTM A416"),L691,0),3)</f>
        <v/>
      </c>
      <c r="Y691" s="20">
        <f>ROUND(Y690+IF(AND(E691=32,F691&lt;&gt;"ASTM A416"),L691,0),3)</f>
        <v/>
      </c>
      <c r="Z691" s="20">
        <f>ROUND(Z690+IF(F691="ASTM A416",L691,0),3)</f>
        <v/>
      </c>
      <c r="AA691" s="11">
        <f>IF(ROUNDUP(P691/20,0)&gt;ROUNDUP(P690/20,0),"Lần " &amp; ROUNDUP(P691/20,0),"")</f>
        <v/>
      </c>
      <c r="AB691" s="11">
        <f>IF(ROUNDUP(Q691/20,0)&gt;ROUNDUP(Q690/20,0),"Lần " &amp; ROUNDUP(Q691/20,0),"")</f>
        <v/>
      </c>
      <c r="AC691" s="11">
        <f>IF(ROUNDUP(R691/20,0)&gt;ROUNDUP(R690/20,0),"Lần " &amp; ROUNDUP(R691/20,0),"")</f>
        <v/>
      </c>
      <c r="AD691" s="11">
        <f>IF(ROUNDUP(S691/20,0)&gt;ROUNDUP(S690/20,0),"Lần " &amp; ROUNDUP(S691/20,0),"")</f>
        <v/>
      </c>
      <c r="AE691" s="11">
        <f>IF(ROUNDUP(T691/20,0)&gt;ROUNDUP(T690/20,0),"Lần " &amp; ROUNDUP(T691/20,0),"")</f>
        <v/>
      </c>
      <c r="AF691" s="11">
        <f>IF(ROUNDUP(U691/20,0)&gt;ROUNDUP(U690/20,0),"Lần " &amp; ROUNDUP(U691/20,0),"")</f>
        <v/>
      </c>
      <c r="AG691" s="11">
        <f>IF(ROUNDUP(V691/20,0)&gt;ROUNDUP(V690/20,0),"Lần " &amp; ROUNDUP(V691/20,0),"")</f>
        <v/>
      </c>
      <c r="AH691" s="11">
        <f>IF(ROUNDUP(W691/20,0)&gt;ROUNDUP(W690/20,0),"Lần " &amp; ROUNDUP(W691/20,0),"")</f>
        <v/>
      </c>
      <c r="AI691" s="11">
        <f>IF(ROUNDUP(X691/20,0)&gt;ROUNDUP(X690/20,0),"Lần " &amp; ROUNDUP(X691/20,0),"")</f>
        <v/>
      </c>
      <c r="AJ691" s="11">
        <f>IF(ROUNDUP(Y691/20,0)&gt;ROUNDUP(Y690/20,0),"Lần " &amp; ROUNDUP(Y691/20,0),"")</f>
        <v/>
      </c>
      <c r="AK691" s="11">
        <f>IF(ROUNDUP(Z691/20,0)&gt;ROUNDUP(Z690/20,0),"Lần " &amp; ROUNDUP(Z691/20,0),"")</f>
        <v/>
      </c>
      <c r="AL691" s="6" t="n"/>
      <c r="AN691" t="inlineStr">
        <is>
          <t>Coc</t>
        </is>
      </c>
      <c r="AO691" t="n">
        <v>22</v>
      </c>
    </row>
    <row r="692" ht="19" customHeight="1">
      <c r="A692" s="6" t="n">
        <v>657</v>
      </c>
      <c r="B692" s="7" t="inlineStr">
        <is>
          <t>Cọc khoan nhồi C8 Trụ T2 (D1.2m, L=30.0m)</t>
        </is>
      </c>
      <c r="C692" s="7" t="inlineStr">
        <is>
          <t>Cọc trụ T2 L=30m (tr.70)</t>
        </is>
      </c>
      <c r="D692" s="18" t="inlineStr">
        <is>
          <t>P7</t>
        </is>
      </c>
      <c r="E692" s="19" t="n">
        <v>25</v>
      </c>
      <c r="F692" s="6" t="inlineStr">
        <is>
          <t>CB400-V</t>
        </is>
      </c>
      <c r="G692" s="7" t="inlineStr"/>
      <c r="H692" s="20" t="n">
        <v>10.733</v>
      </c>
      <c r="I692" s="21" t="n">
        <v>12</v>
      </c>
      <c r="J692" s="22" t="n">
        <v>3.853</v>
      </c>
      <c r="K692" s="9">
        <f>ROUND(H692*I692*J692, 2)</f>
        <v/>
      </c>
      <c r="L692" s="23">
        <f>ROUND(K692/1000, 3)</f>
        <v/>
      </c>
      <c r="M692" s="8">
        <f>IF(AO692="","",IF(INDEX(Theo_Doi_Tan_Suat_Be_Tong!$C:$C,AO692)="","",INDEX(Theo_Doi_Tan_Suat_Be_Tong!$C:$C,AO692)-VLOOKUP(AN692,$AQ$2:$AR$7,2,FALSE)))</f>
        <v/>
      </c>
      <c r="N692" s="6" t="n"/>
      <c r="O692" s="24">
        <f>IF(ROUNDUP(W692/20,0)&gt;ROUNDUP(W691/20,0),"TN Ø25 (Lần " &amp; ROUNDUP(W692/20,0) &amp; ")","")</f>
        <v/>
      </c>
      <c r="P692" s="20">
        <f>ROUND(P691+IF(AND(E692&lt;=10,F692&lt;&gt;"ASTM A416"),L692,0),3)</f>
        <v/>
      </c>
      <c r="Q692" s="20">
        <f>ROUND(Q691+IF(AND(E692=12,F692&lt;&gt;"ASTM A416"),L692,0),3)</f>
        <v/>
      </c>
      <c r="R692" s="20">
        <f>ROUND(R691+IF(AND(E692=14,F692&lt;&gt;"ASTM A416"),L692,0),3)</f>
        <v/>
      </c>
      <c r="S692" s="20">
        <f>ROUND(S691+IF(AND(E692=16,F692&lt;&gt;"ASTM A416"),L692,0),3)</f>
        <v/>
      </c>
      <c r="T692" s="20">
        <f>ROUND(T691+IF(AND(E692=18,F692&lt;&gt;"ASTM A416"),L692,0),3)</f>
        <v/>
      </c>
      <c r="U692" s="20">
        <f>ROUND(U691+IF(AND(E692=20,F692&lt;&gt;"ASTM A416"),L692,0),3)</f>
        <v/>
      </c>
      <c r="V692" s="20">
        <f>ROUND(V691+IF(AND(E692=22,F692&lt;&gt;"ASTM A416"),L692,0),3)</f>
        <v/>
      </c>
      <c r="W692" s="20">
        <f>ROUND(W691+IF(AND(E692=25,F692&lt;&gt;"ASTM A416"),L692,0),3)</f>
        <v/>
      </c>
      <c r="X692" s="20">
        <f>ROUND(X691+IF(AND(E692=28,F692&lt;&gt;"ASTM A416"),L692,0),3)</f>
        <v/>
      </c>
      <c r="Y692" s="20">
        <f>ROUND(Y691+IF(AND(E692=32,F692&lt;&gt;"ASTM A416"),L692,0),3)</f>
        <v/>
      </c>
      <c r="Z692" s="20">
        <f>ROUND(Z691+IF(F692="ASTM A416",L692,0),3)</f>
        <v/>
      </c>
      <c r="AA692" s="11">
        <f>IF(ROUNDUP(P692/20,0)&gt;ROUNDUP(P691/20,0),"Lần " &amp; ROUNDUP(P692/20,0),"")</f>
        <v/>
      </c>
      <c r="AB692" s="11">
        <f>IF(ROUNDUP(Q692/20,0)&gt;ROUNDUP(Q691/20,0),"Lần " &amp; ROUNDUP(Q692/20,0),"")</f>
        <v/>
      </c>
      <c r="AC692" s="11">
        <f>IF(ROUNDUP(R692/20,0)&gt;ROUNDUP(R691/20,0),"Lần " &amp; ROUNDUP(R692/20,0),"")</f>
        <v/>
      </c>
      <c r="AD692" s="11">
        <f>IF(ROUNDUP(S692/20,0)&gt;ROUNDUP(S691/20,0),"Lần " &amp; ROUNDUP(S692/20,0),"")</f>
        <v/>
      </c>
      <c r="AE692" s="11">
        <f>IF(ROUNDUP(T692/20,0)&gt;ROUNDUP(T691/20,0),"Lần " &amp; ROUNDUP(T692/20,0),"")</f>
        <v/>
      </c>
      <c r="AF692" s="11">
        <f>IF(ROUNDUP(U692/20,0)&gt;ROUNDUP(U691/20,0),"Lần " &amp; ROUNDUP(U692/20,0),"")</f>
        <v/>
      </c>
      <c r="AG692" s="11">
        <f>IF(ROUNDUP(V692/20,0)&gt;ROUNDUP(V691/20,0),"Lần " &amp; ROUNDUP(V692/20,0),"")</f>
        <v/>
      </c>
      <c r="AH692" s="11">
        <f>IF(ROUNDUP(W692/20,0)&gt;ROUNDUP(W691/20,0),"Lần " &amp; ROUNDUP(W692/20,0),"")</f>
        <v/>
      </c>
      <c r="AI692" s="11">
        <f>IF(ROUNDUP(X692/20,0)&gt;ROUNDUP(X691/20,0),"Lần " &amp; ROUNDUP(X692/20,0),"")</f>
        <v/>
      </c>
      <c r="AJ692" s="11">
        <f>IF(ROUNDUP(Y692/20,0)&gt;ROUNDUP(Y691/20,0),"Lần " &amp; ROUNDUP(Y692/20,0),"")</f>
        <v/>
      </c>
      <c r="AK692" s="11">
        <f>IF(ROUNDUP(Z692/20,0)&gt;ROUNDUP(Z691/20,0),"Lần " &amp; ROUNDUP(Z692/20,0),"")</f>
        <v/>
      </c>
      <c r="AL692" s="6" t="n"/>
      <c r="AN692" t="inlineStr">
        <is>
          <t>Coc</t>
        </is>
      </c>
      <c r="AO692" t="n">
        <v>22</v>
      </c>
    </row>
    <row r="693" ht="19" customHeight="1">
      <c r="A693" s="6" t="n">
        <v>658</v>
      </c>
      <c r="B693" s="7" t="inlineStr">
        <is>
          <t>Cọc khoan nhồi C8 Trụ T2 (D1.2m, L=30.0m)</t>
        </is>
      </c>
      <c r="C693" s="7" t="inlineStr">
        <is>
          <t>Cọc trụ T2 L=30m (tr.70)</t>
        </is>
      </c>
      <c r="D693" s="18" t="inlineStr">
        <is>
          <t>P8</t>
        </is>
      </c>
      <c r="E693" s="19" t="n">
        <v>12</v>
      </c>
      <c r="F693" s="6" t="inlineStr">
        <is>
          <t>CB400-V</t>
        </is>
      </c>
      <c r="G693" s="7" t="inlineStr"/>
      <c r="H693" s="20" t="n">
        <v>0.647</v>
      </c>
      <c r="I693" s="21" t="n">
        <v>12</v>
      </c>
      <c r="J693" s="22" t="n">
        <v>0.888</v>
      </c>
      <c r="K693" s="9">
        <f>ROUND(H693*I693*J693, 2)</f>
        <v/>
      </c>
      <c r="L693" s="23">
        <f>ROUND(K693/1000, 3)</f>
        <v/>
      </c>
      <c r="M693" s="8">
        <f>IF(AO693="","",IF(INDEX(Theo_Doi_Tan_Suat_Be_Tong!$C:$C,AO693)="","",INDEX(Theo_Doi_Tan_Suat_Be_Tong!$C:$C,AO693)-VLOOKUP(AN693,$AQ$2:$AR$7,2,FALSE)))</f>
        <v/>
      </c>
      <c r="N693" s="6" t="n"/>
      <c r="O693" s="24">
        <f>IF(ROUNDUP(Q693/20,0)&gt;ROUNDUP(Q692/20,0),"TN Ø12 (Lần " &amp; ROUNDUP(Q693/20,0) &amp; ")","")</f>
        <v/>
      </c>
      <c r="P693" s="20">
        <f>ROUND(P692+IF(AND(E693&lt;=10,F693&lt;&gt;"ASTM A416"),L693,0),3)</f>
        <v/>
      </c>
      <c r="Q693" s="20">
        <f>ROUND(Q692+IF(AND(E693=12,F693&lt;&gt;"ASTM A416"),L693,0),3)</f>
        <v/>
      </c>
      <c r="R693" s="20">
        <f>ROUND(R692+IF(AND(E693=14,F693&lt;&gt;"ASTM A416"),L693,0),3)</f>
        <v/>
      </c>
      <c r="S693" s="20">
        <f>ROUND(S692+IF(AND(E693=16,F693&lt;&gt;"ASTM A416"),L693,0),3)</f>
        <v/>
      </c>
      <c r="T693" s="20">
        <f>ROUND(T692+IF(AND(E693=18,F693&lt;&gt;"ASTM A416"),L693,0),3)</f>
        <v/>
      </c>
      <c r="U693" s="20">
        <f>ROUND(U692+IF(AND(E693=20,F693&lt;&gt;"ASTM A416"),L693,0),3)</f>
        <v/>
      </c>
      <c r="V693" s="20">
        <f>ROUND(V692+IF(AND(E693=22,F693&lt;&gt;"ASTM A416"),L693,0),3)</f>
        <v/>
      </c>
      <c r="W693" s="20">
        <f>ROUND(W692+IF(AND(E693=25,F693&lt;&gt;"ASTM A416"),L693,0),3)</f>
        <v/>
      </c>
      <c r="X693" s="20">
        <f>ROUND(X692+IF(AND(E693=28,F693&lt;&gt;"ASTM A416"),L693,0),3)</f>
        <v/>
      </c>
      <c r="Y693" s="20">
        <f>ROUND(Y692+IF(AND(E693=32,F693&lt;&gt;"ASTM A416"),L693,0),3)</f>
        <v/>
      </c>
      <c r="Z693" s="20">
        <f>ROUND(Z692+IF(F693="ASTM A416",L693,0),3)</f>
        <v/>
      </c>
      <c r="AA693" s="11">
        <f>IF(ROUNDUP(P693/20,0)&gt;ROUNDUP(P692/20,0),"Lần " &amp; ROUNDUP(P693/20,0),"")</f>
        <v/>
      </c>
      <c r="AB693" s="11">
        <f>IF(ROUNDUP(Q693/20,0)&gt;ROUNDUP(Q692/20,0),"Lần " &amp; ROUNDUP(Q693/20,0),"")</f>
        <v/>
      </c>
      <c r="AC693" s="11">
        <f>IF(ROUNDUP(R693/20,0)&gt;ROUNDUP(R692/20,0),"Lần " &amp; ROUNDUP(R693/20,0),"")</f>
        <v/>
      </c>
      <c r="AD693" s="11">
        <f>IF(ROUNDUP(S693/20,0)&gt;ROUNDUP(S692/20,0),"Lần " &amp; ROUNDUP(S693/20,0),"")</f>
        <v/>
      </c>
      <c r="AE693" s="11">
        <f>IF(ROUNDUP(T693/20,0)&gt;ROUNDUP(T692/20,0),"Lần " &amp; ROUNDUP(T693/20,0),"")</f>
        <v/>
      </c>
      <c r="AF693" s="11">
        <f>IF(ROUNDUP(U693/20,0)&gt;ROUNDUP(U692/20,0),"Lần " &amp; ROUNDUP(U693/20,0),"")</f>
        <v/>
      </c>
      <c r="AG693" s="11">
        <f>IF(ROUNDUP(V693/20,0)&gt;ROUNDUP(V692/20,0),"Lần " &amp; ROUNDUP(V693/20,0),"")</f>
        <v/>
      </c>
      <c r="AH693" s="11">
        <f>IF(ROUNDUP(W693/20,0)&gt;ROUNDUP(W692/20,0),"Lần " &amp; ROUNDUP(W693/20,0),"")</f>
        <v/>
      </c>
      <c r="AI693" s="11">
        <f>IF(ROUNDUP(X693/20,0)&gt;ROUNDUP(X692/20,0),"Lần " &amp; ROUNDUP(X693/20,0),"")</f>
        <v/>
      </c>
      <c r="AJ693" s="11">
        <f>IF(ROUNDUP(Y693/20,0)&gt;ROUNDUP(Y692/20,0),"Lần " &amp; ROUNDUP(Y693/20,0),"")</f>
        <v/>
      </c>
      <c r="AK693" s="11">
        <f>IF(ROUNDUP(Z693/20,0)&gt;ROUNDUP(Z692/20,0),"Lần " &amp; ROUNDUP(Z693/20,0),"")</f>
        <v/>
      </c>
      <c r="AL693" s="6" t="n"/>
      <c r="AN693" t="inlineStr">
        <is>
          <t>Coc</t>
        </is>
      </c>
      <c r="AO693" t="n">
        <v>22</v>
      </c>
    </row>
    <row r="694" ht="19" customHeight="1">
      <c r="A694" s="6" t="n">
        <v>659</v>
      </c>
      <c r="B694" s="7" t="inlineStr">
        <is>
          <t>Cọc khoan nhồi C8 Trụ T2 (D1.2m, L=30.0m)</t>
        </is>
      </c>
      <c r="C694" s="7" t="inlineStr">
        <is>
          <t>Cọc trụ T2 L=30m (tr.70)</t>
        </is>
      </c>
      <c r="D694" s="18" t="inlineStr">
        <is>
          <t>P9</t>
        </is>
      </c>
      <c r="E694" s="19" t="n">
        <v>12</v>
      </c>
      <c r="F694" s="6" t="inlineStr">
        <is>
          <t>CB400-V</t>
        </is>
      </c>
      <c r="G694" s="7" t="inlineStr"/>
      <c r="H694" s="20" t="n">
        <v>0.379</v>
      </c>
      <c r="I694" s="21" t="n">
        <v>36</v>
      </c>
      <c r="J694" s="22" t="n">
        <v>0.888</v>
      </c>
      <c r="K694" s="9">
        <f>ROUND(H694*I694*J694, 2)</f>
        <v/>
      </c>
      <c r="L694" s="23">
        <f>ROUND(K694/1000, 3)</f>
        <v/>
      </c>
      <c r="M694" s="8">
        <f>IF(AO694="","",IF(INDEX(Theo_Doi_Tan_Suat_Be_Tong!$C:$C,AO694)="","",INDEX(Theo_Doi_Tan_Suat_Be_Tong!$C:$C,AO694)-VLOOKUP(AN694,$AQ$2:$AR$7,2,FALSE)))</f>
        <v/>
      </c>
      <c r="N694" s="6" t="n"/>
      <c r="O694" s="24">
        <f>IF(ROUNDUP(Q694/20,0)&gt;ROUNDUP(Q693/20,0),"TN Ø12 (Lần " &amp; ROUNDUP(Q694/20,0) &amp; ")","")</f>
        <v/>
      </c>
      <c r="P694" s="20">
        <f>ROUND(P693+IF(AND(E694&lt;=10,F694&lt;&gt;"ASTM A416"),L694,0),3)</f>
        <v/>
      </c>
      <c r="Q694" s="20">
        <f>ROUND(Q693+IF(AND(E694=12,F694&lt;&gt;"ASTM A416"),L694,0),3)</f>
        <v/>
      </c>
      <c r="R694" s="20">
        <f>ROUND(R693+IF(AND(E694=14,F694&lt;&gt;"ASTM A416"),L694,0),3)</f>
        <v/>
      </c>
      <c r="S694" s="20">
        <f>ROUND(S693+IF(AND(E694=16,F694&lt;&gt;"ASTM A416"),L694,0),3)</f>
        <v/>
      </c>
      <c r="T694" s="20">
        <f>ROUND(T693+IF(AND(E694=18,F694&lt;&gt;"ASTM A416"),L694,0),3)</f>
        <v/>
      </c>
      <c r="U694" s="20">
        <f>ROUND(U693+IF(AND(E694=20,F694&lt;&gt;"ASTM A416"),L694,0),3)</f>
        <v/>
      </c>
      <c r="V694" s="20">
        <f>ROUND(V693+IF(AND(E694=22,F694&lt;&gt;"ASTM A416"),L694,0),3)</f>
        <v/>
      </c>
      <c r="W694" s="20">
        <f>ROUND(W693+IF(AND(E694=25,F694&lt;&gt;"ASTM A416"),L694,0),3)</f>
        <v/>
      </c>
      <c r="X694" s="20">
        <f>ROUND(X693+IF(AND(E694=28,F694&lt;&gt;"ASTM A416"),L694,0),3)</f>
        <v/>
      </c>
      <c r="Y694" s="20">
        <f>ROUND(Y693+IF(AND(E694=32,F694&lt;&gt;"ASTM A416"),L694,0),3)</f>
        <v/>
      </c>
      <c r="Z694" s="20">
        <f>ROUND(Z693+IF(F694="ASTM A416",L694,0),3)</f>
        <v/>
      </c>
      <c r="AA694" s="11">
        <f>IF(ROUNDUP(P694/20,0)&gt;ROUNDUP(P693/20,0),"Lần " &amp; ROUNDUP(P694/20,0),"")</f>
        <v/>
      </c>
      <c r="AB694" s="11">
        <f>IF(ROUNDUP(Q694/20,0)&gt;ROUNDUP(Q693/20,0),"Lần " &amp; ROUNDUP(Q694/20,0),"")</f>
        <v/>
      </c>
      <c r="AC694" s="11">
        <f>IF(ROUNDUP(R694/20,0)&gt;ROUNDUP(R693/20,0),"Lần " &amp; ROUNDUP(R694/20,0),"")</f>
        <v/>
      </c>
      <c r="AD694" s="11">
        <f>IF(ROUNDUP(S694/20,0)&gt;ROUNDUP(S693/20,0),"Lần " &amp; ROUNDUP(S694/20,0),"")</f>
        <v/>
      </c>
      <c r="AE694" s="11">
        <f>IF(ROUNDUP(T694/20,0)&gt;ROUNDUP(T693/20,0),"Lần " &amp; ROUNDUP(T694/20,0),"")</f>
        <v/>
      </c>
      <c r="AF694" s="11">
        <f>IF(ROUNDUP(U694/20,0)&gt;ROUNDUP(U693/20,0),"Lần " &amp; ROUNDUP(U694/20,0),"")</f>
        <v/>
      </c>
      <c r="AG694" s="11">
        <f>IF(ROUNDUP(V694/20,0)&gt;ROUNDUP(V693/20,0),"Lần " &amp; ROUNDUP(V694/20,0),"")</f>
        <v/>
      </c>
      <c r="AH694" s="11">
        <f>IF(ROUNDUP(W694/20,0)&gt;ROUNDUP(W693/20,0),"Lần " &amp; ROUNDUP(W694/20,0),"")</f>
        <v/>
      </c>
      <c r="AI694" s="11">
        <f>IF(ROUNDUP(X694/20,0)&gt;ROUNDUP(X693/20,0),"Lần " &amp; ROUNDUP(X694/20,0),"")</f>
        <v/>
      </c>
      <c r="AJ694" s="11">
        <f>IF(ROUNDUP(Y694/20,0)&gt;ROUNDUP(Y693/20,0),"Lần " &amp; ROUNDUP(Y694/20,0),"")</f>
        <v/>
      </c>
      <c r="AK694" s="11">
        <f>IF(ROUNDUP(Z694/20,0)&gt;ROUNDUP(Z693/20,0),"Lần " &amp; ROUNDUP(Z694/20,0),"")</f>
        <v/>
      </c>
      <c r="AL694" s="6" t="n"/>
      <c r="AN694" t="inlineStr">
        <is>
          <t>Coc</t>
        </is>
      </c>
      <c r="AO694" t="n">
        <v>22</v>
      </c>
    </row>
    <row r="695" ht="19" customHeight="1">
      <c r="A695" s="6" t="n">
        <v>660</v>
      </c>
      <c r="B695" s="7" t="inlineStr">
        <is>
          <t>Cọc khoan nhồi C8 Trụ T2 (D1.2m, L=30.0m)</t>
        </is>
      </c>
      <c r="C695" s="7" t="inlineStr">
        <is>
          <t>Cọc trụ T2 L=30m (tr.70)</t>
        </is>
      </c>
      <c r="D695" s="18" t="inlineStr">
        <is>
          <t>P10</t>
        </is>
      </c>
      <c r="E695" s="19" t="n">
        <v>20</v>
      </c>
      <c r="F695" s="6" t="inlineStr">
        <is>
          <t>CB400-V</t>
        </is>
      </c>
      <c r="G695" s="7" t="inlineStr"/>
      <c r="H695" s="20" t="n">
        <v>2.057</v>
      </c>
      <c r="I695" s="21" t="n">
        <v>1</v>
      </c>
      <c r="J695" s="22" t="n">
        <v>2.466</v>
      </c>
      <c r="K695" s="9">
        <f>ROUND(H695*I695*J695, 2)</f>
        <v/>
      </c>
      <c r="L695" s="23">
        <f>ROUND(K695/1000, 3)</f>
        <v/>
      </c>
      <c r="M695" s="8">
        <f>IF(AO695="","",IF(INDEX(Theo_Doi_Tan_Suat_Be_Tong!$C:$C,AO695)="","",INDEX(Theo_Doi_Tan_Suat_Be_Tong!$C:$C,AO695)-VLOOKUP(AN695,$AQ$2:$AR$7,2,FALSE)))</f>
        <v/>
      </c>
      <c r="N695" s="6" t="n"/>
      <c r="O695" s="24">
        <f>IF(ROUNDUP(U695/20,0)&gt;ROUNDUP(U694/20,0),"TN Ø20 (Lần " &amp; ROUNDUP(U695/20,0) &amp; ")","")</f>
        <v/>
      </c>
      <c r="P695" s="20">
        <f>ROUND(P694+IF(AND(E695&lt;=10,F695&lt;&gt;"ASTM A416"),L695,0),3)</f>
        <v/>
      </c>
      <c r="Q695" s="20">
        <f>ROUND(Q694+IF(AND(E695=12,F695&lt;&gt;"ASTM A416"),L695,0),3)</f>
        <v/>
      </c>
      <c r="R695" s="20">
        <f>ROUND(R694+IF(AND(E695=14,F695&lt;&gt;"ASTM A416"),L695,0),3)</f>
        <v/>
      </c>
      <c r="S695" s="20">
        <f>ROUND(S694+IF(AND(E695=16,F695&lt;&gt;"ASTM A416"),L695,0),3)</f>
        <v/>
      </c>
      <c r="T695" s="20">
        <f>ROUND(T694+IF(AND(E695=18,F695&lt;&gt;"ASTM A416"),L695,0),3)</f>
        <v/>
      </c>
      <c r="U695" s="20">
        <f>ROUND(U694+IF(AND(E695=20,F695&lt;&gt;"ASTM A416"),L695,0),3)</f>
        <v/>
      </c>
      <c r="V695" s="20">
        <f>ROUND(V694+IF(AND(E695=22,F695&lt;&gt;"ASTM A416"),L695,0),3)</f>
        <v/>
      </c>
      <c r="W695" s="20">
        <f>ROUND(W694+IF(AND(E695=25,F695&lt;&gt;"ASTM A416"),L695,0),3)</f>
        <v/>
      </c>
      <c r="X695" s="20">
        <f>ROUND(X694+IF(AND(E695=28,F695&lt;&gt;"ASTM A416"),L695,0),3)</f>
        <v/>
      </c>
      <c r="Y695" s="20">
        <f>ROUND(Y694+IF(AND(E695=32,F695&lt;&gt;"ASTM A416"),L695,0),3)</f>
        <v/>
      </c>
      <c r="Z695" s="20">
        <f>ROUND(Z694+IF(F695="ASTM A416",L695,0),3)</f>
        <v/>
      </c>
      <c r="AA695" s="11">
        <f>IF(ROUNDUP(P695/20,0)&gt;ROUNDUP(P694/20,0),"Lần " &amp; ROUNDUP(P695/20,0),"")</f>
        <v/>
      </c>
      <c r="AB695" s="11">
        <f>IF(ROUNDUP(Q695/20,0)&gt;ROUNDUP(Q694/20,0),"Lần " &amp; ROUNDUP(Q695/20,0),"")</f>
        <v/>
      </c>
      <c r="AC695" s="11">
        <f>IF(ROUNDUP(R695/20,0)&gt;ROUNDUP(R694/20,0),"Lần " &amp; ROUNDUP(R695/20,0),"")</f>
        <v/>
      </c>
      <c r="AD695" s="11">
        <f>IF(ROUNDUP(S695/20,0)&gt;ROUNDUP(S694/20,0),"Lần " &amp; ROUNDUP(S695/20,0),"")</f>
        <v/>
      </c>
      <c r="AE695" s="11">
        <f>IF(ROUNDUP(T695/20,0)&gt;ROUNDUP(T694/20,0),"Lần " &amp; ROUNDUP(T695/20,0),"")</f>
        <v/>
      </c>
      <c r="AF695" s="11">
        <f>IF(ROUNDUP(U695/20,0)&gt;ROUNDUP(U694/20,0),"Lần " &amp; ROUNDUP(U695/20,0),"")</f>
        <v/>
      </c>
      <c r="AG695" s="11">
        <f>IF(ROUNDUP(V695/20,0)&gt;ROUNDUP(V694/20,0),"Lần " &amp; ROUNDUP(V695/20,0),"")</f>
        <v/>
      </c>
      <c r="AH695" s="11">
        <f>IF(ROUNDUP(W695/20,0)&gt;ROUNDUP(W694/20,0),"Lần " &amp; ROUNDUP(W695/20,0),"")</f>
        <v/>
      </c>
      <c r="AI695" s="11">
        <f>IF(ROUNDUP(X695/20,0)&gt;ROUNDUP(X694/20,0),"Lần " &amp; ROUNDUP(X695/20,0),"")</f>
        <v/>
      </c>
      <c r="AJ695" s="11">
        <f>IF(ROUNDUP(Y695/20,0)&gt;ROUNDUP(Y694/20,0),"Lần " &amp; ROUNDUP(Y695/20,0),"")</f>
        <v/>
      </c>
      <c r="AK695" s="11">
        <f>IF(ROUNDUP(Z695/20,0)&gt;ROUNDUP(Z694/20,0),"Lần " &amp; ROUNDUP(Z695/20,0),"")</f>
        <v/>
      </c>
      <c r="AL695" s="6" t="n"/>
      <c r="AN695" t="inlineStr">
        <is>
          <t>Coc</t>
        </is>
      </c>
      <c r="AO695" t="n">
        <v>22</v>
      </c>
    </row>
    <row r="696" ht="19" customHeight="1">
      <c r="A696" s="6" t="n">
        <v>661</v>
      </c>
      <c r="B696" s="7" t="inlineStr">
        <is>
          <t>Cọc khoan nhồi C8 Trụ T2 (D1.2m, L=30.0m)</t>
        </is>
      </c>
      <c r="C696" s="7" t="inlineStr">
        <is>
          <t>Cọc trụ T2 L=30m (tr.70)</t>
        </is>
      </c>
      <c r="D696" s="18" t="inlineStr">
        <is>
          <t>P12</t>
        </is>
      </c>
      <c r="E696" s="19" t="n">
        <v>20</v>
      </c>
      <c r="F696" s="6" t="inlineStr">
        <is>
          <t>CB400-V</t>
        </is>
      </c>
      <c r="G696" s="7" t="inlineStr"/>
      <c r="H696" s="20" t="n">
        <v>0.583</v>
      </c>
      <c r="I696" s="21" t="n">
        <v>48</v>
      </c>
      <c r="J696" s="22" t="n">
        <v>2.466</v>
      </c>
      <c r="K696" s="9">
        <f>ROUND(H696*I696*J696, 2)</f>
        <v/>
      </c>
      <c r="L696" s="23">
        <f>ROUND(K696/1000, 3)</f>
        <v/>
      </c>
      <c r="M696" s="8">
        <f>IF(AO696="","",IF(INDEX(Theo_Doi_Tan_Suat_Be_Tong!$C:$C,AO696)="","",INDEX(Theo_Doi_Tan_Suat_Be_Tong!$C:$C,AO696)-VLOOKUP(AN696,$AQ$2:$AR$7,2,FALSE)))</f>
        <v/>
      </c>
      <c r="N696" s="6" t="n"/>
      <c r="O696" s="24">
        <f>IF(ROUNDUP(U696/20,0)&gt;ROUNDUP(U695/20,0),"TN Ø20 (Lần " &amp; ROUNDUP(U696/20,0) &amp; ")","")</f>
        <v/>
      </c>
      <c r="P696" s="20">
        <f>ROUND(P695+IF(AND(E696&lt;=10,F696&lt;&gt;"ASTM A416"),L696,0),3)</f>
        <v/>
      </c>
      <c r="Q696" s="20">
        <f>ROUND(Q695+IF(AND(E696=12,F696&lt;&gt;"ASTM A416"),L696,0),3)</f>
        <v/>
      </c>
      <c r="R696" s="20">
        <f>ROUND(R695+IF(AND(E696=14,F696&lt;&gt;"ASTM A416"),L696,0),3)</f>
        <v/>
      </c>
      <c r="S696" s="20">
        <f>ROUND(S695+IF(AND(E696=16,F696&lt;&gt;"ASTM A416"),L696,0),3)</f>
        <v/>
      </c>
      <c r="T696" s="20">
        <f>ROUND(T695+IF(AND(E696=18,F696&lt;&gt;"ASTM A416"),L696,0),3)</f>
        <v/>
      </c>
      <c r="U696" s="20">
        <f>ROUND(U695+IF(AND(E696=20,F696&lt;&gt;"ASTM A416"),L696,0),3)</f>
        <v/>
      </c>
      <c r="V696" s="20">
        <f>ROUND(V695+IF(AND(E696=22,F696&lt;&gt;"ASTM A416"),L696,0),3)</f>
        <v/>
      </c>
      <c r="W696" s="20">
        <f>ROUND(W695+IF(AND(E696=25,F696&lt;&gt;"ASTM A416"),L696,0),3)</f>
        <v/>
      </c>
      <c r="X696" s="20">
        <f>ROUND(X695+IF(AND(E696=28,F696&lt;&gt;"ASTM A416"),L696,0),3)</f>
        <v/>
      </c>
      <c r="Y696" s="20">
        <f>ROUND(Y695+IF(AND(E696=32,F696&lt;&gt;"ASTM A416"),L696,0),3)</f>
        <v/>
      </c>
      <c r="Z696" s="20">
        <f>ROUND(Z695+IF(F696="ASTM A416",L696,0),3)</f>
        <v/>
      </c>
      <c r="AA696" s="11">
        <f>IF(ROUNDUP(P696/20,0)&gt;ROUNDUP(P695/20,0),"Lần " &amp; ROUNDUP(P696/20,0),"")</f>
        <v/>
      </c>
      <c r="AB696" s="11">
        <f>IF(ROUNDUP(Q696/20,0)&gt;ROUNDUP(Q695/20,0),"Lần " &amp; ROUNDUP(Q696/20,0),"")</f>
        <v/>
      </c>
      <c r="AC696" s="11">
        <f>IF(ROUNDUP(R696/20,0)&gt;ROUNDUP(R695/20,0),"Lần " &amp; ROUNDUP(R696/20,0),"")</f>
        <v/>
      </c>
      <c r="AD696" s="11">
        <f>IF(ROUNDUP(S696/20,0)&gt;ROUNDUP(S695/20,0),"Lần " &amp; ROUNDUP(S696/20,0),"")</f>
        <v/>
      </c>
      <c r="AE696" s="11">
        <f>IF(ROUNDUP(T696/20,0)&gt;ROUNDUP(T695/20,0),"Lần " &amp; ROUNDUP(T696/20,0),"")</f>
        <v/>
      </c>
      <c r="AF696" s="11">
        <f>IF(ROUNDUP(U696/20,0)&gt;ROUNDUP(U695/20,0),"Lần " &amp; ROUNDUP(U696/20,0),"")</f>
        <v/>
      </c>
      <c r="AG696" s="11">
        <f>IF(ROUNDUP(V696/20,0)&gt;ROUNDUP(V695/20,0),"Lần " &amp; ROUNDUP(V696/20,0),"")</f>
        <v/>
      </c>
      <c r="AH696" s="11">
        <f>IF(ROUNDUP(W696/20,0)&gt;ROUNDUP(W695/20,0),"Lần " &amp; ROUNDUP(W696/20,0),"")</f>
        <v/>
      </c>
      <c r="AI696" s="11">
        <f>IF(ROUNDUP(X696/20,0)&gt;ROUNDUP(X695/20,0),"Lần " &amp; ROUNDUP(X696/20,0),"")</f>
        <v/>
      </c>
      <c r="AJ696" s="11">
        <f>IF(ROUNDUP(Y696/20,0)&gt;ROUNDUP(Y695/20,0),"Lần " &amp; ROUNDUP(Y696/20,0),"")</f>
        <v/>
      </c>
      <c r="AK696" s="11">
        <f>IF(ROUNDUP(Z696/20,0)&gt;ROUNDUP(Z695/20,0),"Lần " &amp; ROUNDUP(Z696/20,0),"")</f>
        <v/>
      </c>
      <c r="AL696" s="6" t="n"/>
      <c r="AN696" t="inlineStr">
        <is>
          <t>Coc</t>
        </is>
      </c>
      <c r="AO696" t="n">
        <v>22</v>
      </c>
    </row>
    <row r="697" ht="19" customHeight="1">
      <c r="A697" s="6" t="n">
        <v>662</v>
      </c>
      <c r="B697" s="7" t="inlineStr">
        <is>
          <t>Cọc khoan nhồi C8 Trụ T2 (D1.2m, L=30.0m)</t>
        </is>
      </c>
      <c r="C697" s="7" t="inlineStr">
        <is>
          <t>Cọc trụ T2 L=30m (tr.70)</t>
        </is>
      </c>
      <c r="D697" s="18" t="inlineStr">
        <is>
          <t>P11</t>
        </is>
      </c>
      <c r="E697" s="19" t="n">
        <v>16</v>
      </c>
      <c r="F697" s="6" t="inlineStr">
        <is>
          <t>CB400-V</t>
        </is>
      </c>
      <c r="G697" s="7" t="inlineStr"/>
      <c r="H697" s="20" t="n">
        <v>2.604</v>
      </c>
      <c r="I697" s="21" t="n">
        <v>4</v>
      </c>
      <c r="J697" s="22" t="n">
        <v>1.578</v>
      </c>
      <c r="K697" s="9">
        <f>ROUND(H697*I697*J697, 2)</f>
        <v/>
      </c>
      <c r="L697" s="23">
        <f>ROUND(K697/1000, 3)</f>
        <v/>
      </c>
      <c r="M697" s="8">
        <f>IF(AO697="","",IF(INDEX(Theo_Doi_Tan_Suat_Be_Tong!$C:$C,AO697)="","",INDEX(Theo_Doi_Tan_Suat_Be_Tong!$C:$C,AO697)-VLOOKUP(AN697,$AQ$2:$AR$7,2,FALSE)))</f>
        <v/>
      </c>
      <c r="N697" s="6" t="n"/>
      <c r="O697" s="24">
        <f>IF(ROUNDUP(S697/20,0)&gt;ROUNDUP(S696/20,0),"TN Ø16 (Lần " &amp; ROUNDUP(S697/20,0) &amp; ")","")</f>
        <v/>
      </c>
      <c r="P697" s="20">
        <f>ROUND(P696+IF(AND(E697&lt;=10,F697&lt;&gt;"ASTM A416"),L697,0),3)</f>
        <v/>
      </c>
      <c r="Q697" s="20">
        <f>ROUND(Q696+IF(AND(E697=12,F697&lt;&gt;"ASTM A416"),L697,0),3)</f>
        <v/>
      </c>
      <c r="R697" s="20">
        <f>ROUND(R696+IF(AND(E697=14,F697&lt;&gt;"ASTM A416"),L697,0),3)</f>
        <v/>
      </c>
      <c r="S697" s="20">
        <f>ROUND(S696+IF(AND(E697=16,F697&lt;&gt;"ASTM A416"),L697,0),3)</f>
        <v/>
      </c>
      <c r="T697" s="20">
        <f>ROUND(T696+IF(AND(E697=18,F697&lt;&gt;"ASTM A416"),L697,0),3)</f>
        <v/>
      </c>
      <c r="U697" s="20">
        <f>ROUND(U696+IF(AND(E697=20,F697&lt;&gt;"ASTM A416"),L697,0),3)</f>
        <v/>
      </c>
      <c r="V697" s="20">
        <f>ROUND(V696+IF(AND(E697=22,F697&lt;&gt;"ASTM A416"),L697,0),3)</f>
        <v/>
      </c>
      <c r="W697" s="20">
        <f>ROUND(W696+IF(AND(E697=25,F697&lt;&gt;"ASTM A416"),L697,0),3)</f>
        <v/>
      </c>
      <c r="X697" s="20">
        <f>ROUND(X696+IF(AND(E697=28,F697&lt;&gt;"ASTM A416"),L697,0),3)</f>
        <v/>
      </c>
      <c r="Y697" s="20">
        <f>ROUND(Y696+IF(AND(E697=32,F697&lt;&gt;"ASTM A416"),L697,0),3)</f>
        <v/>
      </c>
      <c r="Z697" s="20">
        <f>ROUND(Z696+IF(F697="ASTM A416",L697,0),3)</f>
        <v/>
      </c>
      <c r="AA697" s="11">
        <f>IF(ROUNDUP(P697/20,0)&gt;ROUNDUP(P696/20,0),"Lần " &amp; ROUNDUP(P697/20,0),"")</f>
        <v/>
      </c>
      <c r="AB697" s="11">
        <f>IF(ROUNDUP(Q697/20,0)&gt;ROUNDUP(Q696/20,0),"Lần " &amp; ROUNDUP(Q697/20,0),"")</f>
        <v/>
      </c>
      <c r="AC697" s="11">
        <f>IF(ROUNDUP(R697/20,0)&gt;ROUNDUP(R696/20,0),"Lần " &amp; ROUNDUP(R697/20,0),"")</f>
        <v/>
      </c>
      <c r="AD697" s="11">
        <f>IF(ROUNDUP(S697/20,0)&gt;ROUNDUP(S696/20,0),"Lần " &amp; ROUNDUP(S697/20,0),"")</f>
        <v/>
      </c>
      <c r="AE697" s="11">
        <f>IF(ROUNDUP(T697/20,0)&gt;ROUNDUP(T696/20,0),"Lần " &amp; ROUNDUP(T697/20,0),"")</f>
        <v/>
      </c>
      <c r="AF697" s="11">
        <f>IF(ROUNDUP(U697/20,0)&gt;ROUNDUP(U696/20,0),"Lần " &amp; ROUNDUP(U697/20,0),"")</f>
        <v/>
      </c>
      <c r="AG697" s="11">
        <f>IF(ROUNDUP(V697/20,0)&gt;ROUNDUP(V696/20,0),"Lần " &amp; ROUNDUP(V697/20,0),"")</f>
        <v/>
      </c>
      <c r="AH697" s="11">
        <f>IF(ROUNDUP(W697/20,0)&gt;ROUNDUP(W696/20,0),"Lần " &amp; ROUNDUP(W697/20,0),"")</f>
        <v/>
      </c>
      <c r="AI697" s="11">
        <f>IF(ROUNDUP(X697/20,0)&gt;ROUNDUP(X696/20,0),"Lần " &amp; ROUNDUP(X697/20,0),"")</f>
        <v/>
      </c>
      <c r="AJ697" s="11">
        <f>IF(ROUNDUP(Y697/20,0)&gt;ROUNDUP(Y696/20,0),"Lần " &amp; ROUNDUP(Y697/20,0),"")</f>
        <v/>
      </c>
      <c r="AK697" s="11">
        <f>IF(ROUNDUP(Z697/20,0)&gt;ROUNDUP(Z696/20,0),"Lần " &amp; ROUNDUP(Z697/20,0),"")</f>
        <v/>
      </c>
      <c r="AL697" s="6" t="n"/>
      <c r="AN697" t="inlineStr">
        <is>
          <t>Coc</t>
        </is>
      </c>
      <c r="AO697" t="n">
        <v>22</v>
      </c>
    </row>
    <row r="698" ht="19" customHeight="1">
      <c r="A698" s="17" t="inlineStr">
        <is>
          <t>--- CỌC KHOAN NHỒI C1 MỐ M2 (D1.2M, L=36.0M) ---</t>
        </is>
      </c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  <c r="AG698" s="35" t="n"/>
      <c r="AH698" s="35" t="n"/>
      <c r="AI698" s="35" t="n"/>
      <c r="AJ698" s="35" t="n"/>
      <c r="AK698" s="35" t="n"/>
      <c r="AL698" s="34" t="n"/>
    </row>
    <row r="699" ht="19" customHeight="1">
      <c r="A699" s="6" t="n">
        <v>663</v>
      </c>
      <c r="B699" s="7" t="inlineStr">
        <is>
          <t>Cọc khoan nhồi C1 Mố M2 (D1.2m, L=36.0m)</t>
        </is>
      </c>
      <c r="C699" s="7" t="inlineStr">
        <is>
          <t>Cọc mố M2 L=36m (tr.66)</t>
        </is>
      </c>
      <c r="D699" s="18" t="inlineStr">
        <is>
          <t>P1</t>
        </is>
      </c>
      <c r="E699" s="19" t="n">
        <v>10</v>
      </c>
      <c r="F699" s="6" t="inlineStr">
        <is>
          <t>CB240-T</t>
        </is>
      </c>
      <c r="G699" s="7" t="inlineStr"/>
      <c r="H699" s="20" t="n">
        <v>96.887</v>
      </c>
      <c r="I699" s="21" t="n">
        <v>1</v>
      </c>
      <c r="J699" s="22" t="n">
        <v>0.617</v>
      </c>
      <c r="K699" s="9">
        <f>ROUND(H699*I699*J699, 2)</f>
        <v/>
      </c>
      <c r="L699" s="23">
        <f>ROUND(K699/1000, 3)</f>
        <v/>
      </c>
      <c r="M699" s="8">
        <f>IF(AO699="","",IF(INDEX(Theo_Doi_Tan_Suat_Be_Tong!$C:$C,AO699)="","",INDEX(Theo_Doi_Tan_Suat_Be_Tong!$C:$C,AO699)-VLOOKUP(AN699,$AQ$2:$AR$7,2,FALSE)))</f>
        <v/>
      </c>
      <c r="N699" s="6" t="n"/>
      <c r="O699" s="24">
        <f>IF(ROUNDUP(P699/20,0)&gt;ROUNDUP(P697/20,0),"TN Ø10 (Lần " &amp; ROUNDUP(P699/20,0) &amp; ")","")</f>
        <v/>
      </c>
      <c r="P699" s="20">
        <f>ROUND(P697+IF(AND(E699&lt;=10,F699&lt;&gt;"ASTM A416"),L699,0),3)</f>
        <v/>
      </c>
      <c r="Q699" s="20">
        <f>ROUND(Q697+IF(AND(E699=12,F699&lt;&gt;"ASTM A416"),L699,0),3)</f>
        <v/>
      </c>
      <c r="R699" s="20">
        <f>ROUND(R697+IF(AND(E699=14,F699&lt;&gt;"ASTM A416"),L699,0),3)</f>
        <v/>
      </c>
      <c r="S699" s="20">
        <f>ROUND(S697+IF(AND(E699=16,F699&lt;&gt;"ASTM A416"),L699,0),3)</f>
        <v/>
      </c>
      <c r="T699" s="20">
        <f>ROUND(T697+IF(AND(E699=18,F699&lt;&gt;"ASTM A416"),L699,0),3)</f>
        <v/>
      </c>
      <c r="U699" s="20">
        <f>ROUND(U697+IF(AND(E699=20,F699&lt;&gt;"ASTM A416"),L699,0),3)</f>
        <v/>
      </c>
      <c r="V699" s="20">
        <f>ROUND(V697+IF(AND(E699=22,F699&lt;&gt;"ASTM A416"),L699,0),3)</f>
        <v/>
      </c>
      <c r="W699" s="20">
        <f>ROUND(W697+IF(AND(E699=25,F699&lt;&gt;"ASTM A416"),L699,0),3)</f>
        <v/>
      </c>
      <c r="X699" s="20">
        <f>ROUND(X697+IF(AND(E699=28,F699&lt;&gt;"ASTM A416"),L699,0),3)</f>
        <v/>
      </c>
      <c r="Y699" s="20">
        <f>ROUND(Y697+IF(AND(E699=32,F699&lt;&gt;"ASTM A416"),L699,0),3)</f>
        <v/>
      </c>
      <c r="Z699" s="20">
        <f>ROUND(Z697+IF(F699="ASTM A416",L699,0),3)</f>
        <v/>
      </c>
      <c r="AA699" s="11">
        <f>IF(ROUNDUP(P699/20,0)&gt;ROUNDUP(P697/20,0),"Lần " &amp; ROUNDUP(P699/20,0),"")</f>
        <v/>
      </c>
      <c r="AB699" s="11">
        <f>IF(ROUNDUP(Q699/20,0)&gt;ROUNDUP(Q697/20,0),"Lần " &amp; ROUNDUP(Q699/20,0),"")</f>
        <v/>
      </c>
      <c r="AC699" s="11">
        <f>IF(ROUNDUP(R699/20,0)&gt;ROUNDUP(R697/20,0),"Lần " &amp; ROUNDUP(R699/20,0),"")</f>
        <v/>
      </c>
      <c r="AD699" s="11">
        <f>IF(ROUNDUP(S699/20,0)&gt;ROUNDUP(S697/20,0),"Lần " &amp; ROUNDUP(S699/20,0),"")</f>
        <v/>
      </c>
      <c r="AE699" s="11">
        <f>IF(ROUNDUP(T699/20,0)&gt;ROUNDUP(T697/20,0),"Lần " &amp; ROUNDUP(T699/20,0),"")</f>
        <v/>
      </c>
      <c r="AF699" s="11">
        <f>IF(ROUNDUP(U699/20,0)&gt;ROUNDUP(U697/20,0),"Lần " &amp; ROUNDUP(U699/20,0),"")</f>
        <v/>
      </c>
      <c r="AG699" s="11">
        <f>IF(ROUNDUP(V699/20,0)&gt;ROUNDUP(V697/20,0),"Lần " &amp; ROUNDUP(V699/20,0),"")</f>
        <v/>
      </c>
      <c r="AH699" s="11">
        <f>IF(ROUNDUP(W699/20,0)&gt;ROUNDUP(W697/20,0),"Lần " &amp; ROUNDUP(W699/20,0),"")</f>
        <v/>
      </c>
      <c r="AI699" s="11">
        <f>IF(ROUNDUP(X699/20,0)&gt;ROUNDUP(X697/20,0),"Lần " &amp; ROUNDUP(X699/20,0),"")</f>
        <v/>
      </c>
      <c r="AJ699" s="11">
        <f>IF(ROUNDUP(Y699/20,0)&gt;ROUNDUP(Y697/20,0),"Lần " &amp; ROUNDUP(Y699/20,0),"")</f>
        <v/>
      </c>
      <c r="AK699" s="11">
        <f>IF(ROUNDUP(Z699/20,0)&gt;ROUNDUP(Z697/20,0),"Lần " &amp; ROUNDUP(Z699/20,0),"")</f>
        <v/>
      </c>
      <c r="AL699" s="6" t="n"/>
      <c r="AN699" t="inlineStr">
        <is>
          <t>Coc</t>
        </is>
      </c>
      <c r="AO699" t="n">
        <v>23</v>
      </c>
    </row>
    <row r="700" ht="19" customHeight="1">
      <c r="A700" s="6" t="n">
        <v>664</v>
      </c>
      <c r="B700" s="7" t="inlineStr">
        <is>
          <t>Cọc khoan nhồi C1 Mố M2 (D1.2m, L=36.0m)</t>
        </is>
      </c>
      <c r="C700" s="7" t="inlineStr">
        <is>
          <t>Cọc mố M2 L=36m (tr.66)</t>
        </is>
      </c>
      <c r="D700" s="18" t="inlineStr">
        <is>
          <t>P1A</t>
        </is>
      </c>
      <c r="E700" s="19" t="n">
        <v>10</v>
      </c>
      <c r="F700" s="6" t="inlineStr">
        <is>
          <t>CB240-T</t>
        </is>
      </c>
      <c r="G700" s="7" t="inlineStr"/>
      <c r="H700" s="20" t="n">
        <v>390.776</v>
      </c>
      <c r="I700" s="21" t="n">
        <v>1</v>
      </c>
      <c r="J700" s="22" t="n">
        <v>0.617</v>
      </c>
      <c r="K700" s="9">
        <f>ROUND(H700*I700*J700, 2)</f>
        <v/>
      </c>
      <c r="L700" s="23">
        <f>ROUND(K700/1000, 3)</f>
        <v/>
      </c>
      <c r="M700" s="8">
        <f>IF(AO700="","",IF(INDEX(Theo_Doi_Tan_Suat_Be_Tong!$C:$C,AO700)="","",INDEX(Theo_Doi_Tan_Suat_Be_Tong!$C:$C,AO700)-VLOOKUP(AN700,$AQ$2:$AR$7,2,FALSE)))</f>
        <v/>
      </c>
      <c r="N700" s="6" t="n"/>
      <c r="O700" s="24">
        <f>IF(ROUNDUP(P700/20,0)&gt;ROUNDUP(P699/20,0),"TN Ø10 (Lần " &amp; ROUNDUP(P700/20,0) &amp; ")","")</f>
        <v/>
      </c>
      <c r="P700" s="20">
        <f>ROUND(P699+IF(AND(E700&lt;=10,F700&lt;&gt;"ASTM A416"),L700,0),3)</f>
        <v/>
      </c>
      <c r="Q700" s="20">
        <f>ROUND(Q699+IF(AND(E700=12,F700&lt;&gt;"ASTM A416"),L700,0),3)</f>
        <v/>
      </c>
      <c r="R700" s="20">
        <f>ROUND(R699+IF(AND(E700=14,F700&lt;&gt;"ASTM A416"),L700,0),3)</f>
        <v/>
      </c>
      <c r="S700" s="20">
        <f>ROUND(S699+IF(AND(E700=16,F700&lt;&gt;"ASTM A416"),L700,0),3)</f>
        <v/>
      </c>
      <c r="T700" s="20">
        <f>ROUND(T699+IF(AND(E700=18,F700&lt;&gt;"ASTM A416"),L700,0),3)</f>
        <v/>
      </c>
      <c r="U700" s="20">
        <f>ROUND(U699+IF(AND(E700=20,F700&lt;&gt;"ASTM A416"),L700,0),3)</f>
        <v/>
      </c>
      <c r="V700" s="20">
        <f>ROUND(V699+IF(AND(E700=22,F700&lt;&gt;"ASTM A416"),L700,0),3)</f>
        <v/>
      </c>
      <c r="W700" s="20">
        <f>ROUND(W699+IF(AND(E700=25,F700&lt;&gt;"ASTM A416"),L700,0),3)</f>
        <v/>
      </c>
      <c r="X700" s="20">
        <f>ROUND(X699+IF(AND(E700=28,F700&lt;&gt;"ASTM A416"),L700,0),3)</f>
        <v/>
      </c>
      <c r="Y700" s="20">
        <f>ROUND(Y699+IF(AND(E700=32,F700&lt;&gt;"ASTM A416"),L700,0),3)</f>
        <v/>
      </c>
      <c r="Z700" s="20">
        <f>ROUND(Z699+IF(F700="ASTM A416",L700,0),3)</f>
        <v/>
      </c>
      <c r="AA700" s="11">
        <f>IF(ROUNDUP(P700/20,0)&gt;ROUNDUP(P699/20,0),"Lần " &amp; ROUNDUP(P700/20,0),"")</f>
        <v/>
      </c>
      <c r="AB700" s="11">
        <f>IF(ROUNDUP(Q700/20,0)&gt;ROUNDUP(Q699/20,0),"Lần " &amp; ROUNDUP(Q700/20,0),"")</f>
        <v/>
      </c>
      <c r="AC700" s="11">
        <f>IF(ROUNDUP(R700/20,0)&gt;ROUNDUP(R699/20,0),"Lần " &amp; ROUNDUP(R700/20,0),"")</f>
        <v/>
      </c>
      <c r="AD700" s="11">
        <f>IF(ROUNDUP(S700/20,0)&gt;ROUNDUP(S699/20,0),"Lần " &amp; ROUNDUP(S700/20,0),"")</f>
        <v/>
      </c>
      <c r="AE700" s="11">
        <f>IF(ROUNDUP(T700/20,0)&gt;ROUNDUP(T699/20,0),"Lần " &amp; ROUNDUP(T700/20,0),"")</f>
        <v/>
      </c>
      <c r="AF700" s="11">
        <f>IF(ROUNDUP(U700/20,0)&gt;ROUNDUP(U699/20,0),"Lần " &amp; ROUNDUP(U700/20,0),"")</f>
        <v/>
      </c>
      <c r="AG700" s="11">
        <f>IF(ROUNDUP(V700/20,0)&gt;ROUNDUP(V699/20,0),"Lần " &amp; ROUNDUP(V700/20,0),"")</f>
        <v/>
      </c>
      <c r="AH700" s="11">
        <f>IF(ROUNDUP(W700/20,0)&gt;ROUNDUP(W699/20,0),"Lần " &amp; ROUNDUP(W700/20,0),"")</f>
        <v/>
      </c>
      <c r="AI700" s="11">
        <f>IF(ROUNDUP(X700/20,0)&gt;ROUNDUP(X699/20,0),"Lần " &amp; ROUNDUP(X700/20,0),"")</f>
        <v/>
      </c>
      <c r="AJ700" s="11">
        <f>IF(ROUNDUP(Y700/20,0)&gt;ROUNDUP(Y699/20,0),"Lần " &amp; ROUNDUP(Y700/20,0),"")</f>
        <v/>
      </c>
      <c r="AK700" s="11">
        <f>IF(ROUNDUP(Z700/20,0)&gt;ROUNDUP(Z699/20,0),"Lần " &amp; ROUNDUP(Z700/20,0),"")</f>
        <v/>
      </c>
      <c r="AL700" s="6" t="n"/>
      <c r="AN700" t="inlineStr">
        <is>
          <t>Coc</t>
        </is>
      </c>
      <c r="AO700" t="n">
        <v>23</v>
      </c>
    </row>
    <row r="701" ht="19" customHeight="1">
      <c r="A701" s="6" t="n">
        <v>665</v>
      </c>
      <c r="B701" s="7" t="inlineStr">
        <is>
          <t>Cọc khoan nhồi C1 Mố M2 (D1.2m, L=36.0m)</t>
        </is>
      </c>
      <c r="C701" s="7" t="inlineStr">
        <is>
          <t>Cọc mố M2 L=36m (tr.66)</t>
        </is>
      </c>
      <c r="D701" s="18" t="inlineStr">
        <is>
          <t>P1B</t>
        </is>
      </c>
      <c r="E701" s="19" t="n">
        <v>10</v>
      </c>
      <c r="F701" s="6" t="inlineStr">
        <is>
          <t>CB240-T</t>
        </is>
      </c>
      <c r="G701" s="7" t="inlineStr"/>
      <c r="H701" s="20" t="n">
        <v>164.938</v>
      </c>
      <c r="I701" s="21" t="n">
        <v>1</v>
      </c>
      <c r="J701" s="22" t="n">
        <v>0.617</v>
      </c>
      <c r="K701" s="9">
        <f>ROUND(H701*I701*J701, 2)</f>
        <v/>
      </c>
      <c r="L701" s="23">
        <f>ROUND(K701/1000, 3)</f>
        <v/>
      </c>
      <c r="M701" s="8">
        <f>IF(AO701="","",IF(INDEX(Theo_Doi_Tan_Suat_Be_Tong!$C:$C,AO701)="","",INDEX(Theo_Doi_Tan_Suat_Be_Tong!$C:$C,AO701)-VLOOKUP(AN701,$AQ$2:$AR$7,2,FALSE)))</f>
        <v/>
      </c>
      <c r="N701" s="6" t="n"/>
      <c r="O701" s="24">
        <f>IF(ROUNDUP(P701/20,0)&gt;ROUNDUP(P700/20,0),"TN Ø10 (Lần " &amp; ROUNDUP(P701/20,0) &amp; ")","")</f>
        <v/>
      </c>
      <c r="P701" s="20">
        <f>ROUND(P700+IF(AND(E701&lt;=10,F701&lt;&gt;"ASTM A416"),L701,0),3)</f>
        <v/>
      </c>
      <c r="Q701" s="20">
        <f>ROUND(Q700+IF(AND(E701=12,F701&lt;&gt;"ASTM A416"),L701,0),3)</f>
        <v/>
      </c>
      <c r="R701" s="20">
        <f>ROUND(R700+IF(AND(E701=14,F701&lt;&gt;"ASTM A416"),L701,0),3)</f>
        <v/>
      </c>
      <c r="S701" s="20">
        <f>ROUND(S700+IF(AND(E701=16,F701&lt;&gt;"ASTM A416"),L701,0),3)</f>
        <v/>
      </c>
      <c r="T701" s="20">
        <f>ROUND(T700+IF(AND(E701=18,F701&lt;&gt;"ASTM A416"),L701,0),3)</f>
        <v/>
      </c>
      <c r="U701" s="20">
        <f>ROUND(U700+IF(AND(E701=20,F701&lt;&gt;"ASTM A416"),L701,0),3)</f>
        <v/>
      </c>
      <c r="V701" s="20">
        <f>ROUND(V700+IF(AND(E701=22,F701&lt;&gt;"ASTM A416"),L701,0),3)</f>
        <v/>
      </c>
      <c r="W701" s="20">
        <f>ROUND(W700+IF(AND(E701=25,F701&lt;&gt;"ASTM A416"),L701,0),3)</f>
        <v/>
      </c>
      <c r="X701" s="20">
        <f>ROUND(X700+IF(AND(E701=28,F701&lt;&gt;"ASTM A416"),L701,0),3)</f>
        <v/>
      </c>
      <c r="Y701" s="20">
        <f>ROUND(Y700+IF(AND(E701=32,F701&lt;&gt;"ASTM A416"),L701,0),3)</f>
        <v/>
      </c>
      <c r="Z701" s="20">
        <f>ROUND(Z700+IF(F701="ASTM A416",L701,0),3)</f>
        <v/>
      </c>
      <c r="AA701" s="11">
        <f>IF(ROUNDUP(P701/20,0)&gt;ROUNDUP(P700/20,0),"Lần " &amp; ROUNDUP(P701/20,0),"")</f>
        <v/>
      </c>
      <c r="AB701" s="11">
        <f>IF(ROUNDUP(Q701/20,0)&gt;ROUNDUP(Q700/20,0),"Lần " &amp; ROUNDUP(Q701/20,0),"")</f>
        <v/>
      </c>
      <c r="AC701" s="11">
        <f>IF(ROUNDUP(R701/20,0)&gt;ROUNDUP(R700/20,0),"Lần " &amp; ROUNDUP(R701/20,0),"")</f>
        <v/>
      </c>
      <c r="AD701" s="11">
        <f>IF(ROUNDUP(S701/20,0)&gt;ROUNDUP(S700/20,0),"Lần " &amp; ROUNDUP(S701/20,0),"")</f>
        <v/>
      </c>
      <c r="AE701" s="11">
        <f>IF(ROUNDUP(T701/20,0)&gt;ROUNDUP(T700/20,0),"Lần " &amp; ROUNDUP(T701/20,0),"")</f>
        <v/>
      </c>
      <c r="AF701" s="11">
        <f>IF(ROUNDUP(U701/20,0)&gt;ROUNDUP(U700/20,0),"Lần " &amp; ROUNDUP(U701/20,0),"")</f>
        <v/>
      </c>
      <c r="AG701" s="11">
        <f>IF(ROUNDUP(V701/20,0)&gt;ROUNDUP(V700/20,0),"Lần " &amp; ROUNDUP(V701/20,0),"")</f>
        <v/>
      </c>
      <c r="AH701" s="11">
        <f>IF(ROUNDUP(W701/20,0)&gt;ROUNDUP(W700/20,0),"Lần " &amp; ROUNDUP(W701/20,0),"")</f>
        <v/>
      </c>
      <c r="AI701" s="11">
        <f>IF(ROUNDUP(X701/20,0)&gt;ROUNDUP(X700/20,0),"Lần " &amp; ROUNDUP(X701/20,0),"")</f>
        <v/>
      </c>
      <c r="AJ701" s="11">
        <f>IF(ROUNDUP(Y701/20,0)&gt;ROUNDUP(Y700/20,0),"Lần " &amp; ROUNDUP(Y701/20,0),"")</f>
        <v/>
      </c>
      <c r="AK701" s="11">
        <f>IF(ROUNDUP(Z701/20,0)&gt;ROUNDUP(Z700/20,0),"Lần " &amp; ROUNDUP(Z701/20,0),"")</f>
        <v/>
      </c>
      <c r="AL701" s="6" t="n"/>
      <c r="AN701" t="inlineStr">
        <is>
          <t>Coc</t>
        </is>
      </c>
      <c r="AO701" t="n">
        <v>23</v>
      </c>
    </row>
    <row r="702" ht="19" customHeight="1">
      <c r="A702" s="6" t="n">
        <v>666</v>
      </c>
      <c r="B702" s="7" t="inlineStr">
        <is>
          <t>Cọc khoan nhồi C1 Mố M2 (D1.2m, L=36.0m)</t>
        </is>
      </c>
      <c r="C702" s="7" t="inlineStr">
        <is>
          <t>Cọc mố M2 L=36m (tr.66)</t>
        </is>
      </c>
      <c r="D702" s="18" t="inlineStr">
        <is>
          <t>P1C</t>
        </is>
      </c>
      <c r="E702" s="19" t="n">
        <v>10</v>
      </c>
      <c r="F702" s="6" t="inlineStr">
        <is>
          <t>CB240-T</t>
        </is>
      </c>
      <c r="G702" s="7" t="inlineStr"/>
      <c r="H702" s="20" t="n">
        <v>3.592</v>
      </c>
      <c r="I702" s="21" t="n">
        <v>2</v>
      </c>
      <c r="J702" s="22" t="n">
        <v>0.617</v>
      </c>
      <c r="K702" s="9">
        <f>ROUND(H702*I702*J702, 2)</f>
        <v/>
      </c>
      <c r="L702" s="23">
        <f>ROUND(K702/1000, 3)</f>
        <v/>
      </c>
      <c r="M702" s="8">
        <f>IF(AO702="","",IF(INDEX(Theo_Doi_Tan_Suat_Be_Tong!$C:$C,AO702)="","",INDEX(Theo_Doi_Tan_Suat_Be_Tong!$C:$C,AO702)-VLOOKUP(AN702,$AQ$2:$AR$7,2,FALSE)))</f>
        <v/>
      </c>
      <c r="N702" s="6" t="n"/>
      <c r="O702" s="24">
        <f>IF(ROUNDUP(P702/20,0)&gt;ROUNDUP(P701/20,0),"TN Ø10 (Lần " &amp; ROUNDUP(P702/20,0) &amp; ")","")</f>
        <v/>
      </c>
      <c r="P702" s="20">
        <f>ROUND(P701+IF(AND(E702&lt;=10,F702&lt;&gt;"ASTM A416"),L702,0),3)</f>
        <v/>
      </c>
      <c r="Q702" s="20">
        <f>ROUND(Q701+IF(AND(E702=12,F702&lt;&gt;"ASTM A416"),L702,0),3)</f>
        <v/>
      </c>
      <c r="R702" s="20">
        <f>ROUND(R701+IF(AND(E702=14,F702&lt;&gt;"ASTM A416"),L702,0),3)</f>
        <v/>
      </c>
      <c r="S702" s="20">
        <f>ROUND(S701+IF(AND(E702=16,F702&lt;&gt;"ASTM A416"),L702,0),3)</f>
        <v/>
      </c>
      <c r="T702" s="20">
        <f>ROUND(T701+IF(AND(E702=18,F702&lt;&gt;"ASTM A416"),L702,0),3)</f>
        <v/>
      </c>
      <c r="U702" s="20">
        <f>ROUND(U701+IF(AND(E702=20,F702&lt;&gt;"ASTM A416"),L702,0),3)</f>
        <v/>
      </c>
      <c r="V702" s="20">
        <f>ROUND(V701+IF(AND(E702=22,F702&lt;&gt;"ASTM A416"),L702,0),3)</f>
        <v/>
      </c>
      <c r="W702" s="20">
        <f>ROUND(W701+IF(AND(E702=25,F702&lt;&gt;"ASTM A416"),L702,0),3)</f>
        <v/>
      </c>
      <c r="X702" s="20">
        <f>ROUND(X701+IF(AND(E702=28,F702&lt;&gt;"ASTM A416"),L702,0),3)</f>
        <v/>
      </c>
      <c r="Y702" s="20">
        <f>ROUND(Y701+IF(AND(E702=32,F702&lt;&gt;"ASTM A416"),L702,0),3)</f>
        <v/>
      </c>
      <c r="Z702" s="20">
        <f>ROUND(Z701+IF(F702="ASTM A416",L702,0),3)</f>
        <v/>
      </c>
      <c r="AA702" s="11">
        <f>IF(ROUNDUP(P702/20,0)&gt;ROUNDUP(P701/20,0),"Lần " &amp; ROUNDUP(P702/20,0),"")</f>
        <v/>
      </c>
      <c r="AB702" s="11">
        <f>IF(ROUNDUP(Q702/20,0)&gt;ROUNDUP(Q701/20,0),"Lần " &amp; ROUNDUP(Q702/20,0),"")</f>
        <v/>
      </c>
      <c r="AC702" s="11">
        <f>IF(ROUNDUP(R702/20,0)&gt;ROUNDUP(R701/20,0),"Lần " &amp; ROUNDUP(R702/20,0),"")</f>
        <v/>
      </c>
      <c r="AD702" s="11">
        <f>IF(ROUNDUP(S702/20,0)&gt;ROUNDUP(S701/20,0),"Lần " &amp; ROUNDUP(S702/20,0),"")</f>
        <v/>
      </c>
      <c r="AE702" s="11">
        <f>IF(ROUNDUP(T702/20,0)&gt;ROUNDUP(T701/20,0),"Lần " &amp; ROUNDUP(T702/20,0),"")</f>
        <v/>
      </c>
      <c r="AF702" s="11">
        <f>IF(ROUNDUP(U702/20,0)&gt;ROUNDUP(U701/20,0),"Lần " &amp; ROUNDUP(U702/20,0),"")</f>
        <v/>
      </c>
      <c r="AG702" s="11">
        <f>IF(ROUNDUP(V702/20,0)&gt;ROUNDUP(V701/20,0),"Lần " &amp; ROUNDUP(V702/20,0),"")</f>
        <v/>
      </c>
      <c r="AH702" s="11">
        <f>IF(ROUNDUP(W702/20,0)&gt;ROUNDUP(W701/20,0),"Lần " &amp; ROUNDUP(W702/20,0),"")</f>
        <v/>
      </c>
      <c r="AI702" s="11">
        <f>IF(ROUNDUP(X702/20,0)&gt;ROUNDUP(X701/20,0),"Lần " &amp; ROUNDUP(X702/20,0),"")</f>
        <v/>
      </c>
      <c r="AJ702" s="11">
        <f>IF(ROUNDUP(Y702/20,0)&gt;ROUNDUP(Y701/20,0),"Lần " &amp; ROUNDUP(Y702/20,0),"")</f>
        <v/>
      </c>
      <c r="AK702" s="11">
        <f>IF(ROUNDUP(Z702/20,0)&gt;ROUNDUP(Z701/20,0),"Lần " &amp; ROUNDUP(Z702/20,0),"")</f>
        <v/>
      </c>
      <c r="AL702" s="6" t="n"/>
      <c r="AN702" t="inlineStr">
        <is>
          <t>Coc</t>
        </is>
      </c>
      <c r="AO702" t="n">
        <v>23</v>
      </c>
    </row>
    <row r="703" ht="19" customHeight="1">
      <c r="A703" s="6" t="n">
        <v>667</v>
      </c>
      <c r="B703" s="7" t="inlineStr">
        <is>
          <t>Cọc khoan nhồi C1 Mố M2 (D1.2m, L=36.0m)</t>
        </is>
      </c>
      <c r="C703" s="7" t="inlineStr">
        <is>
          <t>Cọc mố M2 L=36m (tr.66)</t>
        </is>
      </c>
      <c r="D703" s="18" t="inlineStr">
        <is>
          <t>P1D</t>
        </is>
      </c>
      <c r="E703" s="19" t="n">
        <v>10</v>
      </c>
      <c r="F703" s="6" t="inlineStr">
        <is>
          <t>CB240-T</t>
        </is>
      </c>
      <c r="G703" s="7" t="inlineStr"/>
      <c r="H703" s="20" t="n">
        <v>23.007</v>
      </c>
      <c r="I703" s="21" t="n">
        <v>1</v>
      </c>
      <c r="J703" s="22" t="n">
        <v>0.617</v>
      </c>
      <c r="K703" s="9">
        <f>ROUND(H703*I703*J703, 2)</f>
        <v/>
      </c>
      <c r="L703" s="23">
        <f>ROUND(K703/1000, 3)</f>
        <v/>
      </c>
      <c r="M703" s="8">
        <f>IF(AO703="","",IF(INDEX(Theo_Doi_Tan_Suat_Be_Tong!$C:$C,AO703)="","",INDEX(Theo_Doi_Tan_Suat_Be_Tong!$C:$C,AO703)-VLOOKUP(AN703,$AQ$2:$AR$7,2,FALSE)))</f>
        <v/>
      </c>
      <c r="N703" s="6" t="n"/>
      <c r="O703" s="24">
        <f>IF(ROUNDUP(P703/20,0)&gt;ROUNDUP(P702/20,0),"TN Ø10 (Lần " &amp; ROUNDUP(P703/20,0) &amp; ")","")</f>
        <v/>
      </c>
      <c r="P703" s="20">
        <f>ROUND(P702+IF(AND(E703&lt;=10,F703&lt;&gt;"ASTM A416"),L703,0),3)</f>
        <v/>
      </c>
      <c r="Q703" s="20">
        <f>ROUND(Q702+IF(AND(E703=12,F703&lt;&gt;"ASTM A416"),L703,0),3)</f>
        <v/>
      </c>
      <c r="R703" s="20">
        <f>ROUND(R702+IF(AND(E703=14,F703&lt;&gt;"ASTM A416"),L703,0),3)</f>
        <v/>
      </c>
      <c r="S703" s="20">
        <f>ROUND(S702+IF(AND(E703=16,F703&lt;&gt;"ASTM A416"),L703,0),3)</f>
        <v/>
      </c>
      <c r="T703" s="20">
        <f>ROUND(T702+IF(AND(E703=18,F703&lt;&gt;"ASTM A416"),L703,0),3)</f>
        <v/>
      </c>
      <c r="U703" s="20">
        <f>ROUND(U702+IF(AND(E703=20,F703&lt;&gt;"ASTM A416"),L703,0),3)</f>
        <v/>
      </c>
      <c r="V703" s="20">
        <f>ROUND(V702+IF(AND(E703=22,F703&lt;&gt;"ASTM A416"),L703,0),3)</f>
        <v/>
      </c>
      <c r="W703" s="20">
        <f>ROUND(W702+IF(AND(E703=25,F703&lt;&gt;"ASTM A416"),L703,0),3)</f>
        <v/>
      </c>
      <c r="X703" s="20">
        <f>ROUND(X702+IF(AND(E703=28,F703&lt;&gt;"ASTM A416"),L703,0),3)</f>
        <v/>
      </c>
      <c r="Y703" s="20">
        <f>ROUND(Y702+IF(AND(E703=32,F703&lt;&gt;"ASTM A416"),L703,0),3)</f>
        <v/>
      </c>
      <c r="Z703" s="20">
        <f>ROUND(Z702+IF(F703="ASTM A416",L703,0),3)</f>
        <v/>
      </c>
      <c r="AA703" s="11">
        <f>IF(ROUNDUP(P703/20,0)&gt;ROUNDUP(P702/20,0),"Lần " &amp; ROUNDUP(P703/20,0),"")</f>
        <v/>
      </c>
      <c r="AB703" s="11">
        <f>IF(ROUNDUP(Q703/20,0)&gt;ROUNDUP(Q702/20,0),"Lần " &amp; ROUNDUP(Q703/20,0),"")</f>
        <v/>
      </c>
      <c r="AC703" s="11">
        <f>IF(ROUNDUP(R703/20,0)&gt;ROUNDUP(R702/20,0),"Lần " &amp; ROUNDUP(R703/20,0),"")</f>
        <v/>
      </c>
      <c r="AD703" s="11">
        <f>IF(ROUNDUP(S703/20,0)&gt;ROUNDUP(S702/20,0),"Lần " &amp; ROUNDUP(S703/20,0),"")</f>
        <v/>
      </c>
      <c r="AE703" s="11">
        <f>IF(ROUNDUP(T703/20,0)&gt;ROUNDUP(T702/20,0),"Lần " &amp; ROUNDUP(T703/20,0),"")</f>
        <v/>
      </c>
      <c r="AF703" s="11">
        <f>IF(ROUNDUP(U703/20,0)&gt;ROUNDUP(U702/20,0),"Lần " &amp; ROUNDUP(U703/20,0),"")</f>
        <v/>
      </c>
      <c r="AG703" s="11">
        <f>IF(ROUNDUP(V703/20,0)&gt;ROUNDUP(V702/20,0),"Lần " &amp; ROUNDUP(V703/20,0),"")</f>
        <v/>
      </c>
      <c r="AH703" s="11">
        <f>IF(ROUNDUP(W703/20,0)&gt;ROUNDUP(W702/20,0),"Lần " &amp; ROUNDUP(W703/20,0),"")</f>
        <v/>
      </c>
      <c r="AI703" s="11">
        <f>IF(ROUNDUP(X703/20,0)&gt;ROUNDUP(X702/20,0),"Lần " &amp; ROUNDUP(X703/20,0),"")</f>
        <v/>
      </c>
      <c r="AJ703" s="11">
        <f>IF(ROUNDUP(Y703/20,0)&gt;ROUNDUP(Y702/20,0),"Lần " &amp; ROUNDUP(Y703/20,0),"")</f>
        <v/>
      </c>
      <c r="AK703" s="11">
        <f>IF(ROUNDUP(Z703/20,0)&gt;ROUNDUP(Z702/20,0),"Lần " &amp; ROUNDUP(Z703/20,0),"")</f>
        <v/>
      </c>
      <c r="AL703" s="6" t="n"/>
      <c r="AN703" t="inlineStr">
        <is>
          <t>Coc</t>
        </is>
      </c>
      <c r="AO703" t="n">
        <v>23</v>
      </c>
    </row>
    <row r="704" ht="19" customHeight="1">
      <c r="A704" s="6" t="n">
        <v>668</v>
      </c>
      <c r="B704" s="7" t="inlineStr">
        <is>
          <t>Cọc khoan nhồi C1 Mố M2 (D1.2m, L=36.0m)</t>
        </is>
      </c>
      <c r="C704" s="7" t="inlineStr">
        <is>
          <t>Cọc mố M2 L=36m (tr.66)</t>
        </is>
      </c>
      <c r="D704" s="18" t="inlineStr">
        <is>
          <t>P2A</t>
        </is>
      </c>
      <c r="E704" s="19" t="n">
        <v>28</v>
      </c>
      <c r="F704" s="6" t="inlineStr">
        <is>
          <t>CB400-V</t>
        </is>
      </c>
      <c r="G704" s="7" t="inlineStr"/>
      <c r="H704" s="20" t="n">
        <v>2.966</v>
      </c>
      <c r="I704" s="21" t="n">
        <v>5</v>
      </c>
      <c r="J704" s="22" t="n">
        <v>4.834</v>
      </c>
      <c r="K704" s="9">
        <f>ROUND(H704*I704*J704, 2)</f>
        <v/>
      </c>
      <c r="L704" s="23">
        <f>ROUND(K704/1000, 3)</f>
        <v/>
      </c>
      <c r="M704" s="8">
        <f>IF(AO704="","",IF(INDEX(Theo_Doi_Tan_Suat_Be_Tong!$C:$C,AO704)="","",INDEX(Theo_Doi_Tan_Suat_Be_Tong!$C:$C,AO704)-VLOOKUP(AN704,$AQ$2:$AR$7,2,FALSE)))</f>
        <v/>
      </c>
      <c r="N704" s="6" t="n"/>
      <c r="O704" s="24">
        <f>IF(ROUNDUP(X704/20,0)&gt;ROUNDUP(X703/20,0),"TN Ø28 (Lần " &amp; ROUNDUP(X704/20,0) &amp; ")","")</f>
        <v/>
      </c>
      <c r="P704" s="20">
        <f>ROUND(P703+IF(AND(E704&lt;=10,F704&lt;&gt;"ASTM A416"),L704,0),3)</f>
        <v/>
      </c>
      <c r="Q704" s="20">
        <f>ROUND(Q703+IF(AND(E704=12,F704&lt;&gt;"ASTM A416"),L704,0),3)</f>
        <v/>
      </c>
      <c r="R704" s="20">
        <f>ROUND(R703+IF(AND(E704=14,F704&lt;&gt;"ASTM A416"),L704,0),3)</f>
        <v/>
      </c>
      <c r="S704" s="20">
        <f>ROUND(S703+IF(AND(E704=16,F704&lt;&gt;"ASTM A416"),L704,0),3)</f>
        <v/>
      </c>
      <c r="T704" s="20">
        <f>ROUND(T703+IF(AND(E704=18,F704&lt;&gt;"ASTM A416"),L704,0),3)</f>
        <v/>
      </c>
      <c r="U704" s="20">
        <f>ROUND(U703+IF(AND(E704=20,F704&lt;&gt;"ASTM A416"),L704,0),3)</f>
        <v/>
      </c>
      <c r="V704" s="20">
        <f>ROUND(V703+IF(AND(E704=22,F704&lt;&gt;"ASTM A416"),L704,0),3)</f>
        <v/>
      </c>
      <c r="W704" s="20">
        <f>ROUND(W703+IF(AND(E704=25,F704&lt;&gt;"ASTM A416"),L704,0),3)</f>
        <v/>
      </c>
      <c r="X704" s="20">
        <f>ROUND(X703+IF(AND(E704=28,F704&lt;&gt;"ASTM A416"),L704,0),3)</f>
        <v/>
      </c>
      <c r="Y704" s="20">
        <f>ROUND(Y703+IF(AND(E704=32,F704&lt;&gt;"ASTM A416"),L704,0),3)</f>
        <v/>
      </c>
      <c r="Z704" s="20">
        <f>ROUND(Z703+IF(F704="ASTM A416",L704,0),3)</f>
        <v/>
      </c>
      <c r="AA704" s="11">
        <f>IF(ROUNDUP(P704/20,0)&gt;ROUNDUP(P703/20,0),"Lần " &amp; ROUNDUP(P704/20,0),"")</f>
        <v/>
      </c>
      <c r="AB704" s="11">
        <f>IF(ROUNDUP(Q704/20,0)&gt;ROUNDUP(Q703/20,0),"Lần " &amp; ROUNDUP(Q704/20,0),"")</f>
        <v/>
      </c>
      <c r="AC704" s="11">
        <f>IF(ROUNDUP(R704/20,0)&gt;ROUNDUP(R703/20,0),"Lần " &amp; ROUNDUP(R704/20,0),"")</f>
        <v/>
      </c>
      <c r="AD704" s="11">
        <f>IF(ROUNDUP(S704/20,0)&gt;ROUNDUP(S703/20,0),"Lần " &amp; ROUNDUP(S704/20,0),"")</f>
        <v/>
      </c>
      <c r="AE704" s="11">
        <f>IF(ROUNDUP(T704/20,0)&gt;ROUNDUP(T703/20,0),"Lần " &amp; ROUNDUP(T704/20,0),"")</f>
        <v/>
      </c>
      <c r="AF704" s="11">
        <f>IF(ROUNDUP(U704/20,0)&gt;ROUNDUP(U703/20,0),"Lần " &amp; ROUNDUP(U704/20,0),"")</f>
        <v/>
      </c>
      <c r="AG704" s="11">
        <f>IF(ROUNDUP(V704/20,0)&gt;ROUNDUP(V703/20,0),"Lần " &amp; ROUNDUP(V704/20,0),"")</f>
        <v/>
      </c>
      <c r="AH704" s="11">
        <f>IF(ROUNDUP(W704/20,0)&gt;ROUNDUP(W703/20,0),"Lần " &amp; ROUNDUP(W704/20,0),"")</f>
        <v/>
      </c>
      <c r="AI704" s="11">
        <f>IF(ROUNDUP(X704/20,0)&gt;ROUNDUP(X703/20,0),"Lần " &amp; ROUNDUP(X704/20,0),"")</f>
        <v/>
      </c>
      <c r="AJ704" s="11">
        <f>IF(ROUNDUP(Y704/20,0)&gt;ROUNDUP(Y703/20,0),"Lần " &amp; ROUNDUP(Y704/20,0),"")</f>
        <v/>
      </c>
      <c r="AK704" s="11">
        <f>IF(ROUNDUP(Z704/20,0)&gt;ROUNDUP(Z703/20,0),"Lần " &amp; ROUNDUP(Z704/20,0),"")</f>
        <v/>
      </c>
      <c r="AL704" s="6" t="n"/>
      <c r="AN704" t="inlineStr">
        <is>
          <t>Coc</t>
        </is>
      </c>
      <c r="AO704" t="n">
        <v>23</v>
      </c>
    </row>
    <row r="705" ht="19" customHeight="1">
      <c r="A705" s="6" t="n">
        <v>669</v>
      </c>
      <c r="B705" s="7" t="inlineStr">
        <is>
          <t>Cọc khoan nhồi C1 Mố M2 (D1.2m, L=36.0m)</t>
        </is>
      </c>
      <c r="C705" s="7" t="inlineStr">
        <is>
          <t>Cọc mố M2 L=36m (tr.66)</t>
        </is>
      </c>
      <c r="D705" s="18" t="inlineStr">
        <is>
          <t>P2B</t>
        </is>
      </c>
      <c r="E705" s="19" t="n">
        <v>25</v>
      </c>
      <c r="F705" s="6" t="inlineStr">
        <is>
          <t>CB400-V</t>
        </is>
      </c>
      <c r="G705" s="7" t="inlineStr"/>
      <c r="H705" s="20" t="n">
        <v>2.985</v>
      </c>
      <c r="I705" s="21" t="n">
        <v>10</v>
      </c>
      <c r="J705" s="22" t="n">
        <v>3.853</v>
      </c>
      <c r="K705" s="9">
        <f>ROUND(H705*I705*J705, 2)</f>
        <v/>
      </c>
      <c r="L705" s="23">
        <f>ROUND(K705/1000, 3)</f>
        <v/>
      </c>
      <c r="M705" s="8">
        <f>IF(AO705="","",IF(INDEX(Theo_Doi_Tan_Suat_Be_Tong!$C:$C,AO705)="","",INDEX(Theo_Doi_Tan_Suat_Be_Tong!$C:$C,AO705)-VLOOKUP(AN705,$AQ$2:$AR$7,2,FALSE)))</f>
        <v/>
      </c>
      <c r="N705" s="6" t="n"/>
      <c r="O705" s="24">
        <f>IF(ROUNDUP(W705/20,0)&gt;ROUNDUP(W704/20,0),"TN Ø25 (Lần " &amp; ROUNDUP(W705/20,0) &amp; ")","")</f>
        <v/>
      </c>
      <c r="P705" s="20">
        <f>ROUND(P704+IF(AND(E705&lt;=10,F705&lt;&gt;"ASTM A416"),L705,0),3)</f>
        <v/>
      </c>
      <c r="Q705" s="20">
        <f>ROUND(Q704+IF(AND(E705=12,F705&lt;&gt;"ASTM A416"),L705,0),3)</f>
        <v/>
      </c>
      <c r="R705" s="20">
        <f>ROUND(R704+IF(AND(E705=14,F705&lt;&gt;"ASTM A416"),L705,0),3)</f>
        <v/>
      </c>
      <c r="S705" s="20">
        <f>ROUND(S704+IF(AND(E705=16,F705&lt;&gt;"ASTM A416"),L705,0),3)</f>
        <v/>
      </c>
      <c r="T705" s="20">
        <f>ROUND(T704+IF(AND(E705=18,F705&lt;&gt;"ASTM A416"),L705,0),3)</f>
        <v/>
      </c>
      <c r="U705" s="20">
        <f>ROUND(U704+IF(AND(E705=20,F705&lt;&gt;"ASTM A416"),L705,0),3)</f>
        <v/>
      </c>
      <c r="V705" s="20">
        <f>ROUND(V704+IF(AND(E705=22,F705&lt;&gt;"ASTM A416"),L705,0),3)</f>
        <v/>
      </c>
      <c r="W705" s="20">
        <f>ROUND(W704+IF(AND(E705=25,F705&lt;&gt;"ASTM A416"),L705,0),3)</f>
        <v/>
      </c>
      <c r="X705" s="20">
        <f>ROUND(X704+IF(AND(E705=28,F705&lt;&gt;"ASTM A416"),L705,0),3)</f>
        <v/>
      </c>
      <c r="Y705" s="20">
        <f>ROUND(Y704+IF(AND(E705=32,F705&lt;&gt;"ASTM A416"),L705,0),3)</f>
        <v/>
      </c>
      <c r="Z705" s="20">
        <f>ROUND(Z704+IF(F705="ASTM A416",L705,0),3)</f>
        <v/>
      </c>
      <c r="AA705" s="11">
        <f>IF(ROUNDUP(P705/20,0)&gt;ROUNDUP(P704/20,0),"Lần " &amp; ROUNDUP(P705/20,0),"")</f>
        <v/>
      </c>
      <c r="AB705" s="11">
        <f>IF(ROUNDUP(Q705/20,0)&gt;ROUNDUP(Q704/20,0),"Lần " &amp; ROUNDUP(Q705/20,0),"")</f>
        <v/>
      </c>
      <c r="AC705" s="11">
        <f>IF(ROUNDUP(R705/20,0)&gt;ROUNDUP(R704/20,0),"Lần " &amp; ROUNDUP(R705/20,0),"")</f>
        <v/>
      </c>
      <c r="AD705" s="11">
        <f>IF(ROUNDUP(S705/20,0)&gt;ROUNDUP(S704/20,0),"Lần " &amp; ROUNDUP(S705/20,0),"")</f>
        <v/>
      </c>
      <c r="AE705" s="11">
        <f>IF(ROUNDUP(T705/20,0)&gt;ROUNDUP(T704/20,0),"Lần " &amp; ROUNDUP(T705/20,0),"")</f>
        <v/>
      </c>
      <c r="AF705" s="11">
        <f>IF(ROUNDUP(U705/20,0)&gt;ROUNDUP(U704/20,0),"Lần " &amp; ROUNDUP(U705/20,0),"")</f>
        <v/>
      </c>
      <c r="AG705" s="11">
        <f>IF(ROUNDUP(V705/20,0)&gt;ROUNDUP(V704/20,0),"Lần " &amp; ROUNDUP(V705/20,0),"")</f>
        <v/>
      </c>
      <c r="AH705" s="11">
        <f>IF(ROUNDUP(W705/20,0)&gt;ROUNDUP(W704/20,0),"Lần " &amp; ROUNDUP(W705/20,0),"")</f>
        <v/>
      </c>
      <c r="AI705" s="11">
        <f>IF(ROUNDUP(X705/20,0)&gt;ROUNDUP(X704/20,0),"Lần " &amp; ROUNDUP(X705/20,0),"")</f>
        <v/>
      </c>
      <c r="AJ705" s="11">
        <f>IF(ROUNDUP(Y705/20,0)&gt;ROUNDUP(Y704/20,0),"Lần " &amp; ROUNDUP(Y705/20,0),"")</f>
        <v/>
      </c>
      <c r="AK705" s="11">
        <f>IF(ROUNDUP(Z705/20,0)&gt;ROUNDUP(Z704/20,0),"Lần " &amp; ROUNDUP(Z705/20,0),"")</f>
        <v/>
      </c>
      <c r="AL705" s="6" t="n"/>
      <c r="AN705" t="inlineStr">
        <is>
          <t>Coc</t>
        </is>
      </c>
      <c r="AO705" t="n">
        <v>23</v>
      </c>
    </row>
    <row r="706" ht="19" customHeight="1">
      <c r="A706" s="6" t="n">
        <v>670</v>
      </c>
      <c r="B706" s="7" t="inlineStr">
        <is>
          <t>Cọc khoan nhồi C1 Mố M2 (D1.2m, L=36.0m)</t>
        </is>
      </c>
      <c r="C706" s="7" t="inlineStr">
        <is>
          <t>Cọc mố M2 L=36m (tr.66)</t>
        </is>
      </c>
      <c r="D706" s="18" t="inlineStr">
        <is>
          <t>P3</t>
        </is>
      </c>
      <c r="E706" s="19" t="n">
        <v>28</v>
      </c>
      <c r="F706" s="6" t="inlineStr">
        <is>
          <t>CB400-V</t>
        </is>
      </c>
      <c r="G706" s="7" t="inlineStr"/>
      <c r="H706" s="20" t="n">
        <v>10.7</v>
      </c>
      <c r="I706" s="21" t="n">
        <v>12</v>
      </c>
      <c r="J706" s="22" t="n">
        <v>4.834</v>
      </c>
      <c r="K706" s="9">
        <f>ROUND(H706*I706*J706, 2)</f>
        <v/>
      </c>
      <c r="L706" s="23">
        <f>ROUND(K706/1000, 3)</f>
        <v/>
      </c>
      <c r="M706" s="8">
        <f>IF(AO706="","",IF(INDEX(Theo_Doi_Tan_Suat_Be_Tong!$C:$C,AO706)="","",INDEX(Theo_Doi_Tan_Suat_Be_Tong!$C:$C,AO706)-VLOOKUP(AN706,$AQ$2:$AR$7,2,FALSE)))</f>
        <v/>
      </c>
      <c r="N706" s="6" t="n"/>
      <c r="O706" s="24">
        <f>IF(ROUNDUP(X706/20,0)&gt;ROUNDUP(X705/20,0),"TN Ø28 (Lần " &amp; ROUNDUP(X706/20,0) &amp; ")","")</f>
        <v/>
      </c>
      <c r="P706" s="20">
        <f>ROUND(P705+IF(AND(E706&lt;=10,F706&lt;&gt;"ASTM A416"),L706,0),3)</f>
        <v/>
      </c>
      <c r="Q706" s="20">
        <f>ROUND(Q705+IF(AND(E706=12,F706&lt;&gt;"ASTM A416"),L706,0),3)</f>
        <v/>
      </c>
      <c r="R706" s="20">
        <f>ROUND(R705+IF(AND(E706=14,F706&lt;&gt;"ASTM A416"),L706,0),3)</f>
        <v/>
      </c>
      <c r="S706" s="20">
        <f>ROUND(S705+IF(AND(E706=16,F706&lt;&gt;"ASTM A416"),L706,0),3)</f>
        <v/>
      </c>
      <c r="T706" s="20">
        <f>ROUND(T705+IF(AND(E706=18,F706&lt;&gt;"ASTM A416"),L706,0),3)</f>
        <v/>
      </c>
      <c r="U706" s="20">
        <f>ROUND(U705+IF(AND(E706=20,F706&lt;&gt;"ASTM A416"),L706,0),3)</f>
        <v/>
      </c>
      <c r="V706" s="20">
        <f>ROUND(V705+IF(AND(E706=22,F706&lt;&gt;"ASTM A416"),L706,0),3)</f>
        <v/>
      </c>
      <c r="W706" s="20">
        <f>ROUND(W705+IF(AND(E706=25,F706&lt;&gt;"ASTM A416"),L706,0),3)</f>
        <v/>
      </c>
      <c r="X706" s="20">
        <f>ROUND(X705+IF(AND(E706=28,F706&lt;&gt;"ASTM A416"),L706,0),3)</f>
        <v/>
      </c>
      <c r="Y706" s="20">
        <f>ROUND(Y705+IF(AND(E706=32,F706&lt;&gt;"ASTM A416"),L706,0),3)</f>
        <v/>
      </c>
      <c r="Z706" s="20">
        <f>ROUND(Z705+IF(F706="ASTM A416",L706,0),3)</f>
        <v/>
      </c>
      <c r="AA706" s="11">
        <f>IF(ROUNDUP(P706/20,0)&gt;ROUNDUP(P705/20,0),"Lần " &amp; ROUNDUP(P706/20,0),"")</f>
        <v/>
      </c>
      <c r="AB706" s="11">
        <f>IF(ROUNDUP(Q706/20,0)&gt;ROUNDUP(Q705/20,0),"Lần " &amp; ROUNDUP(Q706/20,0),"")</f>
        <v/>
      </c>
      <c r="AC706" s="11">
        <f>IF(ROUNDUP(R706/20,0)&gt;ROUNDUP(R705/20,0),"Lần " &amp; ROUNDUP(R706/20,0),"")</f>
        <v/>
      </c>
      <c r="AD706" s="11">
        <f>IF(ROUNDUP(S706/20,0)&gt;ROUNDUP(S705/20,0),"Lần " &amp; ROUNDUP(S706/20,0),"")</f>
        <v/>
      </c>
      <c r="AE706" s="11">
        <f>IF(ROUNDUP(T706/20,0)&gt;ROUNDUP(T705/20,0),"Lần " &amp; ROUNDUP(T706/20,0),"")</f>
        <v/>
      </c>
      <c r="AF706" s="11">
        <f>IF(ROUNDUP(U706/20,0)&gt;ROUNDUP(U705/20,0),"Lần " &amp; ROUNDUP(U706/20,0),"")</f>
        <v/>
      </c>
      <c r="AG706" s="11">
        <f>IF(ROUNDUP(V706/20,0)&gt;ROUNDUP(V705/20,0),"Lần " &amp; ROUNDUP(V706/20,0),"")</f>
        <v/>
      </c>
      <c r="AH706" s="11">
        <f>IF(ROUNDUP(W706/20,0)&gt;ROUNDUP(W705/20,0),"Lần " &amp; ROUNDUP(W706/20,0),"")</f>
        <v/>
      </c>
      <c r="AI706" s="11">
        <f>IF(ROUNDUP(X706/20,0)&gt;ROUNDUP(X705/20,0),"Lần " &amp; ROUNDUP(X706/20,0),"")</f>
        <v/>
      </c>
      <c r="AJ706" s="11">
        <f>IF(ROUNDUP(Y706/20,0)&gt;ROUNDUP(Y705/20,0),"Lần " &amp; ROUNDUP(Y706/20,0),"")</f>
        <v/>
      </c>
      <c r="AK706" s="11">
        <f>IF(ROUNDUP(Z706/20,0)&gt;ROUNDUP(Z705/20,0),"Lần " &amp; ROUNDUP(Z706/20,0),"")</f>
        <v/>
      </c>
      <c r="AL706" s="6" t="n"/>
      <c r="AN706" t="inlineStr">
        <is>
          <t>Coc</t>
        </is>
      </c>
      <c r="AO706" t="n">
        <v>23</v>
      </c>
    </row>
    <row r="707" ht="19" customHeight="1">
      <c r="A707" s="6" t="n">
        <v>671</v>
      </c>
      <c r="B707" s="7" t="inlineStr">
        <is>
          <t>Cọc khoan nhồi C1 Mố M2 (D1.2m, L=36.0m)</t>
        </is>
      </c>
      <c r="C707" s="7" t="inlineStr">
        <is>
          <t>Cọc mố M2 L=36m (tr.66)</t>
        </is>
      </c>
      <c r="D707" s="18" t="inlineStr">
        <is>
          <t>P4</t>
        </is>
      </c>
      <c r="E707" s="19" t="n">
        <v>28</v>
      </c>
      <c r="F707" s="6" t="inlineStr">
        <is>
          <t>CB400-V</t>
        </is>
      </c>
      <c r="G707" s="7" t="inlineStr"/>
      <c r="H707" s="20" t="n">
        <v>11.7</v>
      </c>
      <c r="I707" s="21" t="n">
        <v>12</v>
      </c>
      <c r="J707" s="22" t="n">
        <v>4.834</v>
      </c>
      <c r="K707" s="9">
        <f>ROUND(H707*I707*J707, 2)</f>
        <v/>
      </c>
      <c r="L707" s="23">
        <f>ROUND(K707/1000, 3)</f>
        <v/>
      </c>
      <c r="M707" s="8">
        <f>IF(AO707="","",IF(INDEX(Theo_Doi_Tan_Suat_Be_Tong!$C:$C,AO707)="","",INDEX(Theo_Doi_Tan_Suat_Be_Tong!$C:$C,AO707)-VLOOKUP(AN707,$AQ$2:$AR$7,2,FALSE)))</f>
        <v/>
      </c>
      <c r="N707" s="6" t="n"/>
      <c r="O707" s="24">
        <f>IF(ROUNDUP(X707/20,0)&gt;ROUNDUP(X706/20,0),"TN Ø28 (Lần " &amp; ROUNDUP(X707/20,0) &amp; ")","")</f>
        <v/>
      </c>
      <c r="P707" s="20">
        <f>ROUND(P706+IF(AND(E707&lt;=10,F707&lt;&gt;"ASTM A416"),L707,0),3)</f>
        <v/>
      </c>
      <c r="Q707" s="20">
        <f>ROUND(Q706+IF(AND(E707=12,F707&lt;&gt;"ASTM A416"),L707,0),3)</f>
        <v/>
      </c>
      <c r="R707" s="20">
        <f>ROUND(R706+IF(AND(E707=14,F707&lt;&gt;"ASTM A416"),L707,0),3)</f>
        <v/>
      </c>
      <c r="S707" s="20">
        <f>ROUND(S706+IF(AND(E707=16,F707&lt;&gt;"ASTM A416"),L707,0),3)</f>
        <v/>
      </c>
      <c r="T707" s="20">
        <f>ROUND(T706+IF(AND(E707=18,F707&lt;&gt;"ASTM A416"),L707,0),3)</f>
        <v/>
      </c>
      <c r="U707" s="20">
        <f>ROUND(U706+IF(AND(E707=20,F707&lt;&gt;"ASTM A416"),L707,0),3)</f>
        <v/>
      </c>
      <c r="V707" s="20">
        <f>ROUND(V706+IF(AND(E707=22,F707&lt;&gt;"ASTM A416"),L707,0),3)</f>
        <v/>
      </c>
      <c r="W707" s="20">
        <f>ROUND(W706+IF(AND(E707=25,F707&lt;&gt;"ASTM A416"),L707,0),3)</f>
        <v/>
      </c>
      <c r="X707" s="20">
        <f>ROUND(X706+IF(AND(E707=28,F707&lt;&gt;"ASTM A416"),L707,0),3)</f>
        <v/>
      </c>
      <c r="Y707" s="20">
        <f>ROUND(Y706+IF(AND(E707=32,F707&lt;&gt;"ASTM A416"),L707,0),3)</f>
        <v/>
      </c>
      <c r="Z707" s="20">
        <f>ROUND(Z706+IF(F707="ASTM A416",L707,0),3)</f>
        <v/>
      </c>
      <c r="AA707" s="11">
        <f>IF(ROUNDUP(P707/20,0)&gt;ROUNDUP(P706/20,0),"Lần " &amp; ROUNDUP(P707/20,0),"")</f>
        <v/>
      </c>
      <c r="AB707" s="11">
        <f>IF(ROUNDUP(Q707/20,0)&gt;ROUNDUP(Q706/20,0),"Lần " &amp; ROUNDUP(Q707/20,0),"")</f>
        <v/>
      </c>
      <c r="AC707" s="11">
        <f>IF(ROUNDUP(R707/20,0)&gt;ROUNDUP(R706/20,0),"Lần " &amp; ROUNDUP(R707/20,0),"")</f>
        <v/>
      </c>
      <c r="AD707" s="11">
        <f>IF(ROUNDUP(S707/20,0)&gt;ROUNDUP(S706/20,0),"Lần " &amp; ROUNDUP(S707/20,0),"")</f>
        <v/>
      </c>
      <c r="AE707" s="11">
        <f>IF(ROUNDUP(T707/20,0)&gt;ROUNDUP(T706/20,0),"Lần " &amp; ROUNDUP(T707/20,0),"")</f>
        <v/>
      </c>
      <c r="AF707" s="11">
        <f>IF(ROUNDUP(U707/20,0)&gt;ROUNDUP(U706/20,0),"Lần " &amp; ROUNDUP(U707/20,0),"")</f>
        <v/>
      </c>
      <c r="AG707" s="11">
        <f>IF(ROUNDUP(V707/20,0)&gt;ROUNDUP(V706/20,0),"Lần " &amp; ROUNDUP(V707/20,0),"")</f>
        <v/>
      </c>
      <c r="AH707" s="11">
        <f>IF(ROUNDUP(W707/20,0)&gt;ROUNDUP(W706/20,0),"Lần " &amp; ROUNDUP(W707/20,0),"")</f>
        <v/>
      </c>
      <c r="AI707" s="11">
        <f>IF(ROUNDUP(X707/20,0)&gt;ROUNDUP(X706/20,0),"Lần " &amp; ROUNDUP(X707/20,0),"")</f>
        <v/>
      </c>
      <c r="AJ707" s="11">
        <f>IF(ROUNDUP(Y707/20,0)&gt;ROUNDUP(Y706/20,0),"Lần " &amp; ROUNDUP(Y707/20,0),"")</f>
        <v/>
      </c>
      <c r="AK707" s="11">
        <f>IF(ROUNDUP(Z707/20,0)&gt;ROUNDUP(Z706/20,0),"Lần " &amp; ROUNDUP(Z707/20,0),"")</f>
        <v/>
      </c>
      <c r="AL707" s="6" t="n"/>
      <c r="AN707" t="inlineStr">
        <is>
          <t>Coc</t>
        </is>
      </c>
      <c r="AO707" t="n">
        <v>23</v>
      </c>
    </row>
    <row r="708" ht="19" customHeight="1">
      <c r="A708" s="6" t="n">
        <v>672</v>
      </c>
      <c r="B708" s="7" t="inlineStr">
        <is>
          <t>Cọc khoan nhồi C1 Mố M2 (D1.2m, L=36.0m)</t>
        </is>
      </c>
      <c r="C708" s="7" t="inlineStr">
        <is>
          <t>Cọc mố M2 L=36m (tr.66)</t>
        </is>
      </c>
      <c r="D708" s="18" t="inlineStr">
        <is>
          <t>P5</t>
        </is>
      </c>
      <c r="E708" s="19" t="n">
        <v>25</v>
      </c>
      <c r="F708" s="6" t="inlineStr">
        <is>
          <t>CB400-V</t>
        </is>
      </c>
      <c r="G708" s="7" t="inlineStr"/>
      <c r="H708" s="20" t="n">
        <v>11.7</v>
      </c>
      <c r="I708" s="21" t="n">
        <v>48</v>
      </c>
      <c r="J708" s="22" t="n">
        <v>3.853</v>
      </c>
      <c r="K708" s="9">
        <f>ROUND(H708*I708*J708, 2)</f>
        <v/>
      </c>
      <c r="L708" s="23">
        <f>ROUND(K708/1000, 3)</f>
        <v/>
      </c>
      <c r="M708" s="8">
        <f>IF(AO708="","",IF(INDEX(Theo_Doi_Tan_Suat_Be_Tong!$C:$C,AO708)="","",INDEX(Theo_Doi_Tan_Suat_Be_Tong!$C:$C,AO708)-VLOOKUP(AN708,$AQ$2:$AR$7,2,FALSE)))</f>
        <v/>
      </c>
      <c r="N708" s="6" t="n"/>
      <c r="O708" s="24">
        <f>IF(ROUNDUP(W708/20,0)&gt;ROUNDUP(W707/20,0),"TN Ø25 (Lần " &amp; ROUNDUP(W708/20,0) &amp; ")","")</f>
        <v/>
      </c>
      <c r="P708" s="20">
        <f>ROUND(P707+IF(AND(E708&lt;=10,F708&lt;&gt;"ASTM A416"),L708,0),3)</f>
        <v/>
      </c>
      <c r="Q708" s="20">
        <f>ROUND(Q707+IF(AND(E708=12,F708&lt;&gt;"ASTM A416"),L708,0),3)</f>
        <v/>
      </c>
      <c r="R708" s="20">
        <f>ROUND(R707+IF(AND(E708=14,F708&lt;&gt;"ASTM A416"),L708,0),3)</f>
        <v/>
      </c>
      <c r="S708" s="20">
        <f>ROUND(S707+IF(AND(E708=16,F708&lt;&gt;"ASTM A416"),L708,0),3)</f>
        <v/>
      </c>
      <c r="T708" s="20">
        <f>ROUND(T707+IF(AND(E708=18,F708&lt;&gt;"ASTM A416"),L708,0),3)</f>
        <v/>
      </c>
      <c r="U708" s="20">
        <f>ROUND(U707+IF(AND(E708=20,F708&lt;&gt;"ASTM A416"),L708,0),3)</f>
        <v/>
      </c>
      <c r="V708" s="20">
        <f>ROUND(V707+IF(AND(E708=22,F708&lt;&gt;"ASTM A416"),L708,0),3)</f>
        <v/>
      </c>
      <c r="W708" s="20">
        <f>ROUND(W707+IF(AND(E708=25,F708&lt;&gt;"ASTM A416"),L708,0),3)</f>
        <v/>
      </c>
      <c r="X708" s="20">
        <f>ROUND(X707+IF(AND(E708=28,F708&lt;&gt;"ASTM A416"),L708,0),3)</f>
        <v/>
      </c>
      <c r="Y708" s="20">
        <f>ROUND(Y707+IF(AND(E708=32,F708&lt;&gt;"ASTM A416"),L708,0),3)</f>
        <v/>
      </c>
      <c r="Z708" s="20">
        <f>ROUND(Z707+IF(F708="ASTM A416",L708,0),3)</f>
        <v/>
      </c>
      <c r="AA708" s="11">
        <f>IF(ROUNDUP(P708/20,0)&gt;ROUNDUP(P707/20,0),"Lần " &amp; ROUNDUP(P708/20,0),"")</f>
        <v/>
      </c>
      <c r="AB708" s="11">
        <f>IF(ROUNDUP(Q708/20,0)&gt;ROUNDUP(Q707/20,0),"Lần " &amp; ROUNDUP(Q708/20,0),"")</f>
        <v/>
      </c>
      <c r="AC708" s="11">
        <f>IF(ROUNDUP(R708/20,0)&gt;ROUNDUP(R707/20,0),"Lần " &amp; ROUNDUP(R708/20,0),"")</f>
        <v/>
      </c>
      <c r="AD708" s="11">
        <f>IF(ROUNDUP(S708/20,0)&gt;ROUNDUP(S707/20,0),"Lần " &amp; ROUNDUP(S708/20,0),"")</f>
        <v/>
      </c>
      <c r="AE708" s="11">
        <f>IF(ROUNDUP(T708/20,0)&gt;ROUNDUP(T707/20,0),"Lần " &amp; ROUNDUP(T708/20,0),"")</f>
        <v/>
      </c>
      <c r="AF708" s="11">
        <f>IF(ROUNDUP(U708/20,0)&gt;ROUNDUP(U707/20,0),"Lần " &amp; ROUNDUP(U708/20,0),"")</f>
        <v/>
      </c>
      <c r="AG708" s="11">
        <f>IF(ROUNDUP(V708/20,0)&gt;ROUNDUP(V707/20,0),"Lần " &amp; ROUNDUP(V708/20,0),"")</f>
        <v/>
      </c>
      <c r="AH708" s="11">
        <f>IF(ROUNDUP(W708/20,0)&gt;ROUNDUP(W707/20,0),"Lần " &amp; ROUNDUP(W708/20,0),"")</f>
        <v/>
      </c>
      <c r="AI708" s="11">
        <f>IF(ROUNDUP(X708/20,0)&gt;ROUNDUP(X707/20,0),"Lần " &amp; ROUNDUP(X708/20,0),"")</f>
        <v/>
      </c>
      <c r="AJ708" s="11">
        <f>IF(ROUNDUP(Y708/20,0)&gt;ROUNDUP(Y707/20,0),"Lần " &amp; ROUNDUP(Y708/20,0),"")</f>
        <v/>
      </c>
      <c r="AK708" s="11">
        <f>IF(ROUNDUP(Z708/20,0)&gt;ROUNDUP(Z707/20,0),"Lần " &amp; ROUNDUP(Z708/20,0),"")</f>
        <v/>
      </c>
      <c r="AL708" s="6" t="n"/>
      <c r="AN708" t="inlineStr">
        <is>
          <t>Coc</t>
        </is>
      </c>
      <c r="AO708" t="n">
        <v>23</v>
      </c>
    </row>
    <row r="709" ht="19" customHeight="1">
      <c r="A709" s="6" t="n">
        <v>673</v>
      </c>
      <c r="B709" s="7" t="inlineStr">
        <is>
          <t>Cọc khoan nhồi C1 Mố M2 (D1.2m, L=36.0m)</t>
        </is>
      </c>
      <c r="C709" s="7" t="inlineStr">
        <is>
          <t>Cọc mố M2 L=36m (tr.66)</t>
        </is>
      </c>
      <c r="D709" s="18" t="inlineStr">
        <is>
          <t>P6</t>
        </is>
      </c>
      <c r="E709" s="19" t="n">
        <v>25</v>
      </c>
      <c r="F709" s="6" t="inlineStr">
        <is>
          <t>CB400-V</t>
        </is>
      </c>
      <c r="G709" s="7" t="inlineStr"/>
      <c r="H709" s="20" t="n">
        <v>5.153</v>
      </c>
      <c r="I709" s="21" t="n">
        <v>12</v>
      </c>
      <c r="J709" s="22" t="n">
        <v>3.853</v>
      </c>
      <c r="K709" s="9">
        <f>ROUND(H709*I709*J709, 2)</f>
        <v/>
      </c>
      <c r="L709" s="23">
        <f>ROUND(K709/1000, 3)</f>
        <v/>
      </c>
      <c r="M709" s="8">
        <f>IF(AO709="","",IF(INDEX(Theo_Doi_Tan_Suat_Be_Tong!$C:$C,AO709)="","",INDEX(Theo_Doi_Tan_Suat_Be_Tong!$C:$C,AO709)-VLOOKUP(AN709,$AQ$2:$AR$7,2,FALSE)))</f>
        <v/>
      </c>
      <c r="N709" s="6" t="n"/>
      <c r="O709" s="24">
        <f>IF(ROUNDUP(W709/20,0)&gt;ROUNDUP(W708/20,0),"TN Ø25 (Lần " &amp; ROUNDUP(W709/20,0) &amp; ")","")</f>
        <v/>
      </c>
      <c r="P709" s="20">
        <f>ROUND(P708+IF(AND(E709&lt;=10,F709&lt;&gt;"ASTM A416"),L709,0),3)</f>
        <v/>
      </c>
      <c r="Q709" s="20">
        <f>ROUND(Q708+IF(AND(E709=12,F709&lt;&gt;"ASTM A416"),L709,0),3)</f>
        <v/>
      </c>
      <c r="R709" s="20">
        <f>ROUND(R708+IF(AND(E709=14,F709&lt;&gt;"ASTM A416"),L709,0),3)</f>
        <v/>
      </c>
      <c r="S709" s="20">
        <f>ROUND(S708+IF(AND(E709=16,F709&lt;&gt;"ASTM A416"),L709,0),3)</f>
        <v/>
      </c>
      <c r="T709" s="20">
        <f>ROUND(T708+IF(AND(E709=18,F709&lt;&gt;"ASTM A416"),L709,0),3)</f>
        <v/>
      </c>
      <c r="U709" s="20">
        <f>ROUND(U708+IF(AND(E709=20,F709&lt;&gt;"ASTM A416"),L709,0),3)</f>
        <v/>
      </c>
      <c r="V709" s="20">
        <f>ROUND(V708+IF(AND(E709=22,F709&lt;&gt;"ASTM A416"),L709,0),3)</f>
        <v/>
      </c>
      <c r="W709" s="20">
        <f>ROUND(W708+IF(AND(E709=25,F709&lt;&gt;"ASTM A416"),L709,0),3)</f>
        <v/>
      </c>
      <c r="X709" s="20">
        <f>ROUND(X708+IF(AND(E709=28,F709&lt;&gt;"ASTM A416"),L709,0),3)</f>
        <v/>
      </c>
      <c r="Y709" s="20">
        <f>ROUND(Y708+IF(AND(E709=32,F709&lt;&gt;"ASTM A416"),L709,0),3)</f>
        <v/>
      </c>
      <c r="Z709" s="20">
        <f>ROUND(Z708+IF(F709="ASTM A416",L709,0),3)</f>
        <v/>
      </c>
      <c r="AA709" s="11">
        <f>IF(ROUNDUP(P709/20,0)&gt;ROUNDUP(P708/20,0),"Lần " &amp; ROUNDUP(P709/20,0),"")</f>
        <v/>
      </c>
      <c r="AB709" s="11">
        <f>IF(ROUNDUP(Q709/20,0)&gt;ROUNDUP(Q708/20,0),"Lần " &amp; ROUNDUP(Q709/20,0),"")</f>
        <v/>
      </c>
      <c r="AC709" s="11">
        <f>IF(ROUNDUP(R709/20,0)&gt;ROUNDUP(R708/20,0),"Lần " &amp; ROUNDUP(R709/20,0),"")</f>
        <v/>
      </c>
      <c r="AD709" s="11">
        <f>IF(ROUNDUP(S709/20,0)&gt;ROUNDUP(S708/20,0),"Lần " &amp; ROUNDUP(S709/20,0),"")</f>
        <v/>
      </c>
      <c r="AE709" s="11">
        <f>IF(ROUNDUP(T709/20,0)&gt;ROUNDUP(T708/20,0),"Lần " &amp; ROUNDUP(T709/20,0),"")</f>
        <v/>
      </c>
      <c r="AF709" s="11">
        <f>IF(ROUNDUP(U709/20,0)&gt;ROUNDUP(U708/20,0),"Lần " &amp; ROUNDUP(U709/20,0),"")</f>
        <v/>
      </c>
      <c r="AG709" s="11">
        <f>IF(ROUNDUP(V709/20,0)&gt;ROUNDUP(V708/20,0),"Lần " &amp; ROUNDUP(V709/20,0),"")</f>
        <v/>
      </c>
      <c r="AH709" s="11">
        <f>IF(ROUNDUP(W709/20,0)&gt;ROUNDUP(W708/20,0),"Lần " &amp; ROUNDUP(W709/20,0),"")</f>
        <v/>
      </c>
      <c r="AI709" s="11">
        <f>IF(ROUNDUP(X709/20,0)&gt;ROUNDUP(X708/20,0),"Lần " &amp; ROUNDUP(X709/20,0),"")</f>
        <v/>
      </c>
      <c r="AJ709" s="11">
        <f>IF(ROUNDUP(Y709/20,0)&gt;ROUNDUP(Y708/20,0),"Lần " &amp; ROUNDUP(Y709/20,0),"")</f>
        <v/>
      </c>
      <c r="AK709" s="11">
        <f>IF(ROUNDUP(Z709/20,0)&gt;ROUNDUP(Z708/20,0),"Lần " &amp; ROUNDUP(Z709/20,0),"")</f>
        <v/>
      </c>
      <c r="AL709" s="6" t="n"/>
      <c r="AN709" t="inlineStr">
        <is>
          <t>Coc</t>
        </is>
      </c>
      <c r="AO709" t="n">
        <v>23</v>
      </c>
    </row>
    <row r="710" ht="19" customHeight="1">
      <c r="A710" s="6" t="n">
        <v>674</v>
      </c>
      <c r="B710" s="7" t="inlineStr">
        <is>
          <t>Cọc khoan nhồi C1 Mố M2 (D1.2m, L=36.0m)</t>
        </is>
      </c>
      <c r="C710" s="7" t="inlineStr">
        <is>
          <t>Cọc mố M2 L=36m (tr.66)</t>
        </is>
      </c>
      <c r="D710" s="18" t="inlineStr">
        <is>
          <t>P7</t>
        </is>
      </c>
      <c r="E710" s="19" t="n">
        <v>25</v>
      </c>
      <c r="F710" s="6" t="inlineStr">
        <is>
          <t>CB400-V</t>
        </is>
      </c>
      <c r="G710" s="7" t="inlineStr"/>
      <c r="H710" s="20" t="n">
        <v>6.153</v>
      </c>
      <c r="I710" s="21" t="n">
        <v>12</v>
      </c>
      <c r="J710" s="22" t="n">
        <v>3.853</v>
      </c>
      <c r="K710" s="9">
        <f>ROUND(H710*I710*J710, 2)</f>
        <v/>
      </c>
      <c r="L710" s="23">
        <f>ROUND(K710/1000, 3)</f>
        <v/>
      </c>
      <c r="M710" s="8">
        <f>IF(AO710="","",IF(INDEX(Theo_Doi_Tan_Suat_Be_Tong!$C:$C,AO710)="","",INDEX(Theo_Doi_Tan_Suat_Be_Tong!$C:$C,AO710)-VLOOKUP(AN710,$AQ$2:$AR$7,2,FALSE)))</f>
        <v/>
      </c>
      <c r="N710" s="6" t="n"/>
      <c r="O710" s="24">
        <f>IF(ROUNDUP(W710/20,0)&gt;ROUNDUP(W709/20,0),"TN Ø25 (Lần " &amp; ROUNDUP(W710/20,0) &amp; ")","")</f>
        <v/>
      </c>
      <c r="P710" s="20">
        <f>ROUND(P709+IF(AND(E710&lt;=10,F710&lt;&gt;"ASTM A416"),L710,0),3)</f>
        <v/>
      </c>
      <c r="Q710" s="20">
        <f>ROUND(Q709+IF(AND(E710=12,F710&lt;&gt;"ASTM A416"),L710,0),3)</f>
        <v/>
      </c>
      <c r="R710" s="20">
        <f>ROUND(R709+IF(AND(E710=14,F710&lt;&gt;"ASTM A416"),L710,0),3)</f>
        <v/>
      </c>
      <c r="S710" s="20">
        <f>ROUND(S709+IF(AND(E710=16,F710&lt;&gt;"ASTM A416"),L710,0),3)</f>
        <v/>
      </c>
      <c r="T710" s="20">
        <f>ROUND(T709+IF(AND(E710=18,F710&lt;&gt;"ASTM A416"),L710,0),3)</f>
        <v/>
      </c>
      <c r="U710" s="20">
        <f>ROUND(U709+IF(AND(E710=20,F710&lt;&gt;"ASTM A416"),L710,0),3)</f>
        <v/>
      </c>
      <c r="V710" s="20">
        <f>ROUND(V709+IF(AND(E710=22,F710&lt;&gt;"ASTM A416"),L710,0),3)</f>
        <v/>
      </c>
      <c r="W710" s="20">
        <f>ROUND(W709+IF(AND(E710=25,F710&lt;&gt;"ASTM A416"),L710,0),3)</f>
        <v/>
      </c>
      <c r="X710" s="20">
        <f>ROUND(X709+IF(AND(E710=28,F710&lt;&gt;"ASTM A416"),L710,0),3)</f>
        <v/>
      </c>
      <c r="Y710" s="20">
        <f>ROUND(Y709+IF(AND(E710=32,F710&lt;&gt;"ASTM A416"),L710,0),3)</f>
        <v/>
      </c>
      <c r="Z710" s="20">
        <f>ROUND(Z709+IF(F710="ASTM A416",L710,0),3)</f>
        <v/>
      </c>
      <c r="AA710" s="11">
        <f>IF(ROUNDUP(P710/20,0)&gt;ROUNDUP(P709/20,0),"Lần " &amp; ROUNDUP(P710/20,0),"")</f>
        <v/>
      </c>
      <c r="AB710" s="11">
        <f>IF(ROUNDUP(Q710/20,0)&gt;ROUNDUP(Q709/20,0),"Lần " &amp; ROUNDUP(Q710/20,0),"")</f>
        <v/>
      </c>
      <c r="AC710" s="11">
        <f>IF(ROUNDUP(R710/20,0)&gt;ROUNDUP(R709/20,0),"Lần " &amp; ROUNDUP(R710/20,0),"")</f>
        <v/>
      </c>
      <c r="AD710" s="11">
        <f>IF(ROUNDUP(S710/20,0)&gt;ROUNDUP(S709/20,0),"Lần " &amp; ROUNDUP(S710/20,0),"")</f>
        <v/>
      </c>
      <c r="AE710" s="11">
        <f>IF(ROUNDUP(T710/20,0)&gt;ROUNDUP(T709/20,0),"Lần " &amp; ROUNDUP(T710/20,0),"")</f>
        <v/>
      </c>
      <c r="AF710" s="11">
        <f>IF(ROUNDUP(U710/20,0)&gt;ROUNDUP(U709/20,0),"Lần " &amp; ROUNDUP(U710/20,0),"")</f>
        <v/>
      </c>
      <c r="AG710" s="11">
        <f>IF(ROUNDUP(V710/20,0)&gt;ROUNDUP(V709/20,0),"Lần " &amp; ROUNDUP(V710/20,0),"")</f>
        <v/>
      </c>
      <c r="AH710" s="11">
        <f>IF(ROUNDUP(W710/20,0)&gt;ROUNDUP(W709/20,0),"Lần " &amp; ROUNDUP(W710/20,0),"")</f>
        <v/>
      </c>
      <c r="AI710" s="11">
        <f>IF(ROUNDUP(X710/20,0)&gt;ROUNDUP(X709/20,0),"Lần " &amp; ROUNDUP(X710/20,0),"")</f>
        <v/>
      </c>
      <c r="AJ710" s="11">
        <f>IF(ROUNDUP(Y710/20,0)&gt;ROUNDUP(Y709/20,0),"Lần " &amp; ROUNDUP(Y710/20,0),"")</f>
        <v/>
      </c>
      <c r="AK710" s="11">
        <f>IF(ROUNDUP(Z710/20,0)&gt;ROUNDUP(Z709/20,0),"Lần " &amp; ROUNDUP(Z710/20,0),"")</f>
        <v/>
      </c>
      <c r="AL710" s="6" t="n"/>
      <c r="AN710" t="inlineStr">
        <is>
          <t>Coc</t>
        </is>
      </c>
      <c r="AO710" t="n">
        <v>23</v>
      </c>
    </row>
    <row r="711" ht="19" customHeight="1">
      <c r="A711" s="6" t="n">
        <v>675</v>
      </c>
      <c r="B711" s="7" t="inlineStr">
        <is>
          <t>Cọc khoan nhồi C1 Mố M2 (D1.2m, L=36.0m)</t>
        </is>
      </c>
      <c r="C711" s="7" t="inlineStr">
        <is>
          <t>Cọc mố M2 L=36m (tr.66)</t>
        </is>
      </c>
      <c r="D711" s="18" t="inlineStr">
        <is>
          <t>P8</t>
        </is>
      </c>
      <c r="E711" s="19" t="n">
        <v>12</v>
      </c>
      <c r="F711" s="6" t="inlineStr">
        <is>
          <t>CB400-V</t>
        </is>
      </c>
      <c r="G711" s="7" t="inlineStr"/>
      <c r="H711" s="20" t="n">
        <v>0.647</v>
      </c>
      <c r="I711" s="21" t="n">
        <v>15</v>
      </c>
      <c r="J711" s="22" t="n">
        <v>0.888</v>
      </c>
      <c r="K711" s="9">
        <f>ROUND(H711*I711*J711, 2)</f>
        <v/>
      </c>
      <c r="L711" s="23">
        <f>ROUND(K711/1000, 3)</f>
        <v/>
      </c>
      <c r="M711" s="8">
        <f>IF(AO711="","",IF(INDEX(Theo_Doi_Tan_Suat_Be_Tong!$C:$C,AO711)="","",INDEX(Theo_Doi_Tan_Suat_Be_Tong!$C:$C,AO711)-VLOOKUP(AN711,$AQ$2:$AR$7,2,FALSE)))</f>
        <v/>
      </c>
      <c r="N711" s="6" t="n"/>
      <c r="O711" s="24">
        <f>IF(ROUNDUP(Q711/20,0)&gt;ROUNDUP(Q710/20,0),"TN Ø12 (Lần " &amp; ROUNDUP(Q711/20,0) &amp; ")","")</f>
        <v/>
      </c>
      <c r="P711" s="20">
        <f>ROUND(P710+IF(AND(E711&lt;=10,F711&lt;&gt;"ASTM A416"),L711,0),3)</f>
        <v/>
      </c>
      <c r="Q711" s="20">
        <f>ROUND(Q710+IF(AND(E711=12,F711&lt;&gt;"ASTM A416"),L711,0),3)</f>
        <v/>
      </c>
      <c r="R711" s="20">
        <f>ROUND(R710+IF(AND(E711=14,F711&lt;&gt;"ASTM A416"),L711,0),3)</f>
        <v/>
      </c>
      <c r="S711" s="20">
        <f>ROUND(S710+IF(AND(E711=16,F711&lt;&gt;"ASTM A416"),L711,0),3)</f>
        <v/>
      </c>
      <c r="T711" s="20">
        <f>ROUND(T710+IF(AND(E711=18,F711&lt;&gt;"ASTM A416"),L711,0),3)</f>
        <v/>
      </c>
      <c r="U711" s="20">
        <f>ROUND(U710+IF(AND(E711=20,F711&lt;&gt;"ASTM A416"),L711,0),3)</f>
        <v/>
      </c>
      <c r="V711" s="20">
        <f>ROUND(V710+IF(AND(E711=22,F711&lt;&gt;"ASTM A416"),L711,0),3)</f>
        <v/>
      </c>
      <c r="W711" s="20">
        <f>ROUND(W710+IF(AND(E711=25,F711&lt;&gt;"ASTM A416"),L711,0),3)</f>
        <v/>
      </c>
      <c r="X711" s="20">
        <f>ROUND(X710+IF(AND(E711=28,F711&lt;&gt;"ASTM A416"),L711,0),3)</f>
        <v/>
      </c>
      <c r="Y711" s="20">
        <f>ROUND(Y710+IF(AND(E711=32,F711&lt;&gt;"ASTM A416"),L711,0),3)</f>
        <v/>
      </c>
      <c r="Z711" s="20">
        <f>ROUND(Z710+IF(F711="ASTM A416",L711,0),3)</f>
        <v/>
      </c>
      <c r="AA711" s="11">
        <f>IF(ROUNDUP(P711/20,0)&gt;ROUNDUP(P710/20,0),"Lần " &amp; ROUNDUP(P711/20,0),"")</f>
        <v/>
      </c>
      <c r="AB711" s="11">
        <f>IF(ROUNDUP(Q711/20,0)&gt;ROUNDUP(Q710/20,0),"Lần " &amp; ROUNDUP(Q711/20,0),"")</f>
        <v/>
      </c>
      <c r="AC711" s="11">
        <f>IF(ROUNDUP(R711/20,0)&gt;ROUNDUP(R710/20,0),"Lần " &amp; ROUNDUP(R711/20,0),"")</f>
        <v/>
      </c>
      <c r="AD711" s="11">
        <f>IF(ROUNDUP(S711/20,0)&gt;ROUNDUP(S710/20,0),"Lần " &amp; ROUNDUP(S711/20,0),"")</f>
        <v/>
      </c>
      <c r="AE711" s="11">
        <f>IF(ROUNDUP(T711/20,0)&gt;ROUNDUP(T710/20,0),"Lần " &amp; ROUNDUP(T711/20,0),"")</f>
        <v/>
      </c>
      <c r="AF711" s="11">
        <f>IF(ROUNDUP(U711/20,0)&gt;ROUNDUP(U710/20,0),"Lần " &amp; ROUNDUP(U711/20,0),"")</f>
        <v/>
      </c>
      <c r="AG711" s="11">
        <f>IF(ROUNDUP(V711/20,0)&gt;ROUNDUP(V710/20,0),"Lần " &amp; ROUNDUP(V711/20,0),"")</f>
        <v/>
      </c>
      <c r="AH711" s="11">
        <f>IF(ROUNDUP(W711/20,0)&gt;ROUNDUP(W710/20,0),"Lần " &amp; ROUNDUP(W711/20,0),"")</f>
        <v/>
      </c>
      <c r="AI711" s="11">
        <f>IF(ROUNDUP(X711/20,0)&gt;ROUNDUP(X710/20,0),"Lần " &amp; ROUNDUP(X711/20,0),"")</f>
        <v/>
      </c>
      <c r="AJ711" s="11">
        <f>IF(ROUNDUP(Y711/20,0)&gt;ROUNDUP(Y710/20,0),"Lần " &amp; ROUNDUP(Y711/20,0),"")</f>
        <v/>
      </c>
      <c r="AK711" s="11">
        <f>IF(ROUNDUP(Z711/20,0)&gt;ROUNDUP(Z710/20,0),"Lần " &amp; ROUNDUP(Z711/20,0),"")</f>
        <v/>
      </c>
      <c r="AL711" s="6" t="n"/>
      <c r="AN711" t="inlineStr">
        <is>
          <t>Coc</t>
        </is>
      </c>
      <c r="AO711" t="n">
        <v>23</v>
      </c>
    </row>
    <row r="712" ht="19" customHeight="1">
      <c r="A712" s="6" t="n">
        <v>676</v>
      </c>
      <c r="B712" s="7" t="inlineStr">
        <is>
          <t>Cọc khoan nhồi C1 Mố M2 (D1.2m, L=36.0m)</t>
        </is>
      </c>
      <c r="C712" s="7" t="inlineStr">
        <is>
          <t>Cọc mố M2 L=36m (tr.66)</t>
        </is>
      </c>
      <c r="D712" s="18" t="inlineStr">
        <is>
          <t>P9</t>
        </is>
      </c>
      <c r="E712" s="19" t="n">
        <v>12</v>
      </c>
      <c r="F712" s="6" t="inlineStr">
        <is>
          <t>CB400-V</t>
        </is>
      </c>
      <c r="G712" s="7" t="inlineStr"/>
      <c r="H712" s="20" t="n">
        <v>0.379</v>
      </c>
      <c r="I712" s="21" t="n">
        <v>45</v>
      </c>
      <c r="J712" s="22" t="n">
        <v>0.888</v>
      </c>
      <c r="K712" s="9">
        <f>ROUND(H712*I712*J712, 2)</f>
        <v/>
      </c>
      <c r="L712" s="23">
        <f>ROUND(K712/1000, 3)</f>
        <v/>
      </c>
      <c r="M712" s="8">
        <f>IF(AO712="","",IF(INDEX(Theo_Doi_Tan_Suat_Be_Tong!$C:$C,AO712)="","",INDEX(Theo_Doi_Tan_Suat_Be_Tong!$C:$C,AO712)-VLOOKUP(AN712,$AQ$2:$AR$7,2,FALSE)))</f>
        <v/>
      </c>
      <c r="N712" s="6" t="n"/>
      <c r="O712" s="24">
        <f>IF(ROUNDUP(Q712/20,0)&gt;ROUNDUP(Q711/20,0),"TN Ø12 (Lần " &amp; ROUNDUP(Q712/20,0) &amp; ")","")</f>
        <v/>
      </c>
      <c r="P712" s="20">
        <f>ROUND(P711+IF(AND(E712&lt;=10,F712&lt;&gt;"ASTM A416"),L712,0),3)</f>
        <v/>
      </c>
      <c r="Q712" s="20">
        <f>ROUND(Q711+IF(AND(E712=12,F712&lt;&gt;"ASTM A416"),L712,0),3)</f>
        <v/>
      </c>
      <c r="R712" s="20">
        <f>ROUND(R711+IF(AND(E712=14,F712&lt;&gt;"ASTM A416"),L712,0),3)</f>
        <v/>
      </c>
      <c r="S712" s="20">
        <f>ROUND(S711+IF(AND(E712=16,F712&lt;&gt;"ASTM A416"),L712,0),3)</f>
        <v/>
      </c>
      <c r="T712" s="20">
        <f>ROUND(T711+IF(AND(E712=18,F712&lt;&gt;"ASTM A416"),L712,0),3)</f>
        <v/>
      </c>
      <c r="U712" s="20">
        <f>ROUND(U711+IF(AND(E712=20,F712&lt;&gt;"ASTM A416"),L712,0),3)</f>
        <v/>
      </c>
      <c r="V712" s="20">
        <f>ROUND(V711+IF(AND(E712=22,F712&lt;&gt;"ASTM A416"),L712,0),3)</f>
        <v/>
      </c>
      <c r="W712" s="20">
        <f>ROUND(W711+IF(AND(E712=25,F712&lt;&gt;"ASTM A416"),L712,0),3)</f>
        <v/>
      </c>
      <c r="X712" s="20">
        <f>ROUND(X711+IF(AND(E712=28,F712&lt;&gt;"ASTM A416"),L712,0),3)</f>
        <v/>
      </c>
      <c r="Y712" s="20">
        <f>ROUND(Y711+IF(AND(E712=32,F712&lt;&gt;"ASTM A416"),L712,0),3)</f>
        <v/>
      </c>
      <c r="Z712" s="20">
        <f>ROUND(Z711+IF(F712="ASTM A416",L712,0),3)</f>
        <v/>
      </c>
      <c r="AA712" s="11">
        <f>IF(ROUNDUP(P712/20,0)&gt;ROUNDUP(P711/20,0),"Lần " &amp; ROUNDUP(P712/20,0),"")</f>
        <v/>
      </c>
      <c r="AB712" s="11">
        <f>IF(ROUNDUP(Q712/20,0)&gt;ROUNDUP(Q711/20,0),"Lần " &amp; ROUNDUP(Q712/20,0),"")</f>
        <v/>
      </c>
      <c r="AC712" s="11">
        <f>IF(ROUNDUP(R712/20,0)&gt;ROUNDUP(R711/20,0),"Lần " &amp; ROUNDUP(R712/20,0),"")</f>
        <v/>
      </c>
      <c r="AD712" s="11">
        <f>IF(ROUNDUP(S712/20,0)&gt;ROUNDUP(S711/20,0),"Lần " &amp; ROUNDUP(S712/20,0),"")</f>
        <v/>
      </c>
      <c r="AE712" s="11">
        <f>IF(ROUNDUP(T712/20,0)&gt;ROUNDUP(T711/20,0),"Lần " &amp; ROUNDUP(T712/20,0),"")</f>
        <v/>
      </c>
      <c r="AF712" s="11">
        <f>IF(ROUNDUP(U712/20,0)&gt;ROUNDUP(U711/20,0),"Lần " &amp; ROUNDUP(U712/20,0),"")</f>
        <v/>
      </c>
      <c r="AG712" s="11">
        <f>IF(ROUNDUP(V712/20,0)&gt;ROUNDUP(V711/20,0),"Lần " &amp; ROUNDUP(V712/20,0),"")</f>
        <v/>
      </c>
      <c r="AH712" s="11">
        <f>IF(ROUNDUP(W712/20,0)&gt;ROUNDUP(W711/20,0),"Lần " &amp; ROUNDUP(W712/20,0),"")</f>
        <v/>
      </c>
      <c r="AI712" s="11">
        <f>IF(ROUNDUP(X712/20,0)&gt;ROUNDUP(X711/20,0),"Lần " &amp; ROUNDUP(X712/20,0),"")</f>
        <v/>
      </c>
      <c r="AJ712" s="11">
        <f>IF(ROUNDUP(Y712/20,0)&gt;ROUNDUP(Y711/20,0),"Lần " &amp; ROUNDUP(Y712/20,0),"")</f>
        <v/>
      </c>
      <c r="AK712" s="11">
        <f>IF(ROUNDUP(Z712/20,0)&gt;ROUNDUP(Z711/20,0),"Lần " &amp; ROUNDUP(Z712/20,0),"")</f>
        <v/>
      </c>
      <c r="AL712" s="6" t="n"/>
      <c r="AN712" t="inlineStr">
        <is>
          <t>Coc</t>
        </is>
      </c>
      <c r="AO712" t="n">
        <v>23</v>
      </c>
    </row>
    <row r="713" ht="19" customHeight="1">
      <c r="A713" s="6" t="n">
        <v>677</v>
      </c>
      <c r="B713" s="7" t="inlineStr">
        <is>
          <t>Cọc khoan nhồi C1 Mố M2 (D1.2m, L=36.0m)</t>
        </is>
      </c>
      <c r="C713" s="7" t="inlineStr">
        <is>
          <t>Cọc mố M2 L=36m (tr.66)</t>
        </is>
      </c>
      <c r="D713" s="18" t="inlineStr">
        <is>
          <t>P10</t>
        </is>
      </c>
      <c r="E713" s="19" t="n">
        <v>20</v>
      </c>
      <c r="F713" s="6" t="inlineStr">
        <is>
          <t>CB400-V</t>
        </is>
      </c>
      <c r="G713" s="7" t="inlineStr"/>
      <c r="H713" s="20" t="n">
        <v>2.057</v>
      </c>
      <c r="I713" s="21" t="n">
        <v>1</v>
      </c>
      <c r="J713" s="22" t="n">
        <v>2.466</v>
      </c>
      <c r="K713" s="9">
        <f>ROUND(H713*I713*J713, 2)</f>
        <v/>
      </c>
      <c r="L713" s="23">
        <f>ROUND(K713/1000, 3)</f>
        <v/>
      </c>
      <c r="M713" s="8">
        <f>IF(AO713="","",IF(INDEX(Theo_Doi_Tan_Suat_Be_Tong!$C:$C,AO713)="","",INDEX(Theo_Doi_Tan_Suat_Be_Tong!$C:$C,AO713)-VLOOKUP(AN713,$AQ$2:$AR$7,2,FALSE)))</f>
        <v/>
      </c>
      <c r="N713" s="6" t="n"/>
      <c r="O713" s="24">
        <f>IF(ROUNDUP(U713/20,0)&gt;ROUNDUP(U712/20,0),"TN Ø20 (Lần " &amp; ROUNDUP(U713/20,0) &amp; ")","")</f>
        <v/>
      </c>
      <c r="P713" s="20">
        <f>ROUND(P712+IF(AND(E713&lt;=10,F713&lt;&gt;"ASTM A416"),L713,0),3)</f>
        <v/>
      </c>
      <c r="Q713" s="20">
        <f>ROUND(Q712+IF(AND(E713=12,F713&lt;&gt;"ASTM A416"),L713,0),3)</f>
        <v/>
      </c>
      <c r="R713" s="20">
        <f>ROUND(R712+IF(AND(E713=14,F713&lt;&gt;"ASTM A416"),L713,0),3)</f>
        <v/>
      </c>
      <c r="S713" s="20">
        <f>ROUND(S712+IF(AND(E713=16,F713&lt;&gt;"ASTM A416"),L713,0),3)</f>
        <v/>
      </c>
      <c r="T713" s="20">
        <f>ROUND(T712+IF(AND(E713=18,F713&lt;&gt;"ASTM A416"),L713,0),3)</f>
        <v/>
      </c>
      <c r="U713" s="20">
        <f>ROUND(U712+IF(AND(E713=20,F713&lt;&gt;"ASTM A416"),L713,0),3)</f>
        <v/>
      </c>
      <c r="V713" s="20">
        <f>ROUND(V712+IF(AND(E713=22,F713&lt;&gt;"ASTM A416"),L713,0),3)</f>
        <v/>
      </c>
      <c r="W713" s="20">
        <f>ROUND(W712+IF(AND(E713=25,F713&lt;&gt;"ASTM A416"),L713,0),3)</f>
        <v/>
      </c>
      <c r="X713" s="20">
        <f>ROUND(X712+IF(AND(E713=28,F713&lt;&gt;"ASTM A416"),L713,0),3)</f>
        <v/>
      </c>
      <c r="Y713" s="20">
        <f>ROUND(Y712+IF(AND(E713=32,F713&lt;&gt;"ASTM A416"),L713,0),3)</f>
        <v/>
      </c>
      <c r="Z713" s="20">
        <f>ROUND(Z712+IF(F713="ASTM A416",L713,0),3)</f>
        <v/>
      </c>
      <c r="AA713" s="11">
        <f>IF(ROUNDUP(P713/20,0)&gt;ROUNDUP(P712/20,0),"Lần " &amp; ROUNDUP(P713/20,0),"")</f>
        <v/>
      </c>
      <c r="AB713" s="11">
        <f>IF(ROUNDUP(Q713/20,0)&gt;ROUNDUP(Q712/20,0),"Lần " &amp; ROUNDUP(Q713/20,0),"")</f>
        <v/>
      </c>
      <c r="AC713" s="11">
        <f>IF(ROUNDUP(R713/20,0)&gt;ROUNDUP(R712/20,0),"Lần " &amp; ROUNDUP(R713/20,0),"")</f>
        <v/>
      </c>
      <c r="AD713" s="11">
        <f>IF(ROUNDUP(S713/20,0)&gt;ROUNDUP(S712/20,0),"Lần " &amp; ROUNDUP(S713/20,0),"")</f>
        <v/>
      </c>
      <c r="AE713" s="11">
        <f>IF(ROUNDUP(T713/20,0)&gt;ROUNDUP(T712/20,0),"Lần " &amp; ROUNDUP(T713/20,0),"")</f>
        <v/>
      </c>
      <c r="AF713" s="11">
        <f>IF(ROUNDUP(U713/20,0)&gt;ROUNDUP(U712/20,0),"Lần " &amp; ROUNDUP(U713/20,0),"")</f>
        <v/>
      </c>
      <c r="AG713" s="11">
        <f>IF(ROUNDUP(V713/20,0)&gt;ROUNDUP(V712/20,0),"Lần " &amp; ROUNDUP(V713/20,0),"")</f>
        <v/>
      </c>
      <c r="AH713" s="11">
        <f>IF(ROUNDUP(W713/20,0)&gt;ROUNDUP(W712/20,0),"Lần " &amp; ROUNDUP(W713/20,0),"")</f>
        <v/>
      </c>
      <c r="AI713" s="11">
        <f>IF(ROUNDUP(X713/20,0)&gt;ROUNDUP(X712/20,0),"Lần " &amp; ROUNDUP(X713/20,0),"")</f>
        <v/>
      </c>
      <c r="AJ713" s="11">
        <f>IF(ROUNDUP(Y713/20,0)&gt;ROUNDUP(Y712/20,0),"Lần " &amp; ROUNDUP(Y713/20,0),"")</f>
        <v/>
      </c>
      <c r="AK713" s="11">
        <f>IF(ROUNDUP(Z713/20,0)&gt;ROUNDUP(Z712/20,0),"Lần " &amp; ROUNDUP(Z713/20,0),"")</f>
        <v/>
      </c>
      <c r="AL713" s="6" t="n"/>
      <c r="AN713" t="inlineStr">
        <is>
          <t>Coc</t>
        </is>
      </c>
      <c r="AO713" t="n">
        <v>23</v>
      </c>
    </row>
    <row r="714" ht="19" customHeight="1">
      <c r="A714" s="6" t="n">
        <v>678</v>
      </c>
      <c r="B714" s="7" t="inlineStr">
        <is>
          <t>Cọc khoan nhồi C1 Mố M2 (D1.2m, L=36.0m)</t>
        </is>
      </c>
      <c r="C714" s="7" t="inlineStr">
        <is>
          <t>Cọc mố M2 L=36m (tr.66)</t>
        </is>
      </c>
      <c r="D714" s="18" t="inlineStr">
        <is>
          <t>P12</t>
        </is>
      </c>
      <c r="E714" s="19" t="n">
        <v>20</v>
      </c>
      <c r="F714" s="6" t="inlineStr">
        <is>
          <t>CB400-V</t>
        </is>
      </c>
      <c r="G714" s="7" t="inlineStr"/>
      <c r="H714" s="20" t="n">
        <v>0.583</v>
      </c>
      <c r="I714" s="21" t="n">
        <v>60</v>
      </c>
      <c r="J714" s="22" t="n">
        <v>2.466</v>
      </c>
      <c r="K714" s="9">
        <f>ROUND(H714*I714*J714, 2)</f>
        <v/>
      </c>
      <c r="L714" s="23">
        <f>ROUND(K714/1000, 3)</f>
        <v/>
      </c>
      <c r="M714" s="8">
        <f>IF(AO714="","",IF(INDEX(Theo_Doi_Tan_Suat_Be_Tong!$C:$C,AO714)="","",INDEX(Theo_Doi_Tan_Suat_Be_Tong!$C:$C,AO714)-VLOOKUP(AN714,$AQ$2:$AR$7,2,FALSE)))</f>
        <v/>
      </c>
      <c r="N714" s="6" t="n"/>
      <c r="O714" s="24">
        <f>IF(ROUNDUP(U714/20,0)&gt;ROUNDUP(U713/20,0),"TN Ø20 (Lần " &amp; ROUNDUP(U714/20,0) &amp; ")","")</f>
        <v/>
      </c>
      <c r="P714" s="20">
        <f>ROUND(P713+IF(AND(E714&lt;=10,F714&lt;&gt;"ASTM A416"),L714,0),3)</f>
        <v/>
      </c>
      <c r="Q714" s="20">
        <f>ROUND(Q713+IF(AND(E714=12,F714&lt;&gt;"ASTM A416"),L714,0),3)</f>
        <v/>
      </c>
      <c r="R714" s="20">
        <f>ROUND(R713+IF(AND(E714=14,F714&lt;&gt;"ASTM A416"),L714,0),3)</f>
        <v/>
      </c>
      <c r="S714" s="20">
        <f>ROUND(S713+IF(AND(E714=16,F714&lt;&gt;"ASTM A416"),L714,0),3)</f>
        <v/>
      </c>
      <c r="T714" s="20">
        <f>ROUND(T713+IF(AND(E714=18,F714&lt;&gt;"ASTM A416"),L714,0),3)</f>
        <v/>
      </c>
      <c r="U714" s="20">
        <f>ROUND(U713+IF(AND(E714=20,F714&lt;&gt;"ASTM A416"),L714,0),3)</f>
        <v/>
      </c>
      <c r="V714" s="20">
        <f>ROUND(V713+IF(AND(E714=22,F714&lt;&gt;"ASTM A416"),L714,0),3)</f>
        <v/>
      </c>
      <c r="W714" s="20">
        <f>ROUND(W713+IF(AND(E714=25,F714&lt;&gt;"ASTM A416"),L714,0),3)</f>
        <v/>
      </c>
      <c r="X714" s="20">
        <f>ROUND(X713+IF(AND(E714=28,F714&lt;&gt;"ASTM A416"),L714,0),3)</f>
        <v/>
      </c>
      <c r="Y714" s="20">
        <f>ROUND(Y713+IF(AND(E714=32,F714&lt;&gt;"ASTM A416"),L714,0),3)</f>
        <v/>
      </c>
      <c r="Z714" s="20">
        <f>ROUND(Z713+IF(F714="ASTM A416",L714,0),3)</f>
        <v/>
      </c>
      <c r="AA714" s="11">
        <f>IF(ROUNDUP(P714/20,0)&gt;ROUNDUP(P713/20,0),"Lần " &amp; ROUNDUP(P714/20,0),"")</f>
        <v/>
      </c>
      <c r="AB714" s="11">
        <f>IF(ROUNDUP(Q714/20,0)&gt;ROUNDUP(Q713/20,0),"Lần " &amp; ROUNDUP(Q714/20,0),"")</f>
        <v/>
      </c>
      <c r="AC714" s="11">
        <f>IF(ROUNDUP(R714/20,0)&gt;ROUNDUP(R713/20,0),"Lần " &amp; ROUNDUP(R714/20,0),"")</f>
        <v/>
      </c>
      <c r="AD714" s="11">
        <f>IF(ROUNDUP(S714/20,0)&gt;ROUNDUP(S713/20,0),"Lần " &amp; ROUNDUP(S714/20,0),"")</f>
        <v/>
      </c>
      <c r="AE714" s="11">
        <f>IF(ROUNDUP(T714/20,0)&gt;ROUNDUP(T713/20,0),"Lần " &amp; ROUNDUP(T714/20,0),"")</f>
        <v/>
      </c>
      <c r="AF714" s="11">
        <f>IF(ROUNDUP(U714/20,0)&gt;ROUNDUP(U713/20,0),"Lần " &amp; ROUNDUP(U714/20,0),"")</f>
        <v/>
      </c>
      <c r="AG714" s="11">
        <f>IF(ROUNDUP(V714/20,0)&gt;ROUNDUP(V713/20,0),"Lần " &amp; ROUNDUP(V714/20,0),"")</f>
        <v/>
      </c>
      <c r="AH714" s="11">
        <f>IF(ROUNDUP(W714/20,0)&gt;ROUNDUP(W713/20,0),"Lần " &amp; ROUNDUP(W714/20,0),"")</f>
        <v/>
      </c>
      <c r="AI714" s="11">
        <f>IF(ROUNDUP(X714/20,0)&gt;ROUNDUP(X713/20,0),"Lần " &amp; ROUNDUP(X714/20,0),"")</f>
        <v/>
      </c>
      <c r="AJ714" s="11">
        <f>IF(ROUNDUP(Y714/20,0)&gt;ROUNDUP(Y713/20,0),"Lần " &amp; ROUNDUP(Y714/20,0),"")</f>
        <v/>
      </c>
      <c r="AK714" s="11">
        <f>IF(ROUNDUP(Z714/20,0)&gt;ROUNDUP(Z713/20,0),"Lần " &amp; ROUNDUP(Z714/20,0),"")</f>
        <v/>
      </c>
      <c r="AL714" s="6" t="n"/>
      <c r="AN714" t="inlineStr">
        <is>
          <t>Coc</t>
        </is>
      </c>
      <c r="AO714" t="n">
        <v>23</v>
      </c>
    </row>
    <row r="715" ht="19" customHeight="1">
      <c r="A715" s="6" t="n">
        <v>679</v>
      </c>
      <c r="B715" s="7" t="inlineStr">
        <is>
          <t>Cọc khoan nhồi C1 Mố M2 (D1.2m, L=36.0m)</t>
        </is>
      </c>
      <c r="C715" s="7" t="inlineStr">
        <is>
          <t>Cọc mố M2 L=36m (tr.66)</t>
        </is>
      </c>
      <c r="D715" s="18" t="inlineStr">
        <is>
          <t>P11</t>
        </is>
      </c>
      <c r="E715" s="19" t="n">
        <v>16</v>
      </c>
      <c r="F715" s="6" t="inlineStr">
        <is>
          <t>CB400-V</t>
        </is>
      </c>
      <c r="G715" s="7" t="inlineStr"/>
      <c r="H715" s="20" t="n">
        <v>2.484</v>
      </c>
      <c r="I715" s="21" t="n">
        <v>4</v>
      </c>
      <c r="J715" s="22" t="n">
        <v>1.578</v>
      </c>
      <c r="K715" s="9">
        <f>ROUND(H715*I715*J715, 2)</f>
        <v/>
      </c>
      <c r="L715" s="23">
        <f>ROUND(K715/1000, 3)</f>
        <v/>
      </c>
      <c r="M715" s="8">
        <f>IF(AO715="","",IF(INDEX(Theo_Doi_Tan_Suat_Be_Tong!$C:$C,AO715)="","",INDEX(Theo_Doi_Tan_Suat_Be_Tong!$C:$C,AO715)-VLOOKUP(AN715,$AQ$2:$AR$7,2,FALSE)))</f>
        <v/>
      </c>
      <c r="N715" s="6" t="n"/>
      <c r="O715" s="24">
        <f>IF(ROUNDUP(S715/20,0)&gt;ROUNDUP(S714/20,0),"TN Ø16 (Lần " &amp; ROUNDUP(S715/20,0) &amp; ")","")</f>
        <v/>
      </c>
      <c r="P715" s="20">
        <f>ROUND(P714+IF(AND(E715&lt;=10,F715&lt;&gt;"ASTM A416"),L715,0),3)</f>
        <v/>
      </c>
      <c r="Q715" s="20">
        <f>ROUND(Q714+IF(AND(E715=12,F715&lt;&gt;"ASTM A416"),L715,0),3)</f>
        <v/>
      </c>
      <c r="R715" s="20">
        <f>ROUND(R714+IF(AND(E715=14,F715&lt;&gt;"ASTM A416"),L715,0),3)</f>
        <v/>
      </c>
      <c r="S715" s="20">
        <f>ROUND(S714+IF(AND(E715=16,F715&lt;&gt;"ASTM A416"),L715,0),3)</f>
        <v/>
      </c>
      <c r="T715" s="20">
        <f>ROUND(T714+IF(AND(E715=18,F715&lt;&gt;"ASTM A416"),L715,0),3)</f>
        <v/>
      </c>
      <c r="U715" s="20">
        <f>ROUND(U714+IF(AND(E715=20,F715&lt;&gt;"ASTM A416"),L715,0),3)</f>
        <v/>
      </c>
      <c r="V715" s="20">
        <f>ROUND(V714+IF(AND(E715=22,F715&lt;&gt;"ASTM A416"),L715,0),3)</f>
        <v/>
      </c>
      <c r="W715" s="20">
        <f>ROUND(W714+IF(AND(E715=25,F715&lt;&gt;"ASTM A416"),L715,0),3)</f>
        <v/>
      </c>
      <c r="X715" s="20">
        <f>ROUND(X714+IF(AND(E715=28,F715&lt;&gt;"ASTM A416"),L715,0),3)</f>
        <v/>
      </c>
      <c r="Y715" s="20">
        <f>ROUND(Y714+IF(AND(E715=32,F715&lt;&gt;"ASTM A416"),L715,0),3)</f>
        <v/>
      </c>
      <c r="Z715" s="20">
        <f>ROUND(Z714+IF(F715="ASTM A416",L715,0),3)</f>
        <v/>
      </c>
      <c r="AA715" s="11">
        <f>IF(ROUNDUP(P715/20,0)&gt;ROUNDUP(P714/20,0),"Lần " &amp; ROUNDUP(P715/20,0),"")</f>
        <v/>
      </c>
      <c r="AB715" s="11">
        <f>IF(ROUNDUP(Q715/20,0)&gt;ROUNDUP(Q714/20,0),"Lần " &amp; ROUNDUP(Q715/20,0),"")</f>
        <v/>
      </c>
      <c r="AC715" s="11">
        <f>IF(ROUNDUP(R715/20,0)&gt;ROUNDUP(R714/20,0),"Lần " &amp; ROUNDUP(R715/20,0),"")</f>
        <v/>
      </c>
      <c r="AD715" s="11">
        <f>IF(ROUNDUP(S715/20,0)&gt;ROUNDUP(S714/20,0),"Lần " &amp; ROUNDUP(S715/20,0),"")</f>
        <v/>
      </c>
      <c r="AE715" s="11">
        <f>IF(ROUNDUP(T715/20,0)&gt;ROUNDUP(T714/20,0),"Lần " &amp; ROUNDUP(T715/20,0),"")</f>
        <v/>
      </c>
      <c r="AF715" s="11">
        <f>IF(ROUNDUP(U715/20,0)&gt;ROUNDUP(U714/20,0),"Lần " &amp; ROUNDUP(U715/20,0),"")</f>
        <v/>
      </c>
      <c r="AG715" s="11">
        <f>IF(ROUNDUP(V715/20,0)&gt;ROUNDUP(V714/20,0),"Lần " &amp; ROUNDUP(V715/20,0),"")</f>
        <v/>
      </c>
      <c r="AH715" s="11">
        <f>IF(ROUNDUP(W715/20,0)&gt;ROUNDUP(W714/20,0),"Lần " &amp; ROUNDUP(W715/20,0),"")</f>
        <v/>
      </c>
      <c r="AI715" s="11">
        <f>IF(ROUNDUP(X715/20,0)&gt;ROUNDUP(X714/20,0),"Lần " &amp; ROUNDUP(X715/20,0),"")</f>
        <v/>
      </c>
      <c r="AJ715" s="11">
        <f>IF(ROUNDUP(Y715/20,0)&gt;ROUNDUP(Y714/20,0),"Lần " &amp; ROUNDUP(Y715/20,0),"")</f>
        <v/>
      </c>
      <c r="AK715" s="11">
        <f>IF(ROUNDUP(Z715/20,0)&gt;ROUNDUP(Z714/20,0),"Lần " &amp; ROUNDUP(Z715/20,0),"")</f>
        <v/>
      </c>
      <c r="AL715" s="6" t="n"/>
      <c r="AN715" t="inlineStr">
        <is>
          <t>Coc</t>
        </is>
      </c>
      <c r="AO715" t="n">
        <v>23</v>
      </c>
    </row>
    <row r="716" ht="19" customHeight="1">
      <c r="A716" s="17" t="inlineStr">
        <is>
          <t>--- CỌC KHOAN NHỒI C2 MỐ M2 (D1.2M, L=36.0M) ---</t>
        </is>
      </c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4" t="n"/>
    </row>
    <row r="717" ht="19" customHeight="1">
      <c r="A717" s="6" t="n">
        <v>680</v>
      </c>
      <c r="B717" s="7" t="inlineStr">
        <is>
          <t>Cọc khoan nhồi C2 Mố M2 (D1.2m, L=36.0m)</t>
        </is>
      </c>
      <c r="C717" s="7" t="inlineStr">
        <is>
          <t>Cọc mố M2 L=36m (tr.66)</t>
        </is>
      </c>
      <c r="D717" s="18" t="inlineStr">
        <is>
          <t>P1</t>
        </is>
      </c>
      <c r="E717" s="19" t="n">
        <v>10</v>
      </c>
      <c r="F717" s="6" t="inlineStr">
        <is>
          <t>CB240-T</t>
        </is>
      </c>
      <c r="G717" s="7" t="inlineStr"/>
      <c r="H717" s="20" t="n">
        <v>96.887</v>
      </c>
      <c r="I717" s="21" t="n">
        <v>1</v>
      </c>
      <c r="J717" s="22" t="n">
        <v>0.617</v>
      </c>
      <c r="K717" s="9">
        <f>ROUND(H717*I717*J717, 2)</f>
        <v/>
      </c>
      <c r="L717" s="23">
        <f>ROUND(K717/1000, 3)</f>
        <v/>
      </c>
      <c r="M717" s="8">
        <f>IF(AO717="","",IF(INDEX(Theo_Doi_Tan_Suat_Be_Tong!$C:$C,AO717)="","",INDEX(Theo_Doi_Tan_Suat_Be_Tong!$C:$C,AO717)-VLOOKUP(AN717,$AQ$2:$AR$7,2,FALSE)))</f>
        <v/>
      </c>
      <c r="N717" s="6" t="n"/>
      <c r="O717" s="24">
        <f>IF(ROUNDUP(P717/20,0)&gt;ROUNDUP(P715/20,0),"TN Ø10 (Lần " &amp; ROUNDUP(P717/20,0) &amp; ")","")</f>
        <v/>
      </c>
      <c r="P717" s="20">
        <f>ROUND(P715+IF(AND(E717&lt;=10,F717&lt;&gt;"ASTM A416"),L717,0),3)</f>
        <v/>
      </c>
      <c r="Q717" s="20">
        <f>ROUND(Q715+IF(AND(E717=12,F717&lt;&gt;"ASTM A416"),L717,0),3)</f>
        <v/>
      </c>
      <c r="R717" s="20">
        <f>ROUND(R715+IF(AND(E717=14,F717&lt;&gt;"ASTM A416"),L717,0),3)</f>
        <v/>
      </c>
      <c r="S717" s="20">
        <f>ROUND(S715+IF(AND(E717=16,F717&lt;&gt;"ASTM A416"),L717,0),3)</f>
        <v/>
      </c>
      <c r="T717" s="20">
        <f>ROUND(T715+IF(AND(E717=18,F717&lt;&gt;"ASTM A416"),L717,0),3)</f>
        <v/>
      </c>
      <c r="U717" s="20">
        <f>ROUND(U715+IF(AND(E717=20,F717&lt;&gt;"ASTM A416"),L717,0),3)</f>
        <v/>
      </c>
      <c r="V717" s="20">
        <f>ROUND(V715+IF(AND(E717=22,F717&lt;&gt;"ASTM A416"),L717,0),3)</f>
        <v/>
      </c>
      <c r="W717" s="20">
        <f>ROUND(W715+IF(AND(E717=25,F717&lt;&gt;"ASTM A416"),L717,0),3)</f>
        <v/>
      </c>
      <c r="X717" s="20">
        <f>ROUND(X715+IF(AND(E717=28,F717&lt;&gt;"ASTM A416"),L717,0),3)</f>
        <v/>
      </c>
      <c r="Y717" s="20">
        <f>ROUND(Y715+IF(AND(E717=32,F717&lt;&gt;"ASTM A416"),L717,0),3)</f>
        <v/>
      </c>
      <c r="Z717" s="20">
        <f>ROUND(Z715+IF(F717="ASTM A416",L717,0),3)</f>
        <v/>
      </c>
      <c r="AA717" s="11">
        <f>IF(ROUNDUP(P717/20,0)&gt;ROUNDUP(P715/20,0),"Lần " &amp; ROUNDUP(P717/20,0),"")</f>
        <v/>
      </c>
      <c r="AB717" s="11">
        <f>IF(ROUNDUP(Q717/20,0)&gt;ROUNDUP(Q715/20,0),"Lần " &amp; ROUNDUP(Q717/20,0),"")</f>
        <v/>
      </c>
      <c r="AC717" s="11">
        <f>IF(ROUNDUP(R717/20,0)&gt;ROUNDUP(R715/20,0),"Lần " &amp; ROUNDUP(R717/20,0),"")</f>
        <v/>
      </c>
      <c r="AD717" s="11">
        <f>IF(ROUNDUP(S717/20,0)&gt;ROUNDUP(S715/20,0),"Lần " &amp; ROUNDUP(S717/20,0),"")</f>
        <v/>
      </c>
      <c r="AE717" s="11">
        <f>IF(ROUNDUP(T717/20,0)&gt;ROUNDUP(T715/20,0),"Lần " &amp; ROUNDUP(T717/20,0),"")</f>
        <v/>
      </c>
      <c r="AF717" s="11">
        <f>IF(ROUNDUP(U717/20,0)&gt;ROUNDUP(U715/20,0),"Lần " &amp; ROUNDUP(U717/20,0),"")</f>
        <v/>
      </c>
      <c r="AG717" s="11">
        <f>IF(ROUNDUP(V717/20,0)&gt;ROUNDUP(V715/20,0),"Lần " &amp; ROUNDUP(V717/20,0),"")</f>
        <v/>
      </c>
      <c r="AH717" s="11">
        <f>IF(ROUNDUP(W717/20,0)&gt;ROUNDUP(W715/20,0),"Lần " &amp; ROUNDUP(W717/20,0),"")</f>
        <v/>
      </c>
      <c r="AI717" s="11">
        <f>IF(ROUNDUP(X717/20,0)&gt;ROUNDUP(X715/20,0),"Lần " &amp; ROUNDUP(X717/20,0),"")</f>
        <v/>
      </c>
      <c r="AJ717" s="11">
        <f>IF(ROUNDUP(Y717/20,0)&gt;ROUNDUP(Y715/20,0),"Lần " &amp; ROUNDUP(Y717/20,0),"")</f>
        <v/>
      </c>
      <c r="AK717" s="11">
        <f>IF(ROUNDUP(Z717/20,0)&gt;ROUNDUP(Z715/20,0),"Lần " &amp; ROUNDUP(Z717/20,0),"")</f>
        <v/>
      </c>
      <c r="AL717" s="6" t="n"/>
      <c r="AN717" t="inlineStr">
        <is>
          <t>Coc</t>
        </is>
      </c>
      <c r="AO717" t="n">
        <v>24</v>
      </c>
    </row>
    <row r="718" ht="19" customHeight="1">
      <c r="A718" s="6" t="n">
        <v>681</v>
      </c>
      <c r="B718" s="7" t="inlineStr">
        <is>
          <t>Cọc khoan nhồi C2 Mố M2 (D1.2m, L=36.0m)</t>
        </is>
      </c>
      <c r="C718" s="7" t="inlineStr">
        <is>
          <t>Cọc mố M2 L=36m (tr.66)</t>
        </is>
      </c>
      <c r="D718" s="18" t="inlineStr">
        <is>
          <t>P1A</t>
        </is>
      </c>
      <c r="E718" s="19" t="n">
        <v>10</v>
      </c>
      <c r="F718" s="6" t="inlineStr">
        <is>
          <t>CB240-T</t>
        </is>
      </c>
      <c r="G718" s="7" t="inlineStr"/>
      <c r="H718" s="20" t="n">
        <v>390.776</v>
      </c>
      <c r="I718" s="21" t="n">
        <v>1</v>
      </c>
      <c r="J718" s="22" t="n">
        <v>0.617</v>
      </c>
      <c r="K718" s="9">
        <f>ROUND(H718*I718*J718, 2)</f>
        <v/>
      </c>
      <c r="L718" s="23">
        <f>ROUND(K718/1000, 3)</f>
        <v/>
      </c>
      <c r="M718" s="8">
        <f>IF(AO718="","",IF(INDEX(Theo_Doi_Tan_Suat_Be_Tong!$C:$C,AO718)="","",INDEX(Theo_Doi_Tan_Suat_Be_Tong!$C:$C,AO718)-VLOOKUP(AN718,$AQ$2:$AR$7,2,FALSE)))</f>
        <v/>
      </c>
      <c r="N718" s="6" t="n"/>
      <c r="O718" s="24">
        <f>IF(ROUNDUP(P718/20,0)&gt;ROUNDUP(P717/20,0),"TN Ø10 (Lần " &amp; ROUNDUP(P718/20,0) &amp; ")","")</f>
        <v/>
      </c>
      <c r="P718" s="20">
        <f>ROUND(P717+IF(AND(E718&lt;=10,F718&lt;&gt;"ASTM A416"),L718,0),3)</f>
        <v/>
      </c>
      <c r="Q718" s="20">
        <f>ROUND(Q717+IF(AND(E718=12,F718&lt;&gt;"ASTM A416"),L718,0),3)</f>
        <v/>
      </c>
      <c r="R718" s="20">
        <f>ROUND(R717+IF(AND(E718=14,F718&lt;&gt;"ASTM A416"),L718,0),3)</f>
        <v/>
      </c>
      <c r="S718" s="20">
        <f>ROUND(S717+IF(AND(E718=16,F718&lt;&gt;"ASTM A416"),L718,0),3)</f>
        <v/>
      </c>
      <c r="T718" s="20">
        <f>ROUND(T717+IF(AND(E718=18,F718&lt;&gt;"ASTM A416"),L718,0),3)</f>
        <v/>
      </c>
      <c r="U718" s="20">
        <f>ROUND(U717+IF(AND(E718=20,F718&lt;&gt;"ASTM A416"),L718,0),3)</f>
        <v/>
      </c>
      <c r="V718" s="20">
        <f>ROUND(V717+IF(AND(E718=22,F718&lt;&gt;"ASTM A416"),L718,0),3)</f>
        <v/>
      </c>
      <c r="W718" s="20">
        <f>ROUND(W717+IF(AND(E718=25,F718&lt;&gt;"ASTM A416"),L718,0),3)</f>
        <v/>
      </c>
      <c r="X718" s="20">
        <f>ROUND(X717+IF(AND(E718=28,F718&lt;&gt;"ASTM A416"),L718,0),3)</f>
        <v/>
      </c>
      <c r="Y718" s="20">
        <f>ROUND(Y717+IF(AND(E718=32,F718&lt;&gt;"ASTM A416"),L718,0),3)</f>
        <v/>
      </c>
      <c r="Z718" s="20">
        <f>ROUND(Z717+IF(F718="ASTM A416",L718,0),3)</f>
        <v/>
      </c>
      <c r="AA718" s="11">
        <f>IF(ROUNDUP(P718/20,0)&gt;ROUNDUP(P717/20,0),"Lần " &amp; ROUNDUP(P718/20,0),"")</f>
        <v/>
      </c>
      <c r="AB718" s="11">
        <f>IF(ROUNDUP(Q718/20,0)&gt;ROUNDUP(Q717/20,0),"Lần " &amp; ROUNDUP(Q718/20,0),"")</f>
        <v/>
      </c>
      <c r="AC718" s="11">
        <f>IF(ROUNDUP(R718/20,0)&gt;ROUNDUP(R717/20,0),"Lần " &amp; ROUNDUP(R718/20,0),"")</f>
        <v/>
      </c>
      <c r="AD718" s="11">
        <f>IF(ROUNDUP(S718/20,0)&gt;ROUNDUP(S717/20,0),"Lần " &amp; ROUNDUP(S718/20,0),"")</f>
        <v/>
      </c>
      <c r="AE718" s="11">
        <f>IF(ROUNDUP(T718/20,0)&gt;ROUNDUP(T717/20,0),"Lần " &amp; ROUNDUP(T718/20,0),"")</f>
        <v/>
      </c>
      <c r="AF718" s="11">
        <f>IF(ROUNDUP(U718/20,0)&gt;ROUNDUP(U717/20,0),"Lần " &amp; ROUNDUP(U718/20,0),"")</f>
        <v/>
      </c>
      <c r="AG718" s="11">
        <f>IF(ROUNDUP(V718/20,0)&gt;ROUNDUP(V717/20,0),"Lần " &amp; ROUNDUP(V718/20,0),"")</f>
        <v/>
      </c>
      <c r="AH718" s="11">
        <f>IF(ROUNDUP(W718/20,0)&gt;ROUNDUP(W717/20,0),"Lần " &amp; ROUNDUP(W718/20,0),"")</f>
        <v/>
      </c>
      <c r="AI718" s="11">
        <f>IF(ROUNDUP(X718/20,0)&gt;ROUNDUP(X717/20,0),"Lần " &amp; ROUNDUP(X718/20,0),"")</f>
        <v/>
      </c>
      <c r="AJ718" s="11">
        <f>IF(ROUNDUP(Y718/20,0)&gt;ROUNDUP(Y717/20,0),"Lần " &amp; ROUNDUP(Y718/20,0),"")</f>
        <v/>
      </c>
      <c r="AK718" s="11">
        <f>IF(ROUNDUP(Z718/20,0)&gt;ROUNDUP(Z717/20,0),"Lần " &amp; ROUNDUP(Z718/20,0),"")</f>
        <v/>
      </c>
      <c r="AL718" s="6" t="n"/>
      <c r="AN718" t="inlineStr">
        <is>
          <t>Coc</t>
        </is>
      </c>
      <c r="AO718" t="n">
        <v>24</v>
      </c>
    </row>
    <row r="719" ht="19" customHeight="1">
      <c r="A719" s="6" t="n">
        <v>682</v>
      </c>
      <c r="B719" s="7" t="inlineStr">
        <is>
          <t>Cọc khoan nhồi C2 Mố M2 (D1.2m, L=36.0m)</t>
        </is>
      </c>
      <c r="C719" s="7" t="inlineStr">
        <is>
          <t>Cọc mố M2 L=36m (tr.66)</t>
        </is>
      </c>
      <c r="D719" s="18" t="inlineStr">
        <is>
          <t>P1B</t>
        </is>
      </c>
      <c r="E719" s="19" t="n">
        <v>10</v>
      </c>
      <c r="F719" s="6" t="inlineStr">
        <is>
          <t>CB240-T</t>
        </is>
      </c>
      <c r="G719" s="7" t="inlineStr"/>
      <c r="H719" s="20" t="n">
        <v>164.938</v>
      </c>
      <c r="I719" s="21" t="n">
        <v>1</v>
      </c>
      <c r="J719" s="22" t="n">
        <v>0.617</v>
      </c>
      <c r="K719" s="9">
        <f>ROUND(H719*I719*J719, 2)</f>
        <v/>
      </c>
      <c r="L719" s="23">
        <f>ROUND(K719/1000, 3)</f>
        <v/>
      </c>
      <c r="M719" s="8">
        <f>IF(AO719="","",IF(INDEX(Theo_Doi_Tan_Suat_Be_Tong!$C:$C,AO719)="","",INDEX(Theo_Doi_Tan_Suat_Be_Tong!$C:$C,AO719)-VLOOKUP(AN719,$AQ$2:$AR$7,2,FALSE)))</f>
        <v/>
      </c>
      <c r="N719" s="6" t="n"/>
      <c r="O719" s="24">
        <f>IF(ROUNDUP(P719/20,0)&gt;ROUNDUP(P718/20,0),"TN Ø10 (Lần " &amp; ROUNDUP(P719/20,0) &amp; ")","")</f>
        <v/>
      </c>
      <c r="P719" s="20">
        <f>ROUND(P718+IF(AND(E719&lt;=10,F719&lt;&gt;"ASTM A416"),L719,0),3)</f>
        <v/>
      </c>
      <c r="Q719" s="20">
        <f>ROUND(Q718+IF(AND(E719=12,F719&lt;&gt;"ASTM A416"),L719,0),3)</f>
        <v/>
      </c>
      <c r="R719" s="20">
        <f>ROUND(R718+IF(AND(E719=14,F719&lt;&gt;"ASTM A416"),L719,0),3)</f>
        <v/>
      </c>
      <c r="S719" s="20">
        <f>ROUND(S718+IF(AND(E719=16,F719&lt;&gt;"ASTM A416"),L719,0),3)</f>
        <v/>
      </c>
      <c r="T719" s="20">
        <f>ROUND(T718+IF(AND(E719=18,F719&lt;&gt;"ASTM A416"),L719,0),3)</f>
        <v/>
      </c>
      <c r="U719" s="20">
        <f>ROUND(U718+IF(AND(E719=20,F719&lt;&gt;"ASTM A416"),L719,0),3)</f>
        <v/>
      </c>
      <c r="V719" s="20">
        <f>ROUND(V718+IF(AND(E719=22,F719&lt;&gt;"ASTM A416"),L719,0),3)</f>
        <v/>
      </c>
      <c r="W719" s="20">
        <f>ROUND(W718+IF(AND(E719=25,F719&lt;&gt;"ASTM A416"),L719,0),3)</f>
        <v/>
      </c>
      <c r="X719" s="20">
        <f>ROUND(X718+IF(AND(E719=28,F719&lt;&gt;"ASTM A416"),L719,0),3)</f>
        <v/>
      </c>
      <c r="Y719" s="20">
        <f>ROUND(Y718+IF(AND(E719=32,F719&lt;&gt;"ASTM A416"),L719,0),3)</f>
        <v/>
      </c>
      <c r="Z719" s="20">
        <f>ROUND(Z718+IF(F719="ASTM A416",L719,0),3)</f>
        <v/>
      </c>
      <c r="AA719" s="11">
        <f>IF(ROUNDUP(P719/20,0)&gt;ROUNDUP(P718/20,0),"Lần " &amp; ROUNDUP(P719/20,0),"")</f>
        <v/>
      </c>
      <c r="AB719" s="11">
        <f>IF(ROUNDUP(Q719/20,0)&gt;ROUNDUP(Q718/20,0),"Lần " &amp; ROUNDUP(Q719/20,0),"")</f>
        <v/>
      </c>
      <c r="AC719" s="11">
        <f>IF(ROUNDUP(R719/20,0)&gt;ROUNDUP(R718/20,0),"Lần " &amp; ROUNDUP(R719/20,0),"")</f>
        <v/>
      </c>
      <c r="AD719" s="11">
        <f>IF(ROUNDUP(S719/20,0)&gt;ROUNDUP(S718/20,0),"Lần " &amp; ROUNDUP(S719/20,0),"")</f>
        <v/>
      </c>
      <c r="AE719" s="11">
        <f>IF(ROUNDUP(T719/20,0)&gt;ROUNDUP(T718/20,0),"Lần " &amp; ROUNDUP(T719/20,0),"")</f>
        <v/>
      </c>
      <c r="AF719" s="11">
        <f>IF(ROUNDUP(U719/20,0)&gt;ROUNDUP(U718/20,0),"Lần " &amp; ROUNDUP(U719/20,0),"")</f>
        <v/>
      </c>
      <c r="AG719" s="11">
        <f>IF(ROUNDUP(V719/20,0)&gt;ROUNDUP(V718/20,0),"Lần " &amp; ROUNDUP(V719/20,0),"")</f>
        <v/>
      </c>
      <c r="AH719" s="11">
        <f>IF(ROUNDUP(W719/20,0)&gt;ROUNDUP(W718/20,0),"Lần " &amp; ROUNDUP(W719/20,0),"")</f>
        <v/>
      </c>
      <c r="AI719" s="11">
        <f>IF(ROUNDUP(X719/20,0)&gt;ROUNDUP(X718/20,0),"Lần " &amp; ROUNDUP(X719/20,0),"")</f>
        <v/>
      </c>
      <c r="AJ719" s="11">
        <f>IF(ROUNDUP(Y719/20,0)&gt;ROUNDUP(Y718/20,0),"Lần " &amp; ROUNDUP(Y719/20,0),"")</f>
        <v/>
      </c>
      <c r="AK719" s="11">
        <f>IF(ROUNDUP(Z719/20,0)&gt;ROUNDUP(Z718/20,0),"Lần " &amp; ROUNDUP(Z719/20,0),"")</f>
        <v/>
      </c>
      <c r="AL719" s="6" t="n"/>
      <c r="AN719" t="inlineStr">
        <is>
          <t>Coc</t>
        </is>
      </c>
      <c r="AO719" t="n">
        <v>24</v>
      </c>
    </row>
    <row r="720" ht="19" customHeight="1">
      <c r="A720" s="6" t="n">
        <v>683</v>
      </c>
      <c r="B720" s="7" t="inlineStr">
        <is>
          <t>Cọc khoan nhồi C2 Mố M2 (D1.2m, L=36.0m)</t>
        </is>
      </c>
      <c r="C720" s="7" t="inlineStr">
        <is>
          <t>Cọc mố M2 L=36m (tr.66)</t>
        </is>
      </c>
      <c r="D720" s="18" t="inlineStr">
        <is>
          <t>P1C</t>
        </is>
      </c>
      <c r="E720" s="19" t="n">
        <v>10</v>
      </c>
      <c r="F720" s="6" t="inlineStr">
        <is>
          <t>CB240-T</t>
        </is>
      </c>
      <c r="G720" s="7" t="inlineStr"/>
      <c r="H720" s="20" t="n">
        <v>3.592</v>
      </c>
      <c r="I720" s="21" t="n">
        <v>2</v>
      </c>
      <c r="J720" s="22" t="n">
        <v>0.617</v>
      </c>
      <c r="K720" s="9">
        <f>ROUND(H720*I720*J720, 2)</f>
        <v/>
      </c>
      <c r="L720" s="23">
        <f>ROUND(K720/1000, 3)</f>
        <v/>
      </c>
      <c r="M720" s="8">
        <f>IF(AO720="","",IF(INDEX(Theo_Doi_Tan_Suat_Be_Tong!$C:$C,AO720)="","",INDEX(Theo_Doi_Tan_Suat_Be_Tong!$C:$C,AO720)-VLOOKUP(AN720,$AQ$2:$AR$7,2,FALSE)))</f>
        <v/>
      </c>
      <c r="N720" s="6" t="n"/>
      <c r="O720" s="24">
        <f>IF(ROUNDUP(P720/20,0)&gt;ROUNDUP(P719/20,0),"TN Ø10 (Lần " &amp; ROUNDUP(P720/20,0) &amp; ")","")</f>
        <v/>
      </c>
      <c r="P720" s="20">
        <f>ROUND(P719+IF(AND(E720&lt;=10,F720&lt;&gt;"ASTM A416"),L720,0),3)</f>
        <v/>
      </c>
      <c r="Q720" s="20">
        <f>ROUND(Q719+IF(AND(E720=12,F720&lt;&gt;"ASTM A416"),L720,0),3)</f>
        <v/>
      </c>
      <c r="R720" s="20">
        <f>ROUND(R719+IF(AND(E720=14,F720&lt;&gt;"ASTM A416"),L720,0),3)</f>
        <v/>
      </c>
      <c r="S720" s="20">
        <f>ROUND(S719+IF(AND(E720=16,F720&lt;&gt;"ASTM A416"),L720,0),3)</f>
        <v/>
      </c>
      <c r="T720" s="20">
        <f>ROUND(T719+IF(AND(E720=18,F720&lt;&gt;"ASTM A416"),L720,0),3)</f>
        <v/>
      </c>
      <c r="U720" s="20">
        <f>ROUND(U719+IF(AND(E720=20,F720&lt;&gt;"ASTM A416"),L720,0),3)</f>
        <v/>
      </c>
      <c r="V720" s="20">
        <f>ROUND(V719+IF(AND(E720=22,F720&lt;&gt;"ASTM A416"),L720,0),3)</f>
        <v/>
      </c>
      <c r="W720" s="20">
        <f>ROUND(W719+IF(AND(E720=25,F720&lt;&gt;"ASTM A416"),L720,0),3)</f>
        <v/>
      </c>
      <c r="X720" s="20">
        <f>ROUND(X719+IF(AND(E720=28,F720&lt;&gt;"ASTM A416"),L720,0),3)</f>
        <v/>
      </c>
      <c r="Y720" s="20">
        <f>ROUND(Y719+IF(AND(E720=32,F720&lt;&gt;"ASTM A416"),L720,0),3)</f>
        <v/>
      </c>
      <c r="Z720" s="20">
        <f>ROUND(Z719+IF(F720="ASTM A416",L720,0),3)</f>
        <v/>
      </c>
      <c r="AA720" s="11">
        <f>IF(ROUNDUP(P720/20,0)&gt;ROUNDUP(P719/20,0),"Lần " &amp; ROUNDUP(P720/20,0),"")</f>
        <v/>
      </c>
      <c r="AB720" s="11">
        <f>IF(ROUNDUP(Q720/20,0)&gt;ROUNDUP(Q719/20,0),"Lần " &amp; ROUNDUP(Q720/20,0),"")</f>
        <v/>
      </c>
      <c r="AC720" s="11">
        <f>IF(ROUNDUP(R720/20,0)&gt;ROUNDUP(R719/20,0),"Lần " &amp; ROUNDUP(R720/20,0),"")</f>
        <v/>
      </c>
      <c r="AD720" s="11">
        <f>IF(ROUNDUP(S720/20,0)&gt;ROUNDUP(S719/20,0),"Lần " &amp; ROUNDUP(S720/20,0),"")</f>
        <v/>
      </c>
      <c r="AE720" s="11">
        <f>IF(ROUNDUP(T720/20,0)&gt;ROUNDUP(T719/20,0),"Lần " &amp; ROUNDUP(T720/20,0),"")</f>
        <v/>
      </c>
      <c r="AF720" s="11">
        <f>IF(ROUNDUP(U720/20,0)&gt;ROUNDUP(U719/20,0),"Lần " &amp; ROUNDUP(U720/20,0),"")</f>
        <v/>
      </c>
      <c r="AG720" s="11">
        <f>IF(ROUNDUP(V720/20,0)&gt;ROUNDUP(V719/20,0),"Lần " &amp; ROUNDUP(V720/20,0),"")</f>
        <v/>
      </c>
      <c r="AH720" s="11">
        <f>IF(ROUNDUP(W720/20,0)&gt;ROUNDUP(W719/20,0),"Lần " &amp; ROUNDUP(W720/20,0),"")</f>
        <v/>
      </c>
      <c r="AI720" s="11">
        <f>IF(ROUNDUP(X720/20,0)&gt;ROUNDUP(X719/20,0),"Lần " &amp; ROUNDUP(X720/20,0),"")</f>
        <v/>
      </c>
      <c r="AJ720" s="11">
        <f>IF(ROUNDUP(Y720/20,0)&gt;ROUNDUP(Y719/20,0),"Lần " &amp; ROUNDUP(Y720/20,0),"")</f>
        <v/>
      </c>
      <c r="AK720" s="11">
        <f>IF(ROUNDUP(Z720/20,0)&gt;ROUNDUP(Z719/20,0),"Lần " &amp; ROUNDUP(Z720/20,0),"")</f>
        <v/>
      </c>
      <c r="AL720" s="6" t="n"/>
      <c r="AN720" t="inlineStr">
        <is>
          <t>Coc</t>
        </is>
      </c>
      <c r="AO720" t="n">
        <v>24</v>
      </c>
    </row>
    <row r="721" ht="19" customHeight="1">
      <c r="A721" s="6" t="n">
        <v>684</v>
      </c>
      <c r="B721" s="7" t="inlineStr">
        <is>
          <t>Cọc khoan nhồi C2 Mố M2 (D1.2m, L=36.0m)</t>
        </is>
      </c>
      <c r="C721" s="7" t="inlineStr">
        <is>
          <t>Cọc mố M2 L=36m (tr.66)</t>
        </is>
      </c>
      <c r="D721" s="18" t="inlineStr">
        <is>
          <t>P1D</t>
        </is>
      </c>
      <c r="E721" s="19" t="n">
        <v>10</v>
      </c>
      <c r="F721" s="6" t="inlineStr">
        <is>
          <t>CB240-T</t>
        </is>
      </c>
      <c r="G721" s="7" t="inlineStr"/>
      <c r="H721" s="20" t="n">
        <v>23.007</v>
      </c>
      <c r="I721" s="21" t="n">
        <v>1</v>
      </c>
      <c r="J721" s="22" t="n">
        <v>0.617</v>
      </c>
      <c r="K721" s="9">
        <f>ROUND(H721*I721*J721, 2)</f>
        <v/>
      </c>
      <c r="L721" s="23">
        <f>ROUND(K721/1000, 3)</f>
        <v/>
      </c>
      <c r="M721" s="8">
        <f>IF(AO721="","",IF(INDEX(Theo_Doi_Tan_Suat_Be_Tong!$C:$C,AO721)="","",INDEX(Theo_Doi_Tan_Suat_Be_Tong!$C:$C,AO721)-VLOOKUP(AN721,$AQ$2:$AR$7,2,FALSE)))</f>
        <v/>
      </c>
      <c r="N721" s="6" t="n"/>
      <c r="O721" s="24">
        <f>IF(ROUNDUP(P721/20,0)&gt;ROUNDUP(P720/20,0),"TN Ø10 (Lần " &amp; ROUNDUP(P721/20,0) &amp; ")","")</f>
        <v/>
      </c>
      <c r="P721" s="20">
        <f>ROUND(P720+IF(AND(E721&lt;=10,F721&lt;&gt;"ASTM A416"),L721,0),3)</f>
        <v/>
      </c>
      <c r="Q721" s="20">
        <f>ROUND(Q720+IF(AND(E721=12,F721&lt;&gt;"ASTM A416"),L721,0),3)</f>
        <v/>
      </c>
      <c r="R721" s="20">
        <f>ROUND(R720+IF(AND(E721=14,F721&lt;&gt;"ASTM A416"),L721,0),3)</f>
        <v/>
      </c>
      <c r="S721" s="20">
        <f>ROUND(S720+IF(AND(E721=16,F721&lt;&gt;"ASTM A416"),L721,0),3)</f>
        <v/>
      </c>
      <c r="T721" s="20">
        <f>ROUND(T720+IF(AND(E721=18,F721&lt;&gt;"ASTM A416"),L721,0),3)</f>
        <v/>
      </c>
      <c r="U721" s="20">
        <f>ROUND(U720+IF(AND(E721=20,F721&lt;&gt;"ASTM A416"),L721,0),3)</f>
        <v/>
      </c>
      <c r="V721" s="20">
        <f>ROUND(V720+IF(AND(E721=22,F721&lt;&gt;"ASTM A416"),L721,0),3)</f>
        <v/>
      </c>
      <c r="W721" s="20">
        <f>ROUND(W720+IF(AND(E721=25,F721&lt;&gt;"ASTM A416"),L721,0),3)</f>
        <v/>
      </c>
      <c r="X721" s="20">
        <f>ROUND(X720+IF(AND(E721=28,F721&lt;&gt;"ASTM A416"),L721,0),3)</f>
        <v/>
      </c>
      <c r="Y721" s="20">
        <f>ROUND(Y720+IF(AND(E721=32,F721&lt;&gt;"ASTM A416"),L721,0),3)</f>
        <v/>
      </c>
      <c r="Z721" s="20">
        <f>ROUND(Z720+IF(F721="ASTM A416",L721,0),3)</f>
        <v/>
      </c>
      <c r="AA721" s="11">
        <f>IF(ROUNDUP(P721/20,0)&gt;ROUNDUP(P720/20,0),"Lần " &amp; ROUNDUP(P721/20,0),"")</f>
        <v/>
      </c>
      <c r="AB721" s="11">
        <f>IF(ROUNDUP(Q721/20,0)&gt;ROUNDUP(Q720/20,0),"Lần " &amp; ROUNDUP(Q721/20,0),"")</f>
        <v/>
      </c>
      <c r="AC721" s="11">
        <f>IF(ROUNDUP(R721/20,0)&gt;ROUNDUP(R720/20,0),"Lần " &amp; ROUNDUP(R721/20,0),"")</f>
        <v/>
      </c>
      <c r="AD721" s="11">
        <f>IF(ROUNDUP(S721/20,0)&gt;ROUNDUP(S720/20,0),"Lần " &amp; ROUNDUP(S721/20,0),"")</f>
        <v/>
      </c>
      <c r="AE721" s="11">
        <f>IF(ROUNDUP(T721/20,0)&gt;ROUNDUP(T720/20,0),"Lần " &amp; ROUNDUP(T721/20,0),"")</f>
        <v/>
      </c>
      <c r="AF721" s="11">
        <f>IF(ROUNDUP(U721/20,0)&gt;ROUNDUP(U720/20,0),"Lần " &amp; ROUNDUP(U721/20,0),"")</f>
        <v/>
      </c>
      <c r="AG721" s="11">
        <f>IF(ROUNDUP(V721/20,0)&gt;ROUNDUP(V720/20,0),"Lần " &amp; ROUNDUP(V721/20,0),"")</f>
        <v/>
      </c>
      <c r="AH721" s="11">
        <f>IF(ROUNDUP(W721/20,0)&gt;ROUNDUP(W720/20,0),"Lần " &amp; ROUNDUP(W721/20,0),"")</f>
        <v/>
      </c>
      <c r="AI721" s="11">
        <f>IF(ROUNDUP(X721/20,0)&gt;ROUNDUP(X720/20,0),"Lần " &amp; ROUNDUP(X721/20,0),"")</f>
        <v/>
      </c>
      <c r="AJ721" s="11">
        <f>IF(ROUNDUP(Y721/20,0)&gt;ROUNDUP(Y720/20,0),"Lần " &amp; ROUNDUP(Y721/20,0),"")</f>
        <v/>
      </c>
      <c r="AK721" s="11">
        <f>IF(ROUNDUP(Z721/20,0)&gt;ROUNDUP(Z720/20,0),"Lần " &amp; ROUNDUP(Z721/20,0),"")</f>
        <v/>
      </c>
      <c r="AL721" s="6" t="n"/>
      <c r="AN721" t="inlineStr">
        <is>
          <t>Coc</t>
        </is>
      </c>
      <c r="AO721" t="n">
        <v>24</v>
      </c>
    </row>
    <row r="722" ht="19" customHeight="1">
      <c r="A722" s="6" t="n">
        <v>685</v>
      </c>
      <c r="B722" s="7" t="inlineStr">
        <is>
          <t>Cọc khoan nhồi C2 Mố M2 (D1.2m, L=36.0m)</t>
        </is>
      </c>
      <c r="C722" s="7" t="inlineStr">
        <is>
          <t>Cọc mố M2 L=36m (tr.66)</t>
        </is>
      </c>
      <c r="D722" s="18" t="inlineStr">
        <is>
          <t>P2A</t>
        </is>
      </c>
      <c r="E722" s="19" t="n">
        <v>28</v>
      </c>
      <c r="F722" s="6" t="inlineStr">
        <is>
          <t>CB400-V</t>
        </is>
      </c>
      <c r="G722" s="7" t="inlineStr"/>
      <c r="H722" s="20" t="n">
        <v>2.966</v>
      </c>
      <c r="I722" s="21" t="n">
        <v>5</v>
      </c>
      <c r="J722" s="22" t="n">
        <v>4.834</v>
      </c>
      <c r="K722" s="9">
        <f>ROUND(H722*I722*J722, 2)</f>
        <v/>
      </c>
      <c r="L722" s="23">
        <f>ROUND(K722/1000, 3)</f>
        <v/>
      </c>
      <c r="M722" s="8">
        <f>IF(AO722="","",IF(INDEX(Theo_Doi_Tan_Suat_Be_Tong!$C:$C,AO722)="","",INDEX(Theo_Doi_Tan_Suat_Be_Tong!$C:$C,AO722)-VLOOKUP(AN722,$AQ$2:$AR$7,2,FALSE)))</f>
        <v/>
      </c>
      <c r="N722" s="6" t="n"/>
      <c r="O722" s="24">
        <f>IF(ROUNDUP(X722/20,0)&gt;ROUNDUP(X721/20,0),"TN Ø28 (Lần " &amp; ROUNDUP(X722/20,0) &amp; ")","")</f>
        <v/>
      </c>
      <c r="P722" s="20">
        <f>ROUND(P721+IF(AND(E722&lt;=10,F722&lt;&gt;"ASTM A416"),L722,0),3)</f>
        <v/>
      </c>
      <c r="Q722" s="20">
        <f>ROUND(Q721+IF(AND(E722=12,F722&lt;&gt;"ASTM A416"),L722,0),3)</f>
        <v/>
      </c>
      <c r="R722" s="20">
        <f>ROUND(R721+IF(AND(E722=14,F722&lt;&gt;"ASTM A416"),L722,0),3)</f>
        <v/>
      </c>
      <c r="S722" s="20">
        <f>ROUND(S721+IF(AND(E722=16,F722&lt;&gt;"ASTM A416"),L722,0),3)</f>
        <v/>
      </c>
      <c r="T722" s="20">
        <f>ROUND(T721+IF(AND(E722=18,F722&lt;&gt;"ASTM A416"),L722,0),3)</f>
        <v/>
      </c>
      <c r="U722" s="20">
        <f>ROUND(U721+IF(AND(E722=20,F722&lt;&gt;"ASTM A416"),L722,0),3)</f>
        <v/>
      </c>
      <c r="V722" s="20">
        <f>ROUND(V721+IF(AND(E722=22,F722&lt;&gt;"ASTM A416"),L722,0),3)</f>
        <v/>
      </c>
      <c r="W722" s="20">
        <f>ROUND(W721+IF(AND(E722=25,F722&lt;&gt;"ASTM A416"),L722,0),3)</f>
        <v/>
      </c>
      <c r="X722" s="20">
        <f>ROUND(X721+IF(AND(E722=28,F722&lt;&gt;"ASTM A416"),L722,0),3)</f>
        <v/>
      </c>
      <c r="Y722" s="20">
        <f>ROUND(Y721+IF(AND(E722=32,F722&lt;&gt;"ASTM A416"),L722,0),3)</f>
        <v/>
      </c>
      <c r="Z722" s="20">
        <f>ROUND(Z721+IF(F722="ASTM A416",L722,0),3)</f>
        <v/>
      </c>
      <c r="AA722" s="11">
        <f>IF(ROUNDUP(P722/20,0)&gt;ROUNDUP(P721/20,0),"Lần " &amp; ROUNDUP(P722/20,0),"")</f>
        <v/>
      </c>
      <c r="AB722" s="11">
        <f>IF(ROUNDUP(Q722/20,0)&gt;ROUNDUP(Q721/20,0),"Lần " &amp; ROUNDUP(Q722/20,0),"")</f>
        <v/>
      </c>
      <c r="AC722" s="11">
        <f>IF(ROUNDUP(R722/20,0)&gt;ROUNDUP(R721/20,0),"Lần " &amp; ROUNDUP(R722/20,0),"")</f>
        <v/>
      </c>
      <c r="AD722" s="11">
        <f>IF(ROUNDUP(S722/20,0)&gt;ROUNDUP(S721/20,0),"Lần " &amp; ROUNDUP(S722/20,0),"")</f>
        <v/>
      </c>
      <c r="AE722" s="11">
        <f>IF(ROUNDUP(T722/20,0)&gt;ROUNDUP(T721/20,0),"Lần " &amp; ROUNDUP(T722/20,0),"")</f>
        <v/>
      </c>
      <c r="AF722" s="11">
        <f>IF(ROUNDUP(U722/20,0)&gt;ROUNDUP(U721/20,0),"Lần " &amp; ROUNDUP(U722/20,0),"")</f>
        <v/>
      </c>
      <c r="AG722" s="11">
        <f>IF(ROUNDUP(V722/20,0)&gt;ROUNDUP(V721/20,0),"Lần " &amp; ROUNDUP(V722/20,0),"")</f>
        <v/>
      </c>
      <c r="AH722" s="11">
        <f>IF(ROUNDUP(W722/20,0)&gt;ROUNDUP(W721/20,0),"Lần " &amp; ROUNDUP(W722/20,0),"")</f>
        <v/>
      </c>
      <c r="AI722" s="11">
        <f>IF(ROUNDUP(X722/20,0)&gt;ROUNDUP(X721/20,0),"Lần " &amp; ROUNDUP(X722/20,0),"")</f>
        <v/>
      </c>
      <c r="AJ722" s="11">
        <f>IF(ROUNDUP(Y722/20,0)&gt;ROUNDUP(Y721/20,0),"Lần " &amp; ROUNDUP(Y722/20,0),"")</f>
        <v/>
      </c>
      <c r="AK722" s="11">
        <f>IF(ROUNDUP(Z722/20,0)&gt;ROUNDUP(Z721/20,0),"Lần " &amp; ROUNDUP(Z722/20,0),"")</f>
        <v/>
      </c>
      <c r="AL722" s="6" t="n"/>
      <c r="AN722" t="inlineStr">
        <is>
          <t>Coc</t>
        </is>
      </c>
      <c r="AO722" t="n">
        <v>24</v>
      </c>
    </row>
    <row r="723" ht="19" customHeight="1">
      <c r="A723" s="6" t="n">
        <v>686</v>
      </c>
      <c r="B723" s="7" t="inlineStr">
        <is>
          <t>Cọc khoan nhồi C2 Mố M2 (D1.2m, L=36.0m)</t>
        </is>
      </c>
      <c r="C723" s="7" t="inlineStr">
        <is>
          <t>Cọc mố M2 L=36m (tr.66)</t>
        </is>
      </c>
      <c r="D723" s="18" t="inlineStr">
        <is>
          <t>P2B</t>
        </is>
      </c>
      <c r="E723" s="19" t="n">
        <v>25</v>
      </c>
      <c r="F723" s="6" t="inlineStr">
        <is>
          <t>CB400-V</t>
        </is>
      </c>
      <c r="G723" s="7" t="inlineStr"/>
      <c r="H723" s="20" t="n">
        <v>2.985</v>
      </c>
      <c r="I723" s="21" t="n">
        <v>10</v>
      </c>
      <c r="J723" s="22" t="n">
        <v>3.853</v>
      </c>
      <c r="K723" s="9">
        <f>ROUND(H723*I723*J723, 2)</f>
        <v/>
      </c>
      <c r="L723" s="23">
        <f>ROUND(K723/1000, 3)</f>
        <v/>
      </c>
      <c r="M723" s="8">
        <f>IF(AO723="","",IF(INDEX(Theo_Doi_Tan_Suat_Be_Tong!$C:$C,AO723)="","",INDEX(Theo_Doi_Tan_Suat_Be_Tong!$C:$C,AO723)-VLOOKUP(AN723,$AQ$2:$AR$7,2,FALSE)))</f>
        <v/>
      </c>
      <c r="N723" s="6" t="n"/>
      <c r="O723" s="24">
        <f>IF(ROUNDUP(W723/20,0)&gt;ROUNDUP(W722/20,0),"TN Ø25 (Lần " &amp; ROUNDUP(W723/20,0) &amp; ")","")</f>
        <v/>
      </c>
      <c r="P723" s="20">
        <f>ROUND(P722+IF(AND(E723&lt;=10,F723&lt;&gt;"ASTM A416"),L723,0),3)</f>
        <v/>
      </c>
      <c r="Q723" s="20">
        <f>ROUND(Q722+IF(AND(E723=12,F723&lt;&gt;"ASTM A416"),L723,0),3)</f>
        <v/>
      </c>
      <c r="R723" s="20">
        <f>ROUND(R722+IF(AND(E723=14,F723&lt;&gt;"ASTM A416"),L723,0),3)</f>
        <v/>
      </c>
      <c r="S723" s="20">
        <f>ROUND(S722+IF(AND(E723=16,F723&lt;&gt;"ASTM A416"),L723,0),3)</f>
        <v/>
      </c>
      <c r="T723" s="20">
        <f>ROUND(T722+IF(AND(E723=18,F723&lt;&gt;"ASTM A416"),L723,0),3)</f>
        <v/>
      </c>
      <c r="U723" s="20">
        <f>ROUND(U722+IF(AND(E723=20,F723&lt;&gt;"ASTM A416"),L723,0),3)</f>
        <v/>
      </c>
      <c r="V723" s="20">
        <f>ROUND(V722+IF(AND(E723=22,F723&lt;&gt;"ASTM A416"),L723,0),3)</f>
        <v/>
      </c>
      <c r="W723" s="20">
        <f>ROUND(W722+IF(AND(E723=25,F723&lt;&gt;"ASTM A416"),L723,0),3)</f>
        <v/>
      </c>
      <c r="X723" s="20">
        <f>ROUND(X722+IF(AND(E723=28,F723&lt;&gt;"ASTM A416"),L723,0),3)</f>
        <v/>
      </c>
      <c r="Y723" s="20">
        <f>ROUND(Y722+IF(AND(E723=32,F723&lt;&gt;"ASTM A416"),L723,0),3)</f>
        <v/>
      </c>
      <c r="Z723" s="20">
        <f>ROUND(Z722+IF(F723="ASTM A416",L723,0),3)</f>
        <v/>
      </c>
      <c r="AA723" s="11">
        <f>IF(ROUNDUP(P723/20,0)&gt;ROUNDUP(P722/20,0),"Lần " &amp; ROUNDUP(P723/20,0),"")</f>
        <v/>
      </c>
      <c r="AB723" s="11">
        <f>IF(ROUNDUP(Q723/20,0)&gt;ROUNDUP(Q722/20,0),"Lần " &amp; ROUNDUP(Q723/20,0),"")</f>
        <v/>
      </c>
      <c r="AC723" s="11">
        <f>IF(ROUNDUP(R723/20,0)&gt;ROUNDUP(R722/20,0),"Lần " &amp; ROUNDUP(R723/20,0),"")</f>
        <v/>
      </c>
      <c r="AD723" s="11">
        <f>IF(ROUNDUP(S723/20,0)&gt;ROUNDUP(S722/20,0),"Lần " &amp; ROUNDUP(S723/20,0),"")</f>
        <v/>
      </c>
      <c r="AE723" s="11">
        <f>IF(ROUNDUP(T723/20,0)&gt;ROUNDUP(T722/20,0),"Lần " &amp; ROUNDUP(T723/20,0),"")</f>
        <v/>
      </c>
      <c r="AF723" s="11">
        <f>IF(ROUNDUP(U723/20,0)&gt;ROUNDUP(U722/20,0),"Lần " &amp; ROUNDUP(U723/20,0),"")</f>
        <v/>
      </c>
      <c r="AG723" s="11">
        <f>IF(ROUNDUP(V723/20,0)&gt;ROUNDUP(V722/20,0),"Lần " &amp; ROUNDUP(V723/20,0),"")</f>
        <v/>
      </c>
      <c r="AH723" s="11">
        <f>IF(ROUNDUP(W723/20,0)&gt;ROUNDUP(W722/20,0),"Lần " &amp; ROUNDUP(W723/20,0),"")</f>
        <v/>
      </c>
      <c r="AI723" s="11">
        <f>IF(ROUNDUP(X723/20,0)&gt;ROUNDUP(X722/20,0),"Lần " &amp; ROUNDUP(X723/20,0),"")</f>
        <v/>
      </c>
      <c r="AJ723" s="11">
        <f>IF(ROUNDUP(Y723/20,0)&gt;ROUNDUP(Y722/20,0),"Lần " &amp; ROUNDUP(Y723/20,0),"")</f>
        <v/>
      </c>
      <c r="AK723" s="11">
        <f>IF(ROUNDUP(Z723/20,0)&gt;ROUNDUP(Z722/20,0),"Lần " &amp; ROUNDUP(Z723/20,0),"")</f>
        <v/>
      </c>
      <c r="AL723" s="6" t="n"/>
      <c r="AN723" t="inlineStr">
        <is>
          <t>Coc</t>
        </is>
      </c>
      <c r="AO723" t="n">
        <v>24</v>
      </c>
    </row>
    <row r="724" ht="19" customHeight="1">
      <c r="A724" s="6" t="n">
        <v>687</v>
      </c>
      <c r="B724" s="7" t="inlineStr">
        <is>
          <t>Cọc khoan nhồi C2 Mố M2 (D1.2m, L=36.0m)</t>
        </is>
      </c>
      <c r="C724" s="7" t="inlineStr">
        <is>
          <t>Cọc mố M2 L=36m (tr.66)</t>
        </is>
      </c>
      <c r="D724" s="18" t="inlineStr">
        <is>
          <t>P3</t>
        </is>
      </c>
      <c r="E724" s="19" t="n">
        <v>28</v>
      </c>
      <c r="F724" s="6" t="inlineStr">
        <is>
          <t>CB400-V</t>
        </is>
      </c>
      <c r="G724" s="7" t="inlineStr"/>
      <c r="H724" s="20" t="n">
        <v>10.7</v>
      </c>
      <c r="I724" s="21" t="n">
        <v>12</v>
      </c>
      <c r="J724" s="22" t="n">
        <v>4.834</v>
      </c>
      <c r="K724" s="9">
        <f>ROUND(H724*I724*J724, 2)</f>
        <v/>
      </c>
      <c r="L724" s="23">
        <f>ROUND(K724/1000, 3)</f>
        <v/>
      </c>
      <c r="M724" s="8">
        <f>IF(AO724="","",IF(INDEX(Theo_Doi_Tan_Suat_Be_Tong!$C:$C,AO724)="","",INDEX(Theo_Doi_Tan_Suat_Be_Tong!$C:$C,AO724)-VLOOKUP(AN724,$AQ$2:$AR$7,2,FALSE)))</f>
        <v/>
      </c>
      <c r="N724" s="6" t="n"/>
      <c r="O724" s="24">
        <f>IF(ROUNDUP(X724/20,0)&gt;ROUNDUP(X723/20,0),"TN Ø28 (Lần " &amp; ROUNDUP(X724/20,0) &amp; ")","")</f>
        <v/>
      </c>
      <c r="P724" s="20">
        <f>ROUND(P723+IF(AND(E724&lt;=10,F724&lt;&gt;"ASTM A416"),L724,0),3)</f>
        <v/>
      </c>
      <c r="Q724" s="20">
        <f>ROUND(Q723+IF(AND(E724=12,F724&lt;&gt;"ASTM A416"),L724,0),3)</f>
        <v/>
      </c>
      <c r="R724" s="20">
        <f>ROUND(R723+IF(AND(E724=14,F724&lt;&gt;"ASTM A416"),L724,0),3)</f>
        <v/>
      </c>
      <c r="S724" s="20">
        <f>ROUND(S723+IF(AND(E724=16,F724&lt;&gt;"ASTM A416"),L724,0),3)</f>
        <v/>
      </c>
      <c r="T724" s="20">
        <f>ROUND(T723+IF(AND(E724=18,F724&lt;&gt;"ASTM A416"),L724,0),3)</f>
        <v/>
      </c>
      <c r="U724" s="20">
        <f>ROUND(U723+IF(AND(E724=20,F724&lt;&gt;"ASTM A416"),L724,0),3)</f>
        <v/>
      </c>
      <c r="V724" s="20">
        <f>ROUND(V723+IF(AND(E724=22,F724&lt;&gt;"ASTM A416"),L724,0),3)</f>
        <v/>
      </c>
      <c r="W724" s="20">
        <f>ROUND(W723+IF(AND(E724=25,F724&lt;&gt;"ASTM A416"),L724,0),3)</f>
        <v/>
      </c>
      <c r="X724" s="20">
        <f>ROUND(X723+IF(AND(E724=28,F724&lt;&gt;"ASTM A416"),L724,0),3)</f>
        <v/>
      </c>
      <c r="Y724" s="20">
        <f>ROUND(Y723+IF(AND(E724=32,F724&lt;&gt;"ASTM A416"),L724,0),3)</f>
        <v/>
      </c>
      <c r="Z724" s="20">
        <f>ROUND(Z723+IF(F724="ASTM A416",L724,0),3)</f>
        <v/>
      </c>
      <c r="AA724" s="11">
        <f>IF(ROUNDUP(P724/20,0)&gt;ROUNDUP(P723/20,0),"Lần " &amp; ROUNDUP(P724/20,0),"")</f>
        <v/>
      </c>
      <c r="AB724" s="11">
        <f>IF(ROUNDUP(Q724/20,0)&gt;ROUNDUP(Q723/20,0),"Lần " &amp; ROUNDUP(Q724/20,0),"")</f>
        <v/>
      </c>
      <c r="AC724" s="11">
        <f>IF(ROUNDUP(R724/20,0)&gt;ROUNDUP(R723/20,0),"Lần " &amp; ROUNDUP(R724/20,0),"")</f>
        <v/>
      </c>
      <c r="AD724" s="11">
        <f>IF(ROUNDUP(S724/20,0)&gt;ROUNDUP(S723/20,0),"Lần " &amp; ROUNDUP(S724/20,0),"")</f>
        <v/>
      </c>
      <c r="AE724" s="11">
        <f>IF(ROUNDUP(T724/20,0)&gt;ROUNDUP(T723/20,0),"Lần " &amp; ROUNDUP(T724/20,0),"")</f>
        <v/>
      </c>
      <c r="AF724" s="11">
        <f>IF(ROUNDUP(U724/20,0)&gt;ROUNDUP(U723/20,0),"Lần " &amp; ROUNDUP(U724/20,0),"")</f>
        <v/>
      </c>
      <c r="AG724" s="11">
        <f>IF(ROUNDUP(V724/20,0)&gt;ROUNDUP(V723/20,0),"Lần " &amp; ROUNDUP(V724/20,0),"")</f>
        <v/>
      </c>
      <c r="AH724" s="11">
        <f>IF(ROUNDUP(W724/20,0)&gt;ROUNDUP(W723/20,0),"Lần " &amp; ROUNDUP(W724/20,0),"")</f>
        <v/>
      </c>
      <c r="AI724" s="11">
        <f>IF(ROUNDUP(X724/20,0)&gt;ROUNDUP(X723/20,0),"Lần " &amp; ROUNDUP(X724/20,0),"")</f>
        <v/>
      </c>
      <c r="AJ724" s="11">
        <f>IF(ROUNDUP(Y724/20,0)&gt;ROUNDUP(Y723/20,0),"Lần " &amp; ROUNDUP(Y724/20,0),"")</f>
        <v/>
      </c>
      <c r="AK724" s="11">
        <f>IF(ROUNDUP(Z724/20,0)&gt;ROUNDUP(Z723/20,0),"Lần " &amp; ROUNDUP(Z724/20,0),"")</f>
        <v/>
      </c>
      <c r="AL724" s="6" t="n"/>
      <c r="AN724" t="inlineStr">
        <is>
          <t>Coc</t>
        </is>
      </c>
      <c r="AO724" t="n">
        <v>24</v>
      </c>
    </row>
    <row r="725" ht="19" customHeight="1">
      <c r="A725" s="6" t="n">
        <v>688</v>
      </c>
      <c r="B725" s="7" t="inlineStr">
        <is>
          <t>Cọc khoan nhồi C2 Mố M2 (D1.2m, L=36.0m)</t>
        </is>
      </c>
      <c r="C725" s="7" t="inlineStr">
        <is>
          <t>Cọc mố M2 L=36m (tr.66)</t>
        </is>
      </c>
      <c r="D725" s="18" t="inlineStr">
        <is>
          <t>P4</t>
        </is>
      </c>
      <c r="E725" s="19" t="n">
        <v>28</v>
      </c>
      <c r="F725" s="6" t="inlineStr">
        <is>
          <t>CB400-V</t>
        </is>
      </c>
      <c r="G725" s="7" t="inlineStr"/>
      <c r="H725" s="20" t="n">
        <v>11.7</v>
      </c>
      <c r="I725" s="21" t="n">
        <v>12</v>
      </c>
      <c r="J725" s="22" t="n">
        <v>4.834</v>
      </c>
      <c r="K725" s="9">
        <f>ROUND(H725*I725*J725, 2)</f>
        <v/>
      </c>
      <c r="L725" s="23">
        <f>ROUND(K725/1000, 3)</f>
        <v/>
      </c>
      <c r="M725" s="8">
        <f>IF(AO725="","",IF(INDEX(Theo_Doi_Tan_Suat_Be_Tong!$C:$C,AO725)="","",INDEX(Theo_Doi_Tan_Suat_Be_Tong!$C:$C,AO725)-VLOOKUP(AN725,$AQ$2:$AR$7,2,FALSE)))</f>
        <v/>
      </c>
      <c r="N725" s="6" t="n"/>
      <c r="O725" s="24">
        <f>IF(ROUNDUP(X725/20,0)&gt;ROUNDUP(X724/20,0),"TN Ø28 (Lần " &amp; ROUNDUP(X725/20,0) &amp; ")","")</f>
        <v/>
      </c>
      <c r="P725" s="20">
        <f>ROUND(P724+IF(AND(E725&lt;=10,F725&lt;&gt;"ASTM A416"),L725,0),3)</f>
        <v/>
      </c>
      <c r="Q725" s="20">
        <f>ROUND(Q724+IF(AND(E725=12,F725&lt;&gt;"ASTM A416"),L725,0),3)</f>
        <v/>
      </c>
      <c r="R725" s="20">
        <f>ROUND(R724+IF(AND(E725=14,F725&lt;&gt;"ASTM A416"),L725,0),3)</f>
        <v/>
      </c>
      <c r="S725" s="20">
        <f>ROUND(S724+IF(AND(E725=16,F725&lt;&gt;"ASTM A416"),L725,0),3)</f>
        <v/>
      </c>
      <c r="T725" s="20">
        <f>ROUND(T724+IF(AND(E725=18,F725&lt;&gt;"ASTM A416"),L725,0),3)</f>
        <v/>
      </c>
      <c r="U725" s="20">
        <f>ROUND(U724+IF(AND(E725=20,F725&lt;&gt;"ASTM A416"),L725,0),3)</f>
        <v/>
      </c>
      <c r="V725" s="20">
        <f>ROUND(V724+IF(AND(E725=22,F725&lt;&gt;"ASTM A416"),L725,0),3)</f>
        <v/>
      </c>
      <c r="W725" s="20">
        <f>ROUND(W724+IF(AND(E725=25,F725&lt;&gt;"ASTM A416"),L725,0),3)</f>
        <v/>
      </c>
      <c r="X725" s="20">
        <f>ROUND(X724+IF(AND(E725=28,F725&lt;&gt;"ASTM A416"),L725,0),3)</f>
        <v/>
      </c>
      <c r="Y725" s="20">
        <f>ROUND(Y724+IF(AND(E725=32,F725&lt;&gt;"ASTM A416"),L725,0),3)</f>
        <v/>
      </c>
      <c r="Z725" s="20">
        <f>ROUND(Z724+IF(F725="ASTM A416",L725,0),3)</f>
        <v/>
      </c>
      <c r="AA725" s="11">
        <f>IF(ROUNDUP(P725/20,0)&gt;ROUNDUP(P724/20,0),"Lần " &amp; ROUNDUP(P725/20,0),"")</f>
        <v/>
      </c>
      <c r="AB725" s="11">
        <f>IF(ROUNDUP(Q725/20,0)&gt;ROUNDUP(Q724/20,0),"Lần " &amp; ROUNDUP(Q725/20,0),"")</f>
        <v/>
      </c>
      <c r="AC725" s="11">
        <f>IF(ROUNDUP(R725/20,0)&gt;ROUNDUP(R724/20,0),"Lần " &amp; ROUNDUP(R725/20,0),"")</f>
        <v/>
      </c>
      <c r="AD725" s="11">
        <f>IF(ROUNDUP(S725/20,0)&gt;ROUNDUP(S724/20,0),"Lần " &amp; ROUNDUP(S725/20,0),"")</f>
        <v/>
      </c>
      <c r="AE725" s="11">
        <f>IF(ROUNDUP(T725/20,0)&gt;ROUNDUP(T724/20,0),"Lần " &amp; ROUNDUP(T725/20,0),"")</f>
        <v/>
      </c>
      <c r="AF725" s="11">
        <f>IF(ROUNDUP(U725/20,0)&gt;ROUNDUP(U724/20,0),"Lần " &amp; ROUNDUP(U725/20,0),"")</f>
        <v/>
      </c>
      <c r="AG725" s="11">
        <f>IF(ROUNDUP(V725/20,0)&gt;ROUNDUP(V724/20,0),"Lần " &amp; ROUNDUP(V725/20,0),"")</f>
        <v/>
      </c>
      <c r="AH725" s="11">
        <f>IF(ROUNDUP(W725/20,0)&gt;ROUNDUP(W724/20,0),"Lần " &amp; ROUNDUP(W725/20,0),"")</f>
        <v/>
      </c>
      <c r="AI725" s="11">
        <f>IF(ROUNDUP(X725/20,0)&gt;ROUNDUP(X724/20,0),"Lần " &amp; ROUNDUP(X725/20,0),"")</f>
        <v/>
      </c>
      <c r="AJ725" s="11">
        <f>IF(ROUNDUP(Y725/20,0)&gt;ROUNDUP(Y724/20,0),"Lần " &amp; ROUNDUP(Y725/20,0),"")</f>
        <v/>
      </c>
      <c r="AK725" s="11">
        <f>IF(ROUNDUP(Z725/20,0)&gt;ROUNDUP(Z724/20,0),"Lần " &amp; ROUNDUP(Z725/20,0),"")</f>
        <v/>
      </c>
      <c r="AL725" s="6" t="n"/>
      <c r="AN725" t="inlineStr">
        <is>
          <t>Coc</t>
        </is>
      </c>
      <c r="AO725" t="n">
        <v>24</v>
      </c>
    </row>
    <row r="726" ht="19" customHeight="1">
      <c r="A726" s="6" t="n">
        <v>689</v>
      </c>
      <c r="B726" s="7" t="inlineStr">
        <is>
          <t>Cọc khoan nhồi C2 Mố M2 (D1.2m, L=36.0m)</t>
        </is>
      </c>
      <c r="C726" s="7" t="inlineStr">
        <is>
          <t>Cọc mố M2 L=36m (tr.66)</t>
        </is>
      </c>
      <c r="D726" s="18" t="inlineStr">
        <is>
          <t>P5</t>
        </is>
      </c>
      <c r="E726" s="19" t="n">
        <v>25</v>
      </c>
      <c r="F726" s="6" t="inlineStr">
        <is>
          <t>CB400-V</t>
        </is>
      </c>
      <c r="G726" s="7" t="inlineStr"/>
      <c r="H726" s="20" t="n">
        <v>11.7</v>
      </c>
      <c r="I726" s="21" t="n">
        <v>48</v>
      </c>
      <c r="J726" s="22" t="n">
        <v>3.853</v>
      </c>
      <c r="K726" s="9">
        <f>ROUND(H726*I726*J726, 2)</f>
        <v/>
      </c>
      <c r="L726" s="23">
        <f>ROUND(K726/1000, 3)</f>
        <v/>
      </c>
      <c r="M726" s="8">
        <f>IF(AO726="","",IF(INDEX(Theo_Doi_Tan_Suat_Be_Tong!$C:$C,AO726)="","",INDEX(Theo_Doi_Tan_Suat_Be_Tong!$C:$C,AO726)-VLOOKUP(AN726,$AQ$2:$AR$7,2,FALSE)))</f>
        <v/>
      </c>
      <c r="N726" s="6" t="n"/>
      <c r="O726" s="24">
        <f>IF(ROUNDUP(W726/20,0)&gt;ROUNDUP(W725/20,0),"TN Ø25 (Lần " &amp; ROUNDUP(W726/20,0) &amp; ")","")</f>
        <v/>
      </c>
      <c r="P726" s="20">
        <f>ROUND(P725+IF(AND(E726&lt;=10,F726&lt;&gt;"ASTM A416"),L726,0),3)</f>
        <v/>
      </c>
      <c r="Q726" s="20">
        <f>ROUND(Q725+IF(AND(E726=12,F726&lt;&gt;"ASTM A416"),L726,0),3)</f>
        <v/>
      </c>
      <c r="R726" s="20">
        <f>ROUND(R725+IF(AND(E726=14,F726&lt;&gt;"ASTM A416"),L726,0),3)</f>
        <v/>
      </c>
      <c r="S726" s="20">
        <f>ROUND(S725+IF(AND(E726=16,F726&lt;&gt;"ASTM A416"),L726,0),3)</f>
        <v/>
      </c>
      <c r="T726" s="20">
        <f>ROUND(T725+IF(AND(E726=18,F726&lt;&gt;"ASTM A416"),L726,0),3)</f>
        <v/>
      </c>
      <c r="U726" s="20">
        <f>ROUND(U725+IF(AND(E726=20,F726&lt;&gt;"ASTM A416"),L726,0),3)</f>
        <v/>
      </c>
      <c r="V726" s="20">
        <f>ROUND(V725+IF(AND(E726=22,F726&lt;&gt;"ASTM A416"),L726,0),3)</f>
        <v/>
      </c>
      <c r="W726" s="20">
        <f>ROUND(W725+IF(AND(E726=25,F726&lt;&gt;"ASTM A416"),L726,0),3)</f>
        <v/>
      </c>
      <c r="X726" s="20">
        <f>ROUND(X725+IF(AND(E726=28,F726&lt;&gt;"ASTM A416"),L726,0),3)</f>
        <v/>
      </c>
      <c r="Y726" s="20">
        <f>ROUND(Y725+IF(AND(E726=32,F726&lt;&gt;"ASTM A416"),L726,0),3)</f>
        <v/>
      </c>
      <c r="Z726" s="20">
        <f>ROUND(Z725+IF(F726="ASTM A416",L726,0),3)</f>
        <v/>
      </c>
      <c r="AA726" s="11">
        <f>IF(ROUNDUP(P726/20,0)&gt;ROUNDUP(P725/20,0),"Lần " &amp; ROUNDUP(P726/20,0),"")</f>
        <v/>
      </c>
      <c r="AB726" s="11">
        <f>IF(ROUNDUP(Q726/20,0)&gt;ROUNDUP(Q725/20,0),"Lần " &amp; ROUNDUP(Q726/20,0),"")</f>
        <v/>
      </c>
      <c r="AC726" s="11">
        <f>IF(ROUNDUP(R726/20,0)&gt;ROUNDUP(R725/20,0),"Lần " &amp; ROUNDUP(R726/20,0),"")</f>
        <v/>
      </c>
      <c r="AD726" s="11">
        <f>IF(ROUNDUP(S726/20,0)&gt;ROUNDUP(S725/20,0),"Lần " &amp; ROUNDUP(S726/20,0),"")</f>
        <v/>
      </c>
      <c r="AE726" s="11">
        <f>IF(ROUNDUP(T726/20,0)&gt;ROUNDUP(T725/20,0),"Lần " &amp; ROUNDUP(T726/20,0),"")</f>
        <v/>
      </c>
      <c r="AF726" s="11">
        <f>IF(ROUNDUP(U726/20,0)&gt;ROUNDUP(U725/20,0),"Lần " &amp; ROUNDUP(U726/20,0),"")</f>
        <v/>
      </c>
      <c r="AG726" s="11">
        <f>IF(ROUNDUP(V726/20,0)&gt;ROUNDUP(V725/20,0),"Lần " &amp; ROUNDUP(V726/20,0),"")</f>
        <v/>
      </c>
      <c r="AH726" s="11">
        <f>IF(ROUNDUP(W726/20,0)&gt;ROUNDUP(W725/20,0),"Lần " &amp; ROUNDUP(W726/20,0),"")</f>
        <v/>
      </c>
      <c r="AI726" s="11">
        <f>IF(ROUNDUP(X726/20,0)&gt;ROUNDUP(X725/20,0),"Lần " &amp; ROUNDUP(X726/20,0),"")</f>
        <v/>
      </c>
      <c r="AJ726" s="11">
        <f>IF(ROUNDUP(Y726/20,0)&gt;ROUNDUP(Y725/20,0),"Lần " &amp; ROUNDUP(Y726/20,0),"")</f>
        <v/>
      </c>
      <c r="AK726" s="11">
        <f>IF(ROUNDUP(Z726/20,0)&gt;ROUNDUP(Z725/20,0),"Lần " &amp; ROUNDUP(Z726/20,0),"")</f>
        <v/>
      </c>
      <c r="AL726" s="6" t="n"/>
      <c r="AN726" t="inlineStr">
        <is>
          <t>Coc</t>
        </is>
      </c>
      <c r="AO726" t="n">
        <v>24</v>
      </c>
    </row>
    <row r="727" ht="19" customHeight="1">
      <c r="A727" s="6" t="n">
        <v>690</v>
      </c>
      <c r="B727" s="7" t="inlineStr">
        <is>
          <t>Cọc khoan nhồi C2 Mố M2 (D1.2m, L=36.0m)</t>
        </is>
      </c>
      <c r="C727" s="7" t="inlineStr">
        <is>
          <t>Cọc mố M2 L=36m (tr.66)</t>
        </is>
      </c>
      <c r="D727" s="18" t="inlineStr">
        <is>
          <t>P6</t>
        </is>
      </c>
      <c r="E727" s="19" t="n">
        <v>25</v>
      </c>
      <c r="F727" s="6" t="inlineStr">
        <is>
          <t>CB400-V</t>
        </is>
      </c>
      <c r="G727" s="7" t="inlineStr"/>
      <c r="H727" s="20" t="n">
        <v>5.153</v>
      </c>
      <c r="I727" s="21" t="n">
        <v>12</v>
      </c>
      <c r="J727" s="22" t="n">
        <v>3.853</v>
      </c>
      <c r="K727" s="9">
        <f>ROUND(H727*I727*J727, 2)</f>
        <v/>
      </c>
      <c r="L727" s="23">
        <f>ROUND(K727/1000, 3)</f>
        <v/>
      </c>
      <c r="M727" s="8">
        <f>IF(AO727="","",IF(INDEX(Theo_Doi_Tan_Suat_Be_Tong!$C:$C,AO727)="","",INDEX(Theo_Doi_Tan_Suat_Be_Tong!$C:$C,AO727)-VLOOKUP(AN727,$AQ$2:$AR$7,2,FALSE)))</f>
        <v/>
      </c>
      <c r="N727" s="6" t="n"/>
      <c r="O727" s="24">
        <f>IF(ROUNDUP(W727/20,0)&gt;ROUNDUP(W726/20,0),"TN Ø25 (Lần " &amp; ROUNDUP(W727/20,0) &amp; ")","")</f>
        <v/>
      </c>
      <c r="P727" s="20">
        <f>ROUND(P726+IF(AND(E727&lt;=10,F727&lt;&gt;"ASTM A416"),L727,0),3)</f>
        <v/>
      </c>
      <c r="Q727" s="20">
        <f>ROUND(Q726+IF(AND(E727=12,F727&lt;&gt;"ASTM A416"),L727,0),3)</f>
        <v/>
      </c>
      <c r="R727" s="20">
        <f>ROUND(R726+IF(AND(E727=14,F727&lt;&gt;"ASTM A416"),L727,0),3)</f>
        <v/>
      </c>
      <c r="S727" s="20">
        <f>ROUND(S726+IF(AND(E727=16,F727&lt;&gt;"ASTM A416"),L727,0),3)</f>
        <v/>
      </c>
      <c r="T727" s="20">
        <f>ROUND(T726+IF(AND(E727=18,F727&lt;&gt;"ASTM A416"),L727,0),3)</f>
        <v/>
      </c>
      <c r="U727" s="20">
        <f>ROUND(U726+IF(AND(E727=20,F727&lt;&gt;"ASTM A416"),L727,0),3)</f>
        <v/>
      </c>
      <c r="V727" s="20">
        <f>ROUND(V726+IF(AND(E727=22,F727&lt;&gt;"ASTM A416"),L727,0),3)</f>
        <v/>
      </c>
      <c r="W727" s="20">
        <f>ROUND(W726+IF(AND(E727=25,F727&lt;&gt;"ASTM A416"),L727,0),3)</f>
        <v/>
      </c>
      <c r="X727" s="20">
        <f>ROUND(X726+IF(AND(E727=28,F727&lt;&gt;"ASTM A416"),L727,0),3)</f>
        <v/>
      </c>
      <c r="Y727" s="20">
        <f>ROUND(Y726+IF(AND(E727=32,F727&lt;&gt;"ASTM A416"),L727,0),3)</f>
        <v/>
      </c>
      <c r="Z727" s="20">
        <f>ROUND(Z726+IF(F727="ASTM A416",L727,0),3)</f>
        <v/>
      </c>
      <c r="AA727" s="11">
        <f>IF(ROUNDUP(P727/20,0)&gt;ROUNDUP(P726/20,0),"Lần " &amp; ROUNDUP(P727/20,0),"")</f>
        <v/>
      </c>
      <c r="AB727" s="11">
        <f>IF(ROUNDUP(Q727/20,0)&gt;ROUNDUP(Q726/20,0),"Lần " &amp; ROUNDUP(Q727/20,0),"")</f>
        <v/>
      </c>
      <c r="AC727" s="11">
        <f>IF(ROUNDUP(R727/20,0)&gt;ROUNDUP(R726/20,0),"Lần " &amp; ROUNDUP(R727/20,0),"")</f>
        <v/>
      </c>
      <c r="AD727" s="11">
        <f>IF(ROUNDUP(S727/20,0)&gt;ROUNDUP(S726/20,0),"Lần " &amp; ROUNDUP(S727/20,0),"")</f>
        <v/>
      </c>
      <c r="AE727" s="11">
        <f>IF(ROUNDUP(T727/20,0)&gt;ROUNDUP(T726/20,0),"Lần " &amp; ROUNDUP(T727/20,0),"")</f>
        <v/>
      </c>
      <c r="AF727" s="11">
        <f>IF(ROUNDUP(U727/20,0)&gt;ROUNDUP(U726/20,0),"Lần " &amp; ROUNDUP(U727/20,0),"")</f>
        <v/>
      </c>
      <c r="AG727" s="11">
        <f>IF(ROUNDUP(V727/20,0)&gt;ROUNDUP(V726/20,0),"Lần " &amp; ROUNDUP(V727/20,0),"")</f>
        <v/>
      </c>
      <c r="AH727" s="11">
        <f>IF(ROUNDUP(W727/20,0)&gt;ROUNDUP(W726/20,0),"Lần " &amp; ROUNDUP(W727/20,0),"")</f>
        <v/>
      </c>
      <c r="AI727" s="11">
        <f>IF(ROUNDUP(X727/20,0)&gt;ROUNDUP(X726/20,0),"Lần " &amp; ROUNDUP(X727/20,0),"")</f>
        <v/>
      </c>
      <c r="AJ727" s="11">
        <f>IF(ROUNDUP(Y727/20,0)&gt;ROUNDUP(Y726/20,0),"Lần " &amp; ROUNDUP(Y727/20,0),"")</f>
        <v/>
      </c>
      <c r="AK727" s="11">
        <f>IF(ROUNDUP(Z727/20,0)&gt;ROUNDUP(Z726/20,0),"Lần " &amp; ROUNDUP(Z727/20,0),"")</f>
        <v/>
      </c>
      <c r="AL727" s="6" t="n"/>
      <c r="AN727" t="inlineStr">
        <is>
          <t>Coc</t>
        </is>
      </c>
      <c r="AO727" t="n">
        <v>24</v>
      </c>
    </row>
    <row r="728" ht="19" customHeight="1">
      <c r="A728" s="6" t="n">
        <v>691</v>
      </c>
      <c r="B728" s="7" t="inlineStr">
        <is>
          <t>Cọc khoan nhồi C2 Mố M2 (D1.2m, L=36.0m)</t>
        </is>
      </c>
      <c r="C728" s="7" t="inlineStr">
        <is>
          <t>Cọc mố M2 L=36m (tr.66)</t>
        </is>
      </c>
      <c r="D728" s="18" t="inlineStr">
        <is>
          <t>P7</t>
        </is>
      </c>
      <c r="E728" s="19" t="n">
        <v>25</v>
      </c>
      <c r="F728" s="6" t="inlineStr">
        <is>
          <t>CB400-V</t>
        </is>
      </c>
      <c r="G728" s="7" t="inlineStr"/>
      <c r="H728" s="20" t="n">
        <v>6.153</v>
      </c>
      <c r="I728" s="21" t="n">
        <v>12</v>
      </c>
      <c r="J728" s="22" t="n">
        <v>3.853</v>
      </c>
      <c r="K728" s="9">
        <f>ROUND(H728*I728*J728, 2)</f>
        <v/>
      </c>
      <c r="L728" s="23">
        <f>ROUND(K728/1000, 3)</f>
        <v/>
      </c>
      <c r="M728" s="8">
        <f>IF(AO728="","",IF(INDEX(Theo_Doi_Tan_Suat_Be_Tong!$C:$C,AO728)="","",INDEX(Theo_Doi_Tan_Suat_Be_Tong!$C:$C,AO728)-VLOOKUP(AN728,$AQ$2:$AR$7,2,FALSE)))</f>
        <v/>
      </c>
      <c r="N728" s="6" t="n"/>
      <c r="O728" s="24">
        <f>IF(ROUNDUP(W728/20,0)&gt;ROUNDUP(W727/20,0),"TN Ø25 (Lần " &amp; ROUNDUP(W728/20,0) &amp; ")","")</f>
        <v/>
      </c>
      <c r="P728" s="20">
        <f>ROUND(P727+IF(AND(E728&lt;=10,F728&lt;&gt;"ASTM A416"),L728,0),3)</f>
        <v/>
      </c>
      <c r="Q728" s="20">
        <f>ROUND(Q727+IF(AND(E728=12,F728&lt;&gt;"ASTM A416"),L728,0),3)</f>
        <v/>
      </c>
      <c r="R728" s="20">
        <f>ROUND(R727+IF(AND(E728=14,F728&lt;&gt;"ASTM A416"),L728,0),3)</f>
        <v/>
      </c>
      <c r="S728" s="20">
        <f>ROUND(S727+IF(AND(E728=16,F728&lt;&gt;"ASTM A416"),L728,0),3)</f>
        <v/>
      </c>
      <c r="T728" s="20">
        <f>ROUND(T727+IF(AND(E728=18,F728&lt;&gt;"ASTM A416"),L728,0),3)</f>
        <v/>
      </c>
      <c r="U728" s="20">
        <f>ROUND(U727+IF(AND(E728=20,F728&lt;&gt;"ASTM A416"),L728,0),3)</f>
        <v/>
      </c>
      <c r="V728" s="20">
        <f>ROUND(V727+IF(AND(E728=22,F728&lt;&gt;"ASTM A416"),L728,0),3)</f>
        <v/>
      </c>
      <c r="W728" s="20">
        <f>ROUND(W727+IF(AND(E728=25,F728&lt;&gt;"ASTM A416"),L728,0),3)</f>
        <v/>
      </c>
      <c r="X728" s="20">
        <f>ROUND(X727+IF(AND(E728=28,F728&lt;&gt;"ASTM A416"),L728,0),3)</f>
        <v/>
      </c>
      <c r="Y728" s="20">
        <f>ROUND(Y727+IF(AND(E728=32,F728&lt;&gt;"ASTM A416"),L728,0),3)</f>
        <v/>
      </c>
      <c r="Z728" s="20">
        <f>ROUND(Z727+IF(F728="ASTM A416",L728,0),3)</f>
        <v/>
      </c>
      <c r="AA728" s="11">
        <f>IF(ROUNDUP(P728/20,0)&gt;ROUNDUP(P727/20,0),"Lần " &amp; ROUNDUP(P728/20,0),"")</f>
        <v/>
      </c>
      <c r="AB728" s="11">
        <f>IF(ROUNDUP(Q728/20,0)&gt;ROUNDUP(Q727/20,0),"Lần " &amp; ROUNDUP(Q728/20,0),"")</f>
        <v/>
      </c>
      <c r="AC728" s="11">
        <f>IF(ROUNDUP(R728/20,0)&gt;ROUNDUP(R727/20,0),"Lần " &amp; ROUNDUP(R728/20,0),"")</f>
        <v/>
      </c>
      <c r="AD728" s="11">
        <f>IF(ROUNDUP(S728/20,0)&gt;ROUNDUP(S727/20,0),"Lần " &amp; ROUNDUP(S728/20,0),"")</f>
        <v/>
      </c>
      <c r="AE728" s="11">
        <f>IF(ROUNDUP(T728/20,0)&gt;ROUNDUP(T727/20,0),"Lần " &amp; ROUNDUP(T728/20,0),"")</f>
        <v/>
      </c>
      <c r="AF728" s="11">
        <f>IF(ROUNDUP(U728/20,0)&gt;ROUNDUP(U727/20,0),"Lần " &amp; ROUNDUP(U728/20,0),"")</f>
        <v/>
      </c>
      <c r="AG728" s="11">
        <f>IF(ROUNDUP(V728/20,0)&gt;ROUNDUP(V727/20,0),"Lần " &amp; ROUNDUP(V728/20,0),"")</f>
        <v/>
      </c>
      <c r="AH728" s="11">
        <f>IF(ROUNDUP(W728/20,0)&gt;ROUNDUP(W727/20,0),"Lần " &amp; ROUNDUP(W728/20,0),"")</f>
        <v/>
      </c>
      <c r="AI728" s="11">
        <f>IF(ROUNDUP(X728/20,0)&gt;ROUNDUP(X727/20,0),"Lần " &amp; ROUNDUP(X728/20,0),"")</f>
        <v/>
      </c>
      <c r="AJ728" s="11">
        <f>IF(ROUNDUP(Y728/20,0)&gt;ROUNDUP(Y727/20,0),"Lần " &amp; ROUNDUP(Y728/20,0),"")</f>
        <v/>
      </c>
      <c r="AK728" s="11">
        <f>IF(ROUNDUP(Z728/20,0)&gt;ROUNDUP(Z727/20,0),"Lần " &amp; ROUNDUP(Z728/20,0),"")</f>
        <v/>
      </c>
      <c r="AL728" s="6" t="n"/>
      <c r="AN728" t="inlineStr">
        <is>
          <t>Coc</t>
        </is>
      </c>
      <c r="AO728" t="n">
        <v>24</v>
      </c>
    </row>
    <row r="729" ht="19" customHeight="1">
      <c r="A729" s="6" t="n">
        <v>692</v>
      </c>
      <c r="B729" s="7" t="inlineStr">
        <is>
          <t>Cọc khoan nhồi C2 Mố M2 (D1.2m, L=36.0m)</t>
        </is>
      </c>
      <c r="C729" s="7" t="inlineStr">
        <is>
          <t>Cọc mố M2 L=36m (tr.66)</t>
        </is>
      </c>
      <c r="D729" s="18" t="inlineStr">
        <is>
          <t>P8</t>
        </is>
      </c>
      <c r="E729" s="19" t="n">
        <v>12</v>
      </c>
      <c r="F729" s="6" t="inlineStr">
        <is>
          <t>CB400-V</t>
        </is>
      </c>
      <c r="G729" s="7" t="inlineStr"/>
      <c r="H729" s="20" t="n">
        <v>0.647</v>
      </c>
      <c r="I729" s="21" t="n">
        <v>15</v>
      </c>
      <c r="J729" s="22" t="n">
        <v>0.888</v>
      </c>
      <c r="K729" s="9">
        <f>ROUND(H729*I729*J729, 2)</f>
        <v/>
      </c>
      <c r="L729" s="23">
        <f>ROUND(K729/1000, 3)</f>
        <v/>
      </c>
      <c r="M729" s="8">
        <f>IF(AO729="","",IF(INDEX(Theo_Doi_Tan_Suat_Be_Tong!$C:$C,AO729)="","",INDEX(Theo_Doi_Tan_Suat_Be_Tong!$C:$C,AO729)-VLOOKUP(AN729,$AQ$2:$AR$7,2,FALSE)))</f>
        <v/>
      </c>
      <c r="N729" s="6" t="n"/>
      <c r="O729" s="24">
        <f>IF(ROUNDUP(Q729/20,0)&gt;ROUNDUP(Q728/20,0),"TN Ø12 (Lần " &amp; ROUNDUP(Q729/20,0) &amp; ")","")</f>
        <v/>
      </c>
      <c r="P729" s="20">
        <f>ROUND(P728+IF(AND(E729&lt;=10,F729&lt;&gt;"ASTM A416"),L729,0),3)</f>
        <v/>
      </c>
      <c r="Q729" s="20">
        <f>ROUND(Q728+IF(AND(E729=12,F729&lt;&gt;"ASTM A416"),L729,0),3)</f>
        <v/>
      </c>
      <c r="R729" s="20">
        <f>ROUND(R728+IF(AND(E729=14,F729&lt;&gt;"ASTM A416"),L729,0),3)</f>
        <v/>
      </c>
      <c r="S729" s="20">
        <f>ROUND(S728+IF(AND(E729=16,F729&lt;&gt;"ASTM A416"),L729,0),3)</f>
        <v/>
      </c>
      <c r="T729" s="20">
        <f>ROUND(T728+IF(AND(E729=18,F729&lt;&gt;"ASTM A416"),L729,0),3)</f>
        <v/>
      </c>
      <c r="U729" s="20">
        <f>ROUND(U728+IF(AND(E729=20,F729&lt;&gt;"ASTM A416"),L729,0),3)</f>
        <v/>
      </c>
      <c r="V729" s="20">
        <f>ROUND(V728+IF(AND(E729=22,F729&lt;&gt;"ASTM A416"),L729,0),3)</f>
        <v/>
      </c>
      <c r="W729" s="20">
        <f>ROUND(W728+IF(AND(E729=25,F729&lt;&gt;"ASTM A416"),L729,0),3)</f>
        <v/>
      </c>
      <c r="X729" s="20">
        <f>ROUND(X728+IF(AND(E729=28,F729&lt;&gt;"ASTM A416"),L729,0),3)</f>
        <v/>
      </c>
      <c r="Y729" s="20">
        <f>ROUND(Y728+IF(AND(E729=32,F729&lt;&gt;"ASTM A416"),L729,0),3)</f>
        <v/>
      </c>
      <c r="Z729" s="20">
        <f>ROUND(Z728+IF(F729="ASTM A416",L729,0),3)</f>
        <v/>
      </c>
      <c r="AA729" s="11">
        <f>IF(ROUNDUP(P729/20,0)&gt;ROUNDUP(P728/20,0),"Lần " &amp; ROUNDUP(P729/20,0),"")</f>
        <v/>
      </c>
      <c r="AB729" s="11">
        <f>IF(ROUNDUP(Q729/20,0)&gt;ROUNDUP(Q728/20,0),"Lần " &amp; ROUNDUP(Q729/20,0),"")</f>
        <v/>
      </c>
      <c r="AC729" s="11">
        <f>IF(ROUNDUP(R729/20,0)&gt;ROUNDUP(R728/20,0),"Lần " &amp; ROUNDUP(R729/20,0),"")</f>
        <v/>
      </c>
      <c r="AD729" s="11">
        <f>IF(ROUNDUP(S729/20,0)&gt;ROUNDUP(S728/20,0),"Lần " &amp; ROUNDUP(S729/20,0),"")</f>
        <v/>
      </c>
      <c r="AE729" s="11">
        <f>IF(ROUNDUP(T729/20,0)&gt;ROUNDUP(T728/20,0),"Lần " &amp; ROUNDUP(T729/20,0),"")</f>
        <v/>
      </c>
      <c r="AF729" s="11">
        <f>IF(ROUNDUP(U729/20,0)&gt;ROUNDUP(U728/20,0),"Lần " &amp; ROUNDUP(U729/20,0),"")</f>
        <v/>
      </c>
      <c r="AG729" s="11">
        <f>IF(ROUNDUP(V729/20,0)&gt;ROUNDUP(V728/20,0),"Lần " &amp; ROUNDUP(V729/20,0),"")</f>
        <v/>
      </c>
      <c r="AH729" s="11">
        <f>IF(ROUNDUP(W729/20,0)&gt;ROUNDUP(W728/20,0),"Lần " &amp; ROUNDUP(W729/20,0),"")</f>
        <v/>
      </c>
      <c r="AI729" s="11">
        <f>IF(ROUNDUP(X729/20,0)&gt;ROUNDUP(X728/20,0),"Lần " &amp; ROUNDUP(X729/20,0),"")</f>
        <v/>
      </c>
      <c r="AJ729" s="11">
        <f>IF(ROUNDUP(Y729/20,0)&gt;ROUNDUP(Y728/20,0),"Lần " &amp; ROUNDUP(Y729/20,0),"")</f>
        <v/>
      </c>
      <c r="AK729" s="11">
        <f>IF(ROUNDUP(Z729/20,0)&gt;ROUNDUP(Z728/20,0),"Lần " &amp; ROUNDUP(Z729/20,0),"")</f>
        <v/>
      </c>
      <c r="AL729" s="6" t="n"/>
      <c r="AN729" t="inlineStr">
        <is>
          <t>Coc</t>
        </is>
      </c>
      <c r="AO729" t="n">
        <v>24</v>
      </c>
    </row>
    <row r="730" ht="19" customHeight="1">
      <c r="A730" s="6" t="n">
        <v>693</v>
      </c>
      <c r="B730" s="7" t="inlineStr">
        <is>
          <t>Cọc khoan nhồi C2 Mố M2 (D1.2m, L=36.0m)</t>
        </is>
      </c>
      <c r="C730" s="7" t="inlineStr">
        <is>
          <t>Cọc mố M2 L=36m (tr.66)</t>
        </is>
      </c>
      <c r="D730" s="18" t="inlineStr">
        <is>
          <t>P9</t>
        </is>
      </c>
      <c r="E730" s="19" t="n">
        <v>12</v>
      </c>
      <c r="F730" s="6" t="inlineStr">
        <is>
          <t>CB400-V</t>
        </is>
      </c>
      <c r="G730" s="7" t="inlineStr"/>
      <c r="H730" s="20" t="n">
        <v>0.379</v>
      </c>
      <c r="I730" s="21" t="n">
        <v>45</v>
      </c>
      <c r="J730" s="22" t="n">
        <v>0.888</v>
      </c>
      <c r="K730" s="9">
        <f>ROUND(H730*I730*J730, 2)</f>
        <v/>
      </c>
      <c r="L730" s="23">
        <f>ROUND(K730/1000, 3)</f>
        <v/>
      </c>
      <c r="M730" s="8">
        <f>IF(AO730="","",IF(INDEX(Theo_Doi_Tan_Suat_Be_Tong!$C:$C,AO730)="","",INDEX(Theo_Doi_Tan_Suat_Be_Tong!$C:$C,AO730)-VLOOKUP(AN730,$AQ$2:$AR$7,2,FALSE)))</f>
        <v/>
      </c>
      <c r="N730" s="6" t="n"/>
      <c r="O730" s="24">
        <f>IF(ROUNDUP(Q730/20,0)&gt;ROUNDUP(Q729/20,0),"TN Ø12 (Lần " &amp; ROUNDUP(Q730/20,0) &amp; ")","")</f>
        <v/>
      </c>
      <c r="P730" s="20">
        <f>ROUND(P729+IF(AND(E730&lt;=10,F730&lt;&gt;"ASTM A416"),L730,0),3)</f>
        <v/>
      </c>
      <c r="Q730" s="20">
        <f>ROUND(Q729+IF(AND(E730=12,F730&lt;&gt;"ASTM A416"),L730,0),3)</f>
        <v/>
      </c>
      <c r="R730" s="20">
        <f>ROUND(R729+IF(AND(E730=14,F730&lt;&gt;"ASTM A416"),L730,0),3)</f>
        <v/>
      </c>
      <c r="S730" s="20">
        <f>ROUND(S729+IF(AND(E730=16,F730&lt;&gt;"ASTM A416"),L730,0),3)</f>
        <v/>
      </c>
      <c r="T730" s="20">
        <f>ROUND(T729+IF(AND(E730=18,F730&lt;&gt;"ASTM A416"),L730,0),3)</f>
        <v/>
      </c>
      <c r="U730" s="20">
        <f>ROUND(U729+IF(AND(E730=20,F730&lt;&gt;"ASTM A416"),L730,0),3)</f>
        <v/>
      </c>
      <c r="V730" s="20">
        <f>ROUND(V729+IF(AND(E730=22,F730&lt;&gt;"ASTM A416"),L730,0),3)</f>
        <v/>
      </c>
      <c r="W730" s="20">
        <f>ROUND(W729+IF(AND(E730=25,F730&lt;&gt;"ASTM A416"),L730,0),3)</f>
        <v/>
      </c>
      <c r="X730" s="20">
        <f>ROUND(X729+IF(AND(E730=28,F730&lt;&gt;"ASTM A416"),L730,0),3)</f>
        <v/>
      </c>
      <c r="Y730" s="20">
        <f>ROUND(Y729+IF(AND(E730=32,F730&lt;&gt;"ASTM A416"),L730,0),3)</f>
        <v/>
      </c>
      <c r="Z730" s="20">
        <f>ROUND(Z729+IF(F730="ASTM A416",L730,0),3)</f>
        <v/>
      </c>
      <c r="AA730" s="11">
        <f>IF(ROUNDUP(P730/20,0)&gt;ROUNDUP(P729/20,0),"Lần " &amp; ROUNDUP(P730/20,0),"")</f>
        <v/>
      </c>
      <c r="AB730" s="11">
        <f>IF(ROUNDUP(Q730/20,0)&gt;ROUNDUP(Q729/20,0),"Lần " &amp; ROUNDUP(Q730/20,0),"")</f>
        <v/>
      </c>
      <c r="AC730" s="11">
        <f>IF(ROUNDUP(R730/20,0)&gt;ROUNDUP(R729/20,0),"Lần " &amp; ROUNDUP(R730/20,0),"")</f>
        <v/>
      </c>
      <c r="AD730" s="11">
        <f>IF(ROUNDUP(S730/20,0)&gt;ROUNDUP(S729/20,0),"Lần " &amp; ROUNDUP(S730/20,0),"")</f>
        <v/>
      </c>
      <c r="AE730" s="11">
        <f>IF(ROUNDUP(T730/20,0)&gt;ROUNDUP(T729/20,0),"Lần " &amp; ROUNDUP(T730/20,0),"")</f>
        <v/>
      </c>
      <c r="AF730" s="11">
        <f>IF(ROUNDUP(U730/20,0)&gt;ROUNDUP(U729/20,0),"Lần " &amp; ROUNDUP(U730/20,0),"")</f>
        <v/>
      </c>
      <c r="AG730" s="11">
        <f>IF(ROUNDUP(V730/20,0)&gt;ROUNDUP(V729/20,0),"Lần " &amp; ROUNDUP(V730/20,0),"")</f>
        <v/>
      </c>
      <c r="AH730" s="11">
        <f>IF(ROUNDUP(W730/20,0)&gt;ROUNDUP(W729/20,0),"Lần " &amp; ROUNDUP(W730/20,0),"")</f>
        <v/>
      </c>
      <c r="AI730" s="11">
        <f>IF(ROUNDUP(X730/20,0)&gt;ROUNDUP(X729/20,0),"Lần " &amp; ROUNDUP(X730/20,0),"")</f>
        <v/>
      </c>
      <c r="AJ730" s="11">
        <f>IF(ROUNDUP(Y730/20,0)&gt;ROUNDUP(Y729/20,0),"Lần " &amp; ROUNDUP(Y730/20,0),"")</f>
        <v/>
      </c>
      <c r="AK730" s="11">
        <f>IF(ROUNDUP(Z730/20,0)&gt;ROUNDUP(Z729/20,0),"Lần " &amp; ROUNDUP(Z730/20,0),"")</f>
        <v/>
      </c>
      <c r="AL730" s="6" t="n"/>
      <c r="AN730" t="inlineStr">
        <is>
          <t>Coc</t>
        </is>
      </c>
      <c r="AO730" t="n">
        <v>24</v>
      </c>
    </row>
    <row r="731" ht="19" customHeight="1">
      <c r="A731" s="6" t="n">
        <v>694</v>
      </c>
      <c r="B731" s="7" t="inlineStr">
        <is>
          <t>Cọc khoan nhồi C2 Mố M2 (D1.2m, L=36.0m)</t>
        </is>
      </c>
      <c r="C731" s="7" t="inlineStr">
        <is>
          <t>Cọc mố M2 L=36m (tr.66)</t>
        </is>
      </c>
      <c r="D731" s="18" t="inlineStr">
        <is>
          <t>P10</t>
        </is>
      </c>
      <c r="E731" s="19" t="n">
        <v>20</v>
      </c>
      <c r="F731" s="6" t="inlineStr">
        <is>
          <t>CB400-V</t>
        </is>
      </c>
      <c r="G731" s="7" t="inlineStr"/>
      <c r="H731" s="20" t="n">
        <v>2.057</v>
      </c>
      <c r="I731" s="21" t="n">
        <v>1</v>
      </c>
      <c r="J731" s="22" t="n">
        <v>2.466</v>
      </c>
      <c r="K731" s="9">
        <f>ROUND(H731*I731*J731, 2)</f>
        <v/>
      </c>
      <c r="L731" s="23">
        <f>ROUND(K731/1000, 3)</f>
        <v/>
      </c>
      <c r="M731" s="8">
        <f>IF(AO731="","",IF(INDEX(Theo_Doi_Tan_Suat_Be_Tong!$C:$C,AO731)="","",INDEX(Theo_Doi_Tan_Suat_Be_Tong!$C:$C,AO731)-VLOOKUP(AN731,$AQ$2:$AR$7,2,FALSE)))</f>
        <v/>
      </c>
      <c r="N731" s="6" t="n"/>
      <c r="O731" s="24">
        <f>IF(ROUNDUP(U731/20,0)&gt;ROUNDUP(U730/20,0),"TN Ø20 (Lần " &amp; ROUNDUP(U731/20,0) &amp; ")","")</f>
        <v/>
      </c>
      <c r="P731" s="20">
        <f>ROUND(P730+IF(AND(E731&lt;=10,F731&lt;&gt;"ASTM A416"),L731,0),3)</f>
        <v/>
      </c>
      <c r="Q731" s="20">
        <f>ROUND(Q730+IF(AND(E731=12,F731&lt;&gt;"ASTM A416"),L731,0),3)</f>
        <v/>
      </c>
      <c r="R731" s="20">
        <f>ROUND(R730+IF(AND(E731=14,F731&lt;&gt;"ASTM A416"),L731,0),3)</f>
        <v/>
      </c>
      <c r="S731" s="20">
        <f>ROUND(S730+IF(AND(E731=16,F731&lt;&gt;"ASTM A416"),L731,0),3)</f>
        <v/>
      </c>
      <c r="T731" s="20">
        <f>ROUND(T730+IF(AND(E731=18,F731&lt;&gt;"ASTM A416"),L731,0),3)</f>
        <v/>
      </c>
      <c r="U731" s="20">
        <f>ROUND(U730+IF(AND(E731=20,F731&lt;&gt;"ASTM A416"),L731,0),3)</f>
        <v/>
      </c>
      <c r="V731" s="20">
        <f>ROUND(V730+IF(AND(E731=22,F731&lt;&gt;"ASTM A416"),L731,0),3)</f>
        <v/>
      </c>
      <c r="W731" s="20">
        <f>ROUND(W730+IF(AND(E731=25,F731&lt;&gt;"ASTM A416"),L731,0),3)</f>
        <v/>
      </c>
      <c r="X731" s="20">
        <f>ROUND(X730+IF(AND(E731=28,F731&lt;&gt;"ASTM A416"),L731,0),3)</f>
        <v/>
      </c>
      <c r="Y731" s="20">
        <f>ROUND(Y730+IF(AND(E731=32,F731&lt;&gt;"ASTM A416"),L731,0),3)</f>
        <v/>
      </c>
      <c r="Z731" s="20">
        <f>ROUND(Z730+IF(F731="ASTM A416",L731,0),3)</f>
        <v/>
      </c>
      <c r="AA731" s="11">
        <f>IF(ROUNDUP(P731/20,0)&gt;ROUNDUP(P730/20,0),"Lần " &amp; ROUNDUP(P731/20,0),"")</f>
        <v/>
      </c>
      <c r="AB731" s="11">
        <f>IF(ROUNDUP(Q731/20,0)&gt;ROUNDUP(Q730/20,0),"Lần " &amp; ROUNDUP(Q731/20,0),"")</f>
        <v/>
      </c>
      <c r="AC731" s="11">
        <f>IF(ROUNDUP(R731/20,0)&gt;ROUNDUP(R730/20,0),"Lần " &amp; ROUNDUP(R731/20,0),"")</f>
        <v/>
      </c>
      <c r="AD731" s="11">
        <f>IF(ROUNDUP(S731/20,0)&gt;ROUNDUP(S730/20,0),"Lần " &amp; ROUNDUP(S731/20,0),"")</f>
        <v/>
      </c>
      <c r="AE731" s="11">
        <f>IF(ROUNDUP(T731/20,0)&gt;ROUNDUP(T730/20,0),"Lần " &amp; ROUNDUP(T731/20,0),"")</f>
        <v/>
      </c>
      <c r="AF731" s="11">
        <f>IF(ROUNDUP(U731/20,0)&gt;ROUNDUP(U730/20,0),"Lần " &amp; ROUNDUP(U731/20,0),"")</f>
        <v/>
      </c>
      <c r="AG731" s="11">
        <f>IF(ROUNDUP(V731/20,0)&gt;ROUNDUP(V730/20,0),"Lần " &amp; ROUNDUP(V731/20,0),"")</f>
        <v/>
      </c>
      <c r="AH731" s="11">
        <f>IF(ROUNDUP(W731/20,0)&gt;ROUNDUP(W730/20,0),"Lần " &amp; ROUNDUP(W731/20,0),"")</f>
        <v/>
      </c>
      <c r="AI731" s="11">
        <f>IF(ROUNDUP(X731/20,0)&gt;ROUNDUP(X730/20,0),"Lần " &amp; ROUNDUP(X731/20,0),"")</f>
        <v/>
      </c>
      <c r="AJ731" s="11">
        <f>IF(ROUNDUP(Y731/20,0)&gt;ROUNDUP(Y730/20,0),"Lần " &amp; ROUNDUP(Y731/20,0),"")</f>
        <v/>
      </c>
      <c r="AK731" s="11">
        <f>IF(ROUNDUP(Z731/20,0)&gt;ROUNDUP(Z730/20,0),"Lần " &amp; ROUNDUP(Z731/20,0),"")</f>
        <v/>
      </c>
      <c r="AL731" s="6" t="n"/>
      <c r="AN731" t="inlineStr">
        <is>
          <t>Coc</t>
        </is>
      </c>
      <c r="AO731" t="n">
        <v>24</v>
      </c>
    </row>
    <row r="732" ht="19" customHeight="1">
      <c r="A732" s="6" t="n">
        <v>695</v>
      </c>
      <c r="B732" s="7" t="inlineStr">
        <is>
          <t>Cọc khoan nhồi C2 Mố M2 (D1.2m, L=36.0m)</t>
        </is>
      </c>
      <c r="C732" s="7" t="inlineStr">
        <is>
          <t>Cọc mố M2 L=36m (tr.66)</t>
        </is>
      </c>
      <c r="D732" s="18" t="inlineStr">
        <is>
          <t>P12</t>
        </is>
      </c>
      <c r="E732" s="19" t="n">
        <v>20</v>
      </c>
      <c r="F732" s="6" t="inlineStr">
        <is>
          <t>CB400-V</t>
        </is>
      </c>
      <c r="G732" s="7" t="inlineStr"/>
      <c r="H732" s="20" t="n">
        <v>0.583</v>
      </c>
      <c r="I732" s="21" t="n">
        <v>60</v>
      </c>
      <c r="J732" s="22" t="n">
        <v>2.466</v>
      </c>
      <c r="K732" s="9">
        <f>ROUND(H732*I732*J732, 2)</f>
        <v/>
      </c>
      <c r="L732" s="23">
        <f>ROUND(K732/1000, 3)</f>
        <v/>
      </c>
      <c r="M732" s="8">
        <f>IF(AO732="","",IF(INDEX(Theo_Doi_Tan_Suat_Be_Tong!$C:$C,AO732)="","",INDEX(Theo_Doi_Tan_Suat_Be_Tong!$C:$C,AO732)-VLOOKUP(AN732,$AQ$2:$AR$7,2,FALSE)))</f>
        <v/>
      </c>
      <c r="N732" s="6" t="n"/>
      <c r="O732" s="24">
        <f>IF(ROUNDUP(U732/20,0)&gt;ROUNDUP(U731/20,0),"TN Ø20 (Lần " &amp; ROUNDUP(U732/20,0) &amp; ")","")</f>
        <v/>
      </c>
      <c r="P732" s="20">
        <f>ROUND(P731+IF(AND(E732&lt;=10,F732&lt;&gt;"ASTM A416"),L732,0),3)</f>
        <v/>
      </c>
      <c r="Q732" s="20">
        <f>ROUND(Q731+IF(AND(E732=12,F732&lt;&gt;"ASTM A416"),L732,0),3)</f>
        <v/>
      </c>
      <c r="R732" s="20">
        <f>ROUND(R731+IF(AND(E732=14,F732&lt;&gt;"ASTM A416"),L732,0),3)</f>
        <v/>
      </c>
      <c r="S732" s="20">
        <f>ROUND(S731+IF(AND(E732=16,F732&lt;&gt;"ASTM A416"),L732,0),3)</f>
        <v/>
      </c>
      <c r="T732" s="20">
        <f>ROUND(T731+IF(AND(E732=18,F732&lt;&gt;"ASTM A416"),L732,0),3)</f>
        <v/>
      </c>
      <c r="U732" s="20">
        <f>ROUND(U731+IF(AND(E732=20,F732&lt;&gt;"ASTM A416"),L732,0),3)</f>
        <v/>
      </c>
      <c r="V732" s="20">
        <f>ROUND(V731+IF(AND(E732=22,F732&lt;&gt;"ASTM A416"),L732,0),3)</f>
        <v/>
      </c>
      <c r="W732" s="20">
        <f>ROUND(W731+IF(AND(E732=25,F732&lt;&gt;"ASTM A416"),L732,0),3)</f>
        <v/>
      </c>
      <c r="X732" s="20">
        <f>ROUND(X731+IF(AND(E732=28,F732&lt;&gt;"ASTM A416"),L732,0),3)</f>
        <v/>
      </c>
      <c r="Y732" s="20">
        <f>ROUND(Y731+IF(AND(E732=32,F732&lt;&gt;"ASTM A416"),L732,0),3)</f>
        <v/>
      </c>
      <c r="Z732" s="20">
        <f>ROUND(Z731+IF(F732="ASTM A416",L732,0),3)</f>
        <v/>
      </c>
      <c r="AA732" s="11">
        <f>IF(ROUNDUP(P732/20,0)&gt;ROUNDUP(P731/20,0),"Lần " &amp; ROUNDUP(P732/20,0),"")</f>
        <v/>
      </c>
      <c r="AB732" s="11">
        <f>IF(ROUNDUP(Q732/20,0)&gt;ROUNDUP(Q731/20,0),"Lần " &amp; ROUNDUP(Q732/20,0),"")</f>
        <v/>
      </c>
      <c r="AC732" s="11">
        <f>IF(ROUNDUP(R732/20,0)&gt;ROUNDUP(R731/20,0),"Lần " &amp; ROUNDUP(R732/20,0),"")</f>
        <v/>
      </c>
      <c r="AD732" s="11">
        <f>IF(ROUNDUP(S732/20,0)&gt;ROUNDUP(S731/20,0),"Lần " &amp; ROUNDUP(S732/20,0),"")</f>
        <v/>
      </c>
      <c r="AE732" s="11">
        <f>IF(ROUNDUP(T732/20,0)&gt;ROUNDUP(T731/20,0),"Lần " &amp; ROUNDUP(T732/20,0),"")</f>
        <v/>
      </c>
      <c r="AF732" s="11">
        <f>IF(ROUNDUP(U732/20,0)&gt;ROUNDUP(U731/20,0),"Lần " &amp; ROUNDUP(U732/20,0),"")</f>
        <v/>
      </c>
      <c r="AG732" s="11">
        <f>IF(ROUNDUP(V732/20,0)&gt;ROUNDUP(V731/20,0),"Lần " &amp; ROUNDUP(V732/20,0),"")</f>
        <v/>
      </c>
      <c r="AH732" s="11">
        <f>IF(ROUNDUP(W732/20,0)&gt;ROUNDUP(W731/20,0),"Lần " &amp; ROUNDUP(W732/20,0),"")</f>
        <v/>
      </c>
      <c r="AI732" s="11">
        <f>IF(ROUNDUP(X732/20,0)&gt;ROUNDUP(X731/20,0),"Lần " &amp; ROUNDUP(X732/20,0),"")</f>
        <v/>
      </c>
      <c r="AJ732" s="11">
        <f>IF(ROUNDUP(Y732/20,0)&gt;ROUNDUP(Y731/20,0),"Lần " &amp; ROUNDUP(Y732/20,0),"")</f>
        <v/>
      </c>
      <c r="AK732" s="11">
        <f>IF(ROUNDUP(Z732/20,0)&gt;ROUNDUP(Z731/20,0),"Lần " &amp; ROUNDUP(Z732/20,0),"")</f>
        <v/>
      </c>
      <c r="AL732" s="6" t="n"/>
      <c r="AN732" t="inlineStr">
        <is>
          <t>Coc</t>
        </is>
      </c>
      <c r="AO732" t="n">
        <v>24</v>
      </c>
    </row>
    <row r="733" ht="19" customHeight="1">
      <c r="A733" s="6" t="n">
        <v>696</v>
      </c>
      <c r="B733" s="7" t="inlineStr">
        <is>
          <t>Cọc khoan nhồi C2 Mố M2 (D1.2m, L=36.0m)</t>
        </is>
      </c>
      <c r="C733" s="7" t="inlineStr">
        <is>
          <t>Cọc mố M2 L=36m (tr.66)</t>
        </is>
      </c>
      <c r="D733" s="18" t="inlineStr">
        <is>
          <t>P11</t>
        </is>
      </c>
      <c r="E733" s="19" t="n">
        <v>16</v>
      </c>
      <c r="F733" s="6" t="inlineStr">
        <is>
          <t>CB400-V</t>
        </is>
      </c>
      <c r="G733" s="7" t="inlineStr"/>
      <c r="H733" s="20" t="n">
        <v>2.484</v>
      </c>
      <c r="I733" s="21" t="n">
        <v>4</v>
      </c>
      <c r="J733" s="22" t="n">
        <v>1.578</v>
      </c>
      <c r="K733" s="9">
        <f>ROUND(H733*I733*J733, 2)</f>
        <v/>
      </c>
      <c r="L733" s="23">
        <f>ROUND(K733/1000, 3)</f>
        <v/>
      </c>
      <c r="M733" s="8">
        <f>IF(AO733="","",IF(INDEX(Theo_Doi_Tan_Suat_Be_Tong!$C:$C,AO733)="","",INDEX(Theo_Doi_Tan_Suat_Be_Tong!$C:$C,AO733)-VLOOKUP(AN733,$AQ$2:$AR$7,2,FALSE)))</f>
        <v/>
      </c>
      <c r="N733" s="6" t="n"/>
      <c r="O733" s="24">
        <f>IF(ROUNDUP(S733/20,0)&gt;ROUNDUP(S732/20,0),"TN Ø16 (Lần " &amp; ROUNDUP(S733/20,0) &amp; ")","")</f>
        <v/>
      </c>
      <c r="P733" s="20">
        <f>ROUND(P732+IF(AND(E733&lt;=10,F733&lt;&gt;"ASTM A416"),L733,0),3)</f>
        <v/>
      </c>
      <c r="Q733" s="20">
        <f>ROUND(Q732+IF(AND(E733=12,F733&lt;&gt;"ASTM A416"),L733,0),3)</f>
        <v/>
      </c>
      <c r="R733" s="20">
        <f>ROUND(R732+IF(AND(E733=14,F733&lt;&gt;"ASTM A416"),L733,0),3)</f>
        <v/>
      </c>
      <c r="S733" s="20">
        <f>ROUND(S732+IF(AND(E733=16,F733&lt;&gt;"ASTM A416"),L733,0),3)</f>
        <v/>
      </c>
      <c r="T733" s="20">
        <f>ROUND(T732+IF(AND(E733=18,F733&lt;&gt;"ASTM A416"),L733,0),3)</f>
        <v/>
      </c>
      <c r="U733" s="20">
        <f>ROUND(U732+IF(AND(E733=20,F733&lt;&gt;"ASTM A416"),L733,0),3)</f>
        <v/>
      </c>
      <c r="V733" s="20">
        <f>ROUND(V732+IF(AND(E733=22,F733&lt;&gt;"ASTM A416"),L733,0),3)</f>
        <v/>
      </c>
      <c r="W733" s="20">
        <f>ROUND(W732+IF(AND(E733=25,F733&lt;&gt;"ASTM A416"),L733,0),3)</f>
        <v/>
      </c>
      <c r="X733" s="20">
        <f>ROUND(X732+IF(AND(E733=28,F733&lt;&gt;"ASTM A416"),L733,0),3)</f>
        <v/>
      </c>
      <c r="Y733" s="20">
        <f>ROUND(Y732+IF(AND(E733=32,F733&lt;&gt;"ASTM A416"),L733,0),3)</f>
        <v/>
      </c>
      <c r="Z733" s="20">
        <f>ROUND(Z732+IF(F733="ASTM A416",L733,0),3)</f>
        <v/>
      </c>
      <c r="AA733" s="11">
        <f>IF(ROUNDUP(P733/20,0)&gt;ROUNDUP(P732/20,0),"Lần " &amp; ROUNDUP(P733/20,0),"")</f>
        <v/>
      </c>
      <c r="AB733" s="11">
        <f>IF(ROUNDUP(Q733/20,0)&gt;ROUNDUP(Q732/20,0),"Lần " &amp; ROUNDUP(Q733/20,0),"")</f>
        <v/>
      </c>
      <c r="AC733" s="11">
        <f>IF(ROUNDUP(R733/20,0)&gt;ROUNDUP(R732/20,0),"Lần " &amp; ROUNDUP(R733/20,0),"")</f>
        <v/>
      </c>
      <c r="AD733" s="11">
        <f>IF(ROUNDUP(S733/20,0)&gt;ROUNDUP(S732/20,0),"Lần " &amp; ROUNDUP(S733/20,0),"")</f>
        <v/>
      </c>
      <c r="AE733" s="11">
        <f>IF(ROUNDUP(T733/20,0)&gt;ROUNDUP(T732/20,0),"Lần " &amp; ROUNDUP(T733/20,0),"")</f>
        <v/>
      </c>
      <c r="AF733" s="11">
        <f>IF(ROUNDUP(U733/20,0)&gt;ROUNDUP(U732/20,0),"Lần " &amp; ROUNDUP(U733/20,0),"")</f>
        <v/>
      </c>
      <c r="AG733" s="11">
        <f>IF(ROUNDUP(V733/20,0)&gt;ROUNDUP(V732/20,0),"Lần " &amp; ROUNDUP(V733/20,0),"")</f>
        <v/>
      </c>
      <c r="AH733" s="11">
        <f>IF(ROUNDUP(W733/20,0)&gt;ROUNDUP(W732/20,0),"Lần " &amp; ROUNDUP(W733/20,0),"")</f>
        <v/>
      </c>
      <c r="AI733" s="11">
        <f>IF(ROUNDUP(X733/20,0)&gt;ROUNDUP(X732/20,0),"Lần " &amp; ROUNDUP(X733/20,0),"")</f>
        <v/>
      </c>
      <c r="AJ733" s="11">
        <f>IF(ROUNDUP(Y733/20,0)&gt;ROUNDUP(Y732/20,0),"Lần " &amp; ROUNDUP(Y733/20,0),"")</f>
        <v/>
      </c>
      <c r="AK733" s="11">
        <f>IF(ROUNDUP(Z733/20,0)&gt;ROUNDUP(Z732/20,0),"Lần " &amp; ROUNDUP(Z733/20,0),"")</f>
        <v/>
      </c>
      <c r="AL733" s="6" t="n"/>
      <c r="AN733" t="inlineStr">
        <is>
          <t>Coc</t>
        </is>
      </c>
      <c r="AO733" t="n">
        <v>24</v>
      </c>
    </row>
    <row r="734" ht="19" customHeight="1">
      <c r="A734" s="17" t="inlineStr">
        <is>
          <t>--- CỌC KHOAN NHỒI C3 MỐ M2 (D1.2M, L=36.0M) ---</t>
        </is>
      </c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  <c r="AG734" s="35" t="n"/>
      <c r="AH734" s="35" t="n"/>
      <c r="AI734" s="35" t="n"/>
      <c r="AJ734" s="35" t="n"/>
      <c r="AK734" s="35" t="n"/>
      <c r="AL734" s="34" t="n"/>
    </row>
    <row r="735" ht="19" customHeight="1">
      <c r="A735" s="6" t="n">
        <v>697</v>
      </c>
      <c r="B735" s="7" t="inlineStr">
        <is>
          <t>Cọc khoan nhồi C3 Mố M2 (D1.2m, L=36.0m)</t>
        </is>
      </c>
      <c r="C735" s="7" t="inlineStr">
        <is>
          <t>Cọc mố M2 L=36m (tr.66)</t>
        </is>
      </c>
      <c r="D735" s="18" t="inlineStr">
        <is>
          <t>P1</t>
        </is>
      </c>
      <c r="E735" s="19" t="n">
        <v>10</v>
      </c>
      <c r="F735" s="6" t="inlineStr">
        <is>
          <t>CB240-T</t>
        </is>
      </c>
      <c r="G735" s="7" t="inlineStr"/>
      <c r="H735" s="20" t="n">
        <v>96.887</v>
      </c>
      <c r="I735" s="21" t="n">
        <v>1</v>
      </c>
      <c r="J735" s="22" t="n">
        <v>0.617</v>
      </c>
      <c r="K735" s="9">
        <f>ROUND(H735*I735*J735, 2)</f>
        <v/>
      </c>
      <c r="L735" s="23">
        <f>ROUND(K735/1000, 3)</f>
        <v/>
      </c>
      <c r="M735" s="8">
        <f>IF(AO735="","",IF(INDEX(Theo_Doi_Tan_Suat_Be_Tong!$C:$C,AO735)="","",INDEX(Theo_Doi_Tan_Suat_Be_Tong!$C:$C,AO735)-VLOOKUP(AN735,$AQ$2:$AR$7,2,FALSE)))</f>
        <v/>
      </c>
      <c r="N735" s="6" t="n"/>
      <c r="O735" s="24">
        <f>IF(ROUNDUP(P735/20,0)&gt;ROUNDUP(P733/20,0),"TN Ø10 (Lần " &amp; ROUNDUP(P735/20,0) &amp; ")","")</f>
        <v/>
      </c>
      <c r="P735" s="20">
        <f>ROUND(P733+IF(AND(E735&lt;=10,F735&lt;&gt;"ASTM A416"),L735,0),3)</f>
        <v/>
      </c>
      <c r="Q735" s="20">
        <f>ROUND(Q733+IF(AND(E735=12,F735&lt;&gt;"ASTM A416"),L735,0),3)</f>
        <v/>
      </c>
      <c r="R735" s="20">
        <f>ROUND(R733+IF(AND(E735=14,F735&lt;&gt;"ASTM A416"),L735,0),3)</f>
        <v/>
      </c>
      <c r="S735" s="20">
        <f>ROUND(S733+IF(AND(E735=16,F735&lt;&gt;"ASTM A416"),L735,0),3)</f>
        <v/>
      </c>
      <c r="T735" s="20">
        <f>ROUND(T733+IF(AND(E735=18,F735&lt;&gt;"ASTM A416"),L735,0),3)</f>
        <v/>
      </c>
      <c r="U735" s="20">
        <f>ROUND(U733+IF(AND(E735=20,F735&lt;&gt;"ASTM A416"),L735,0),3)</f>
        <v/>
      </c>
      <c r="V735" s="20">
        <f>ROUND(V733+IF(AND(E735=22,F735&lt;&gt;"ASTM A416"),L735,0),3)</f>
        <v/>
      </c>
      <c r="W735" s="20">
        <f>ROUND(W733+IF(AND(E735=25,F735&lt;&gt;"ASTM A416"),L735,0),3)</f>
        <v/>
      </c>
      <c r="X735" s="20">
        <f>ROUND(X733+IF(AND(E735=28,F735&lt;&gt;"ASTM A416"),L735,0),3)</f>
        <v/>
      </c>
      <c r="Y735" s="20">
        <f>ROUND(Y733+IF(AND(E735=32,F735&lt;&gt;"ASTM A416"),L735,0),3)</f>
        <v/>
      </c>
      <c r="Z735" s="20">
        <f>ROUND(Z733+IF(F735="ASTM A416",L735,0),3)</f>
        <v/>
      </c>
      <c r="AA735" s="11">
        <f>IF(ROUNDUP(P735/20,0)&gt;ROUNDUP(P733/20,0),"Lần " &amp; ROUNDUP(P735/20,0),"")</f>
        <v/>
      </c>
      <c r="AB735" s="11">
        <f>IF(ROUNDUP(Q735/20,0)&gt;ROUNDUP(Q733/20,0),"Lần " &amp; ROUNDUP(Q735/20,0),"")</f>
        <v/>
      </c>
      <c r="AC735" s="11">
        <f>IF(ROUNDUP(R735/20,0)&gt;ROUNDUP(R733/20,0),"Lần " &amp; ROUNDUP(R735/20,0),"")</f>
        <v/>
      </c>
      <c r="AD735" s="11">
        <f>IF(ROUNDUP(S735/20,0)&gt;ROUNDUP(S733/20,0),"Lần " &amp; ROUNDUP(S735/20,0),"")</f>
        <v/>
      </c>
      <c r="AE735" s="11">
        <f>IF(ROUNDUP(T735/20,0)&gt;ROUNDUP(T733/20,0),"Lần " &amp; ROUNDUP(T735/20,0),"")</f>
        <v/>
      </c>
      <c r="AF735" s="11">
        <f>IF(ROUNDUP(U735/20,0)&gt;ROUNDUP(U733/20,0),"Lần " &amp; ROUNDUP(U735/20,0),"")</f>
        <v/>
      </c>
      <c r="AG735" s="11">
        <f>IF(ROUNDUP(V735/20,0)&gt;ROUNDUP(V733/20,0),"Lần " &amp; ROUNDUP(V735/20,0),"")</f>
        <v/>
      </c>
      <c r="AH735" s="11">
        <f>IF(ROUNDUP(W735/20,0)&gt;ROUNDUP(W733/20,0),"Lần " &amp; ROUNDUP(W735/20,0),"")</f>
        <v/>
      </c>
      <c r="AI735" s="11">
        <f>IF(ROUNDUP(X735/20,0)&gt;ROUNDUP(X733/20,0),"Lần " &amp; ROUNDUP(X735/20,0),"")</f>
        <v/>
      </c>
      <c r="AJ735" s="11">
        <f>IF(ROUNDUP(Y735/20,0)&gt;ROUNDUP(Y733/20,0),"Lần " &amp; ROUNDUP(Y735/20,0),"")</f>
        <v/>
      </c>
      <c r="AK735" s="11">
        <f>IF(ROUNDUP(Z735/20,0)&gt;ROUNDUP(Z733/20,0),"Lần " &amp; ROUNDUP(Z735/20,0),"")</f>
        <v/>
      </c>
      <c r="AL735" s="6" t="n"/>
      <c r="AN735" t="inlineStr">
        <is>
          <t>Coc</t>
        </is>
      </c>
      <c r="AO735" t="n">
        <v>25</v>
      </c>
    </row>
    <row r="736" ht="19" customHeight="1">
      <c r="A736" s="6" t="n">
        <v>698</v>
      </c>
      <c r="B736" s="7" t="inlineStr">
        <is>
          <t>Cọc khoan nhồi C3 Mố M2 (D1.2m, L=36.0m)</t>
        </is>
      </c>
      <c r="C736" s="7" t="inlineStr">
        <is>
          <t>Cọc mố M2 L=36m (tr.66)</t>
        </is>
      </c>
      <c r="D736" s="18" t="inlineStr">
        <is>
          <t>P1A</t>
        </is>
      </c>
      <c r="E736" s="19" t="n">
        <v>10</v>
      </c>
      <c r="F736" s="6" t="inlineStr">
        <is>
          <t>CB240-T</t>
        </is>
      </c>
      <c r="G736" s="7" t="inlineStr"/>
      <c r="H736" s="20" t="n">
        <v>390.776</v>
      </c>
      <c r="I736" s="21" t="n">
        <v>1</v>
      </c>
      <c r="J736" s="22" t="n">
        <v>0.617</v>
      </c>
      <c r="K736" s="9">
        <f>ROUND(H736*I736*J736, 2)</f>
        <v/>
      </c>
      <c r="L736" s="23">
        <f>ROUND(K736/1000, 3)</f>
        <v/>
      </c>
      <c r="M736" s="8">
        <f>IF(AO736="","",IF(INDEX(Theo_Doi_Tan_Suat_Be_Tong!$C:$C,AO736)="","",INDEX(Theo_Doi_Tan_Suat_Be_Tong!$C:$C,AO736)-VLOOKUP(AN736,$AQ$2:$AR$7,2,FALSE)))</f>
        <v/>
      </c>
      <c r="N736" s="6" t="n"/>
      <c r="O736" s="24">
        <f>IF(ROUNDUP(P736/20,0)&gt;ROUNDUP(P735/20,0),"TN Ø10 (Lần " &amp; ROUNDUP(P736/20,0) &amp; ")","")</f>
        <v/>
      </c>
      <c r="P736" s="20">
        <f>ROUND(P735+IF(AND(E736&lt;=10,F736&lt;&gt;"ASTM A416"),L736,0),3)</f>
        <v/>
      </c>
      <c r="Q736" s="20">
        <f>ROUND(Q735+IF(AND(E736=12,F736&lt;&gt;"ASTM A416"),L736,0),3)</f>
        <v/>
      </c>
      <c r="R736" s="20">
        <f>ROUND(R735+IF(AND(E736=14,F736&lt;&gt;"ASTM A416"),L736,0),3)</f>
        <v/>
      </c>
      <c r="S736" s="20">
        <f>ROUND(S735+IF(AND(E736=16,F736&lt;&gt;"ASTM A416"),L736,0),3)</f>
        <v/>
      </c>
      <c r="T736" s="20">
        <f>ROUND(T735+IF(AND(E736=18,F736&lt;&gt;"ASTM A416"),L736,0),3)</f>
        <v/>
      </c>
      <c r="U736" s="20">
        <f>ROUND(U735+IF(AND(E736=20,F736&lt;&gt;"ASTM A416"),L736,0),3)</f>
        <v/>
      </c>
      <c r="V736" s="20">
        <f>ROUND(V735+IF(AND(E736=22,F736&lt;&gt;"ASTM A416"),L736,0),3)</f>
        <v/>
      </c>
      <c r="W736" s="20">
        <f>ROUND(W735+IF(AND(E736=25,F736&lt;&gt;"ASTM A416"),L736,0),3)</f>
        <v/>
      </c>
      <c r="X736" s="20">
        <f>ROUND(X735+IF(AND(E736=28,F736&lt;&gt;"ASTM A416"),L736,0),3)</f>
        <v/>
      </c>
      <c r="Y736" s="20">
        <f>ROUND(Y735+IF(AND(E736=32,F736&lt;&gt;"ASTM A416"),L736,0),3)</f>
        <v/>
      </c>
      <c r="Z736" s="20">
        <f>ROUND(Z735+IF(F736="ASTM A416",L736,0),3)</f>
        <v/>
      </c>
      <c r="AA736" s="11">
        <f>IF(ROUNDUP(P736/20,0)&gt;ROUNDUP(P735/20,0),"Lần " &amp; ROUNDUP(P736/20,0),"")</f>
        <v/>
      </c>
      <c r="AB736" s="11">
        <f>IF(ROUNDUP(Q736/20,0)&gt;ROUNDUP(Q735/20,0),"Lần " &amp; ROUNDUP(Q736/20,0),"")</f>
        <v/>
      </c>
      <c r="AC736" s="11">
        <f>IF(ROUNDUP(R736/20,0)&gt;ROUNDUP(R735/20,0),"Lần " &amp; ROUNDUP(R736/20,0),"")</f>
        <v/>
      </c>
      <c r="AD736" s="11">
        <f>IF(ROUNDUP(S736/20,0)&gt;ROUNDUP(S735/20,0),"Lần " &amp; ROUNDUP(S736/20,0),"")</f>
        <v/>
      </c>
      <c r="AE736" s="11">
        <f>IF(ROUNDUP(T736/20,0)&gt;ROUNDUP(T735/20,0),"Lần " &amp; ROUNDUP(T736/20,0),"")</f>
        <v/>
      </c>
      <c r="AF736" s="11">
        <f>IF(ROUNDUP(U736/20,0)&gt;ROUNDUP(U735/20,0),"Lần " &amp; ROUNDUP(U736/20,0),"")</f>
        <v/>
      </c>
      <c r="AG736" s="11">
        <f>IF(ROUNDUP(V736/20,0)&gt;ROUNDUP(V735/20,0),"Lần " &amp; ROUNDUP(V736/20,0),"")</f>
        <v/>
      </c>
      <c r="AH736" s="11">
        <f>IF(ROUNDUP(W736/20,0)&gt;ROUNDUP(W735/20,0),"Lần " &amp; ROUNDUP(W736/20,0),"")</f>
        <v/>
      </c>
      <c r="AI736" s="11">
        <f>IF(ROUNDUP(X736/20,0)&gt;ROUNDUP(X735/20,0),"Lần " &amp; ROUNDUP(X736/20,0),"")</f>
        <v/>
      </c>
      <c r="AJ736" s="11">
        <f>IF(ROUNDUP(Y736/20,0)&gt;ROUNDUP(Y735/20,0),"Lần " &amp; ROUNDUP(Y736/20,0),"")</f>
        <v/>
      </c>
      <c r="AK736" s="11">
        <f>IF(ROUNDUP(Z736/20,0)&gt;ROUNDUP(Z735/20,0),"Lần " &amp; ROUNDUP(Z736/20,0),"")</f>
        <v/>
      </c>
      <c r="AL736" s="6" t="n"/>
      <c r="AN736" t="inlineStr">
        <is>
          <t>Coc</t>
        </is>
      </c>
      <c r="AO736" t="n">
        <v>25</v>
      </c>
    </row>
    <row r="737" ht="19" customHeight="1">
      <c r="A737" s="6" t="n">
        <v>699</v>
      </c>
      <c r="B737" s="7" t="inlineStr">
        <is>
          <t>Cọc khoan nhồi C3 Mố M2 (D1.2m, L=36.0m)</t>
        </is>
      </c>
      <c r="C737" s="7" t="inlineStr">
        <is>
          <t>Cọc mố M2 L=36m (tr.66)</t>
        </is>
      </c>
      <c r="D737" s="18" t="inlineStr">
        <is>
          <t>P1B</t>
        </is>
      </c>
      <c r="E737" s="19" t="n">
        <v>10</v>
      </c>
      <c r="F737" s="6" t="inlineStr">
        <is>
          <t>CB240-T</t>
        </is>
      </c>
      <c r="G737" s="7" t="inlineStr"/>
      <c r="H737" s="20" t="n">
        <v>164.938</v>
      </c>
      <c r="I737" s="21" t="n">
        <v>1</v>
      </c>
      <c r="J737" s="22" t="n">
        <v>0.617</v>
      </c>
      <c r="K737" s="9">
        <f>ROUND(H737*I737*J737, 2)</f>
        <v/>
      </c>
      <c r="L737" s="23">
        <f>ROUND(K737/1000, 3)</f>
        <v/>
      </c>
      <c r="M737" s="8">
        <f>IF(AO737="","",IF(INDEX(Theo_Doi_Tan_Suat_Be_Tong!$C:$C,AO737)="","",INDEX(Theo_Doi_Tan_Suat_Be_Tong!$C:$C,AO737)-VLOOKUP(AN737,$AQ$2:$AR$7,2,FALSE)))</f>
        <v/>
      </c>
      <c r="N737" s="6" t="n"/>
      <c r="O737" s="24">
        <f>IF(ROUNDUP(P737/20,0)&gt;ROUNDUP(P736/20,0),"TN Ø10 (Lần " &amp; ROUNDUP(P737/20,0) &amp; ")","")</f>
        <v/>
      </c>
      <c r="P737" s="20">
        <f>ROUND(P736+IF(AND(E737&lt;=10,F737&lt;&gt;"ASTM A416"),L737,0),3)</f>
        <v/>
      </c>
      <c r="Q737" s="20">
        <f>ROUND(Q736+IF(AND(E737=12,F737&lt;&gt;"ASTM A416"),L737,0),3)</f>
        <v/>
      </c>
      <c r="R737" s="20">
        <f>ROUND(R736+IF(AND(E737=14,F737&lt;&gt;"ASTM A416"),L737,0),3)</f>
        <v/>
      </c>
      <c r="S737" s="20">
        <f>ROUND(S736+IF(AND(E737=16,F737&lt;&gt;"ASTM A416"),L737,0),3)</f>
        <v/>
      </c>
      <c r="T737" s="20">
        <f>ROUND(T736+IF(AND(E737=18,F737&lt;&gt;"ASTM A416"),L737,0),3)</f>
        <v/>
      </c>
      <c r="U737" s="20">
        <f>ROUND(U736+IF(AND(E737=20,F737&lt;&gt;"ASTM A416"),L737,0),3)</f>
        <v/>
      </c>
      <c r="V737" s="20">
        <f>ROUND(V736+IF(AND(E737=22,F737&lt;&gt;"ASTM A416"),L737,0),3)</f>
        <v/>
      </c>
      <c r="W737" s="20">
        <f>ROUND(W736+IF(AND(E737=25,F737&lt;&gt;"ASTM A416"),L737,0),3)</f>
        <v/>
      </c>
      <c r="X737" s="20">
        <f>ROUND(X736+IF(AND(E737=28,F737&lt;&gt;"ASTM A416"),L737,0),3)</f>
        <v/>
      </c>
      <c r="Y737" s="20">
        <f>ROUND(Y736+IF(AND(E737=32,F737&lt;&gt;"ASTM A416"),L737,0),3)</f>
        <v/>
      </c>
      <c r="Z737" s="20">
        <f>ROUND(Z736+IF(F737="ASTM A416",L737,0),3)</f>
        <v/>
      </c>
      <c r="AA737" s="11">
        <f>IF(ROUNDUP(P737/20,0)&gt;ROUNDUP(P736/20,0),"Lần " &amp; ROUNDUP(P737/20,0),"")</f>
        <v/>
      </c>
      <c r="AB737" s="11">
        <f>IF(ROUNDUP(Q737/20,0)&gt;ROUNDUP(Q736/20,0),"Lần " &amp; ROUNDUP(Q737/20,0),"")</f>
        <v/>
      </c>
      <c r="AC737" s="11">
        <f>IF(ROUNDUP(R737/20,0)&gt;ROUNDUP(R736/20,0),"Lần " &amp; ROUNDUP(R737/20,0),"")</f>
        <v/>
      </c>
      <c r="AD737" s="11">
        <f>IF(ROUNDUP(S737/20,0)&gt;ROUNDUP(S736/20,0),"Lần " &amp; ROUNDUP(S737/20,0),"")</f>
        <v/>
      </c>
      <c r="AE737" s="11">
        <f>IF(ROUNDUP(T737/20,0)&gt;ROUNDUP(T736/20,0),"Lần " &amp; ROUNDUP(T737/20,0),"")</f>
        <v/>
      </c>
      <c r="AF737" s="11">
        <f>IF(ROUNDUP(U737/20,0)&gt;ROUNDUP(U736/20,0),"Lần " &amp; ROUNDUP(U737/20,0),"")</f>
        <v/>
      </c>
      <c r="AG737" s="11">
        <f>IF(ROUNDUP(V737/20,0)&gt;ROUNDUP(V736/20,0),"Lần " &amp; ROUNDUP(V737/20,0),"")</f>
        <v/>
      </c>
      <c r="AH737" s="11">
        <f>IF(ROUNDUP(W737/20,0)&gt;ROUNDUP(W736/20,0),"Lần " &amp; ROUNDUP(W737/20,0),"")</f>
        <v/>
      </c>
      <c r="AI737" s="11">
        <f>IF(ROUNDUP(X737/20,0)&gt;ROUNDUP(X736/20,0),"Lần " &amp; ROUNDUP(X737/20,0),"")</f>
        <v/>
      </c>
      <c r="AJ737" s="11">
        <f>IF(ROUNDUP(Y737/20,0)&gt;ROUNDUP(Y736/20,0),"Lần " &amp; ROUNDUP(Y737/20,0),"")</f>
        <v/>
      </c>
      <c r="AK737" s="11">
        <f>IF(ROUNDUP(Z737/20,0)&gt;ROUNDUP(Z736/20,0),"Lần " &amp; ROUNDUP(Z737/20,0),"")</f>
        <v/>
      </c>
      <c r="AL737" s="6" t="n"/>
      <c r="AN737" t="inlineStr">
        <is>
          <t>Coc</t>
        </is>
      </c>
      <c r="AO737" t="n">
        <v>25</v>
      </c>
    </row>
    <row r="738" ht="19" customHeight="1">
      <c r="A738" s="6" t="n">
        <v>700</v>
      </c>
      <c r="B738" s="7" t="inlineStr">
        <is>
          <t>Cọc khoan nhồi C3 Mố M2 (D1.2m, L=36.0m)</t>
        </is>
      </c>
      <c r="C738" s="7" t="inlineStr">
        <is>
          <t>Cọc mố M2 L=36m (tr.66)</t>
        </is>
      </c>
      <c r="D738" s="18" t="inlineStr">
        <is>
          <t>P1C</t>
        </is>
      </c>
      <c r="E738" s="19" t="n">
        <v>10</v>
      </c>
      <c r="F738" s="6" t="inlineStr">
        <is>
          <t>CB240-T</t>
        </is>
      </c>
      <c r="G738" s="7" t="inlineStr"/>
      <c r="H738" s="20" t="n">
        <v>3.592</v>
      </c>
      <c r="I738" s="21" t="n">
        <v>2</v>
      </c>
      <c r="J738" s="22" t="n">
        <v>0.617</v>
      </c>
      <c r="K738" s="9">
        <f>ROUND(H738*I738*J738, 2)</f>
        <v/>
      </c>
      <c r="L738" s="23">
        <f>ROUND(K738/1000, 3)</f>
        <v/>
      </c>
      <c r="M738" s="8">
        <f>IF(AO738="","",IF(INDEX(Theo_Doi_Tan_Suat_Be_Tong!$C:$C,AO738)="","",INDEX(Theo_Doi_Tan_Suat_Be_Tong!$C:$C,AO738)-VLOOKUP(AN738,$AQ$2:$AR$7,2,FALSE)))</f>
        <v/>
      </c>
      <c r="N738" s="6" t="n"/>
      <c r="O738" s="24">
        <f>IF(ROUNDUP(P738/20,0)&gt;ROUNDUP(P737/20,0),"TN Ø10 (Lần " &amp; ROUNDUP(P738/20,0) &amp; ")","")</f>
        <v/>
      </c>
      <c r="P738" s="20">
        <f>ROUND(P737+IF(AND(E738&lt;=10,F738&lt;&gt;"ASTM A416"),L738,0),3)</f>
        <v/>
      </c>
      <c r="Q738" s="20">
        <f>ROUND(Q737+IF(AND(E738=12,F738&lt;&gt;"ASTM A416"),L738,0),3)</f>
        <v/>
      </c>
      <c r="R738" s="20">
        <f>ROUND(R737+IF(AND(E738=14,F738&lt;&gt;"ASTM A416"),L738,0),3)</f>
        <v/>
      </c>
      <c r="S738" s="20">
        <f>ROUND(S737+IF(AND(E738=16,F738&lt;&gt;"ASTM A416"),L738,0),3)</f>
        <v/>
      </c>
      <c r="T738" s="20">
        <f>ROUND(T737+IF(AND(E738=18,F738&lt;&gt;"ASTM A416"),L738,0),3)</f>
        <v/>
      </c>
      <c r="U738" s="20">
        <f>ROUND(U737+IF(AND(E738=20,F738&lt;&gt;"ASTM A416"),L738,0),3)</f>
        <v/>
      </c>
      <c r="V738" s="20">
        <f>ROUND(V737+IF(AND(E738=22,F738&lt;&gt;"ASTM A416"),L738,0),3)</f>
        <v/>
      </c>
      <c r="W738" s="20">
        <f>ROUND(W737+IF(AND(E738=25,F738&lt;&gt;"ASTM A416"),L738,0),3)</f>
        <v/>
      </c>
      <c r="X738" s="20">
        <f>ROUND(X737+IF(AND(E738=28,F738&lt;&gt;"ASTM A416"),L738,0),3)</f>
        <v/>
      </c>
      <c r="Y738" s="20">
        <f>ROUND(Y737+IF(AND(E738=32,F738&lt;&gt;"ASTM A416"),L738,0),3)</f>
        <v/>
      </c>
      <c r="Z738" s="20">
        <f>ROUND(Z737+IF(F738="ASTM A416",L738,0),3)</f>
        <v/>
      </c>
      <c r="AA738" s="11">
        <f>IF(ROUNDUP(P738/20,0)&gt;ROUNDUP(P737/20,0),"Lần " &amp; ROUNDUP(P738/20,0),"")</f>
        <v/>
      </c>
      <c r="AB738" s="11">
        <f>IF(ROUNDUP(Q738/20,0)&gt;ROUNDUP(Q737/20,0),"Lần " &amp; ROUNDUP(Q738/20,0),"")</f>
        <v/>
      </c>
      <c r="AC738" s="11">
        <f>IF(ROUNDUP(R738/20,0)&gt;ROUNDUP(R737/20,0),"Lần " &amp; ROUNDUP(R738/20,0),"")</f>
        <v/>
      </c>
      <c r="AD738" s="11">
        <f>IF(ROUNDUP(S738/20,0)&gt;ROUNDUP(S737/20,0),"Lần " &amp; ROUNDUP(S738/20,0),"")</f>
        <v/>
      </c>
      <c r="AE738" s="11">
        <f>IF(ROUNDUP(T738/20,0)&gt;ROUNDUP(T737/20,0),"Lần " &amp; ROUNDUP(T738/20,0),"")</f>
        <v/>
      </c>
      <c r="AF738" s="11">
        <f>IF(ROUNDUP(U738/20,0)&gt;ROUNDUP(U737/20,0),"Lần " &amp; ROUNDUP(U738/20,0),"")</f>
        <v/>
      </c>
      <c r="AG738" s="11">
        <f>IF(ROUNDUP(V738/20,0)&gt;ROUNDUP(V737/20,0),"Lần " &amp; ROUNDUP(V738/20,0),"")</f>
        <v/>
      </c>
      <c r="AH738" s="11">
        <f>IF(ROUNDUP(W738/20,0)&gt;ROUNDUP(W737/20,0),"Lần " &amp; ROUNDUP(W738/20,0),"")</f>
        <v/>
      </c>
      <c r="AI738" s="11">
        <f>IF(ROUNDUP(X738/20,0)&gt;ROUNDUP(X737/20,0),"Lần " &amp; ROUNDUP(X738/20,0),"")</f>
        <v/>
      </c>
      <c r="AJ738" s="11">
        <f>IF(ROUNDUP(Y738/20,0)&gt;ROUNDUP(Y737/20,0),"Lần " &amp; ROUNDUP(Y738/20,0),"")</f>
        <v/>
      </c>
      <c r="AK738" s="11">
        <f>IF(ROUNDUP(Z738/20,0)&gt;ROUNDUP(Z737/20,0),"Lần " &amp; ROUNDUP(Z738/20,0),"")</f>
        <v/>
      </c>
      <c r="AL738" s="6" t="n"/>
      <c r="AN738" t="inlineStr">
        <is>
          <t>Coc</t>
        </is>
      </c>
      <c r="AO738" t="n">
        <v>25</v>
      </c>
    </row>
    <row r="739" ht="19" customHeight="1">
      <c r="A739" s="6" t="n">
        <v>701</v>
      </c>
      <c r="B739" s="7" t="inlineStr">
        <is>
          <t>Cọc khoan nhồi C3 Mố M2 (D1.2m, L=36.0m)</t>
        </is>
      </c>
      <c r="C739" s="7" t="inlineStr">
        <is>
          <t>Cọc mố M2 L=36m (tr.66)</t>
        </is>
      </c>
      <c r="D739" s="18" t="inlineStr">
        <is>
          <t>P1D</t>
        </is>
      </c>
      <c r="E739" s="19" t="n">
        <v>10</v>
      </c>
      <c r="F739" s="6" t="inlineStr">
        <is>
          <t>CB240-T</t>
        </is>
      </c>
      <c r="G739" s="7" t="inlineStr"/>
      <c r="H739" s="20" t="n">
        <v>23.007</v>
      </c>
      <c r="I739" s="21" t="n">
        <v>1</v>
      </c>
      <c r="J739" s="22" t="n">
        <v>0.617</v>
      </c>
      <c r="K739" s="9">
        <f>ROUND(H739*I739*J739, 2)</f>
        <v/>
      </c>
      <c r="L739" s="23">
        <f>ROUND(K739/1000, 3)</f>
        <v/>
      </c>
      <c r="M739" s="8">
        <f>IF(AO739="","",IF(INDEX(Theo_Doi_Tan_Suat_Be_Tong!$C:$C,AO739)="","",INDEX(Theo_Doi_Tan_Suat_Be_Tong!$C:$C,AO739)-VLOOKUP(AN739,$AQ$2:$AR$7,2,FALSE)))</f>
        <v/>
      </c>
      <c r="N739" s="6" t="n"/>
      <c r="O739" s="24">
        <f>IF(ROUNDUP(P739/20,0)&gt;ROUNDUP(P738/20,0),"TN Ø10 (Lần " &amp; ROUNDUP(P739/20,0) &amp; ")","")</f>
        <v/>
      </c>
      <c r="P739" s="20">
        <f>ROUND(P738+IF(AND(E739&lt;=10,F739&lt;&gt;"ASTM A416"),L739,0),3)</f>
        <v/>
      </c>
      <c r="Q739" s="20">
        <f>ROUND(Q738+IF(AND(E739=12,F739&lt;&gt;"ASTM A416"),L739,0),3)</f>
        <v/>
      </c>
      <c r="R739" s="20">
        <f>ROUND(R738+IF(AND(E739=14,F739&lt;&gt;"ASTM A416"),L739,0),3)</f>
        <v/>
      </c>
      <c r="S739" s="20">
        <f>ROUND(S738+IF(AND(E739=16,F739&lt;&gt;"ASTM A416"),L739,0),3)</f>
        <v/>
      </c>
      <c r="T739" s="20">
        <f>ROUND(T738+IF(AND(E739=18,F739&lt;&gt;"ASTM A416"),L739,0),3)</f>
        <v/>
      </c>
      <c r="U739" s="20">
        <f>ROUND(U738+IF(AND(E739=20,F739&lt;&gt;"ASTM A416"),L739,0),3)</f>
        <v/>
      </c>
      <c r="V739" s="20">
        <f>ROUND(V738+IF(AND(E739=22,F739&lt;&gt;"ASTM A416"),L739,0),3)</f>
        <v/>
      </c>
      <c r="W739" s="20">
        <f>ROUND(W738+IF(AND(E739=25,F739&lt;&gt;"ASTM A416"),L739,0),3)</f>
        <v/>
      </c>
      <c r="X739" s="20">
        <f>ROUND(X738+IF(AND(E739=28,F739&lt;&gt;"ASTM A416"),L739,0),3)</f>
        <v/>
      </c>
      <c r="Y739" s="20">
        <f>ROUND(Y738+IF(AND(E739=32,F739&lt;&gt;"ASTM A416"),L739,0),3)</f>
        <v/>
      </c>
      <c r="Z739" s="20">
        <f>ROUND(Z738+IF(F739="ASTM A416",L739,0),3)</f>
        <v/>
      </c>
      <c r="AA739" s="11">
        <f>IF(ROUNDUP(P739/20,0)&gt;ROUNDUP(P738/20,0),"Lần " &amp; ROUNDUP(P739/20,0),"")</f>
        <v/>
      </c>
      <c r="AB739" s="11">
        <f>IF(ROUNDUP(Q739/20,0)&gt;ROUNDUP(Q738/20,0),"Lần " &amp; ROUNDUP(Q739/20,0),"")</f>
        <v/>
      </c>
      <c r="AC739" s="11">
        <f>IF(ROUNDUP(R739/20,0)&gt;ROUNDUP(R738/20,0),"Lần " &amp; ROUNDUP(R739/20,0),"")</f>
        <v/>
      </c>
      <c r="AD739" s="11">
        <f>IF(ROUNDUP(S739/20,0)&gt;ROUNDUP(S738/20,0),"Lần " &amp; ROUNDUP(S739/20,0),"")</f>
        <v/>
      </c>
      <c r="AE739" s="11">
        <f>IF(ROUNDUP(T739/20,0)&gt;ROUNDUP(T738/20,0),"Lần " &amp; ROUNDUP(T739/20,0),"")</f>
        <v/>
      </c>
      <c r="AF739" s="11">
        <f>IF(ROUNDUP(U739/20,0)&gt;ROUNDUP(U738/20,0),"Lần " &amp; ROUNDUP(U739/20,0),"")</f>
        <v/>
      </c>
      <c r="AG739" s="11">
        <f>IF(ROUNDUP(V739/20,0)&gt;ROUNDUP(V738/20,0),"Lần " &amp; ROUNDUP(V739/20,0),"")</f>
        <v/>
      </c>
      <c r="AH739" s="11">
        <f>IF(ROUNDUP(W739/20,0)&gt;ROUNDUP(W738/20,0),"Lần " &amp; ROUNDUP(W739/20,0),"")</f>
        <v/>
      </c>
      <c r="AI739" s="11">
        <f>IF(ROUNDUP(X739/20,0)&gt;ROUNDUP(X738/20,0),"Lần " &amp; ROUNDUP(X739/20,0),"")</f>
        <v/>
      </c>
      <c r="AJ739" s="11">
        <f>IF(ROUNDUP(Y739/20,0)&gt;ROUNDUP(Y738/20,0),"Lần " &amp; ROUNDUP(Y739/20,0),"")</f>
        <v/>
      </c>
      <c r="AK739" s="11">
        <f>IF(ROUNDUP(Z739/20,0)&gt;ROUNDUP(Z738/20,0),"Lần " &amp; ROUNDUP(Z739/20,0),"")</f>
        <v/>
      </c>
      <c r="AL739" s="6" t="n"/>
      <c r="AN739" t="inlineStr">
        <is>
          <t>Coc</t>
        </is>
      </c>
      <c r="AO739" t="n">
        <v>25</v>
      </c>
    </row>
    <row r="740" ht="19" customHeight="1">
      <c r="A740" s="6" t="n">
        <v>702</v>
      </c>
      <c r="B740" s="7" t="inlineStr">
        <is>
          <t>Cọc khoan nhồi C3 Mố M2 (D1.2m, L=36.0m)</t>
        </is>
      </c>
      <c r="C740" s="7" t="inlineStr">
        <is>
          <t>Cọc mố M2 L=36m (tr.66)</t>
        </is>
      </c>
      <c r="D740" s="18" t="inlineStr">
        <is>
          <t>P2A</t>
        </is>
      </c>
      <c r="E740" s="19" t="n">
        <v>28</v>
      </c>
      <c r="F740" s="6" t="inlineStr">
        <is>
          <t>CB400-V</t>
        </is>
      </c>
      <c r="G740" s="7" t="inlineStr"/>
      <c r="H740" s="20" t="n">
        <v>2.966</v>
      </c>
      <c r="I740" s="21" t="n">
        <v>5</v>
      </c>
      <c r="J740" s="22" t="n">
        <v>4.834</v>
      </c>
      <c r="K740" s="9">
        <f>ROUND(H740*I740*J740, 2)</f>
        <v/>
      </c>
      <c r="L740" s="23">
        <f>ROUND(K740/1000, 3)</f>
        <v/>
      </c>
      <c r="M740" s="8">
        <f>IF(AO740="","",IF(INDEX(Theo_Doi_Tan_Suat_Be_Tong!$C:$C,AO740)="","",INDEX(Theo_Doi_Tan_Suat_Be_Tong!$C:$C,AO740)-VLOOKUP(AN740,$AQ$2:$AR$7,2,FALSE)))</f>
        <v/>
      </c>
      <c r="N740" s="6" t="n"/>
      <c r="O740" s="24">
        <f>IF(ROUNDUP(X740/20,0)&gt;ROUNDUP(X739/20,0),"TN Ø28 (Lần " &amp; ROUNDUP(X740/20,0) &amp; ")","")</f>
        <v/>
      </c>
      <c r="P740" s="20">
        <f>ROUND(P739+IF(AND(E740&lt;=10,F740&lt;&gt;"ASTM A416"),L740,0),3)</f>
        <v/>
      </c>
      <c r="Q740" s="20">
        <f>ROUND(Q739+IF(AND(E740=12,F740&lt;&gt;"ASTM A416"),L740,0),3)</f>
        <v/>
      </c>
      <c r="R740" s="20">
        <f>ROUND(R739+IF(AND(E740=14,F740&lt;&gt;"ASTM A416"),L740,0),3)</f>
        <v/>
      </c>
      <c r="S740" s="20">
        <f>ROUND(S739+IF(AND(E740=16,F740&lt;&gt;"ASTM A416"),L740,0),3)</f>
        <v/>
      </c>
      <c r="T740" s="20">
        <f>ROUND(T739+IF(AND(E740=18,F740&lt;&gt;"ASTM A416"),L740,0),3)</f>
        <v/>
      </c>
      <c r="U740" s="20">
        <f>ROUND(U739+IF(AND(E740=20,F740&lt;&gt;"ASTM A416"),L740,0),3)</f>
        <v/>
      </c>
      <c r="V740" s="20">
        <f>ROUND(V739+IF(AND(E740=22,F740&lt;&gt;"ASTM A416"),L740,0),3)</f>
        <v/>
      </c>
      <c r="W740" s="20">
        <f>ROUND(W739+IF(AND(E740=25,F740&lt;&gt;"ASTM A416"),L740,0),3)</f>
        <v/>
      </c>
      <c r="X740" s="20">
        <f>ROUND(X739+IF(AND(E740=28,F740&lt;&gt;"ASTM A416"),L740,0),3)</f>
        <v/>
      </c>
      <c r="Y740" s="20">
        <f>ROUND(Y739+IF(AND(E740=32,F740&lt;&gt;"ASTM A416"),L740,0),3)</f>
        <v/>
      </c>
      <c r="Z740" s="20">
        <f>ROUND(Z739+IF(F740="ASTM A416",L740,0),3)</f>
        <v/>
      </c>
      <c r="AA740" s="11">
        <f>IF(ROUNDUP(P740/20,0)&gt;ROUNDUP(P739/20,0),"Lần " &amp; ROUNDUP(P740/20,0),"")</f>
        <v/>
      </c>
      <c r="AB740" s="11">
        <f>IF(ROUNDUP(Q740/20,0)&gt;ROUNDUP(Q739/20,0),"Lần " &amp; ROUNDUP(Q740/20,0),"")</f>
        <v/>
      </c>
      <c r="AC740" s="11">
        <f>IF(ROUNDUP(R740/20,0)&gt;ROUNDUP(R739/20,0),"Lần " &amp; ROUNDUP(R740/20,0),"")</f>
        <v/>
      </c>
      <c r="AD740" s="11">
        <f>IF(ROUNDUP(S740/20,0)&gt;ROUNDUP(S739/20,0),"Lần " &amp; ROUNDUP(S740/20,0),"")</f>
        <v/>
      </c>
      <c r="AE740" s="11">
        <f>IF(ROUNDUP(T740/20,0)&gt;ROUNDUP(T739/20,0),"Lần " &amp; ROUNDUP(T740/20,0),"")</f>
        <v/>
      </c>
      <c r="AF740" s="11">
        <f>IF(ROUNDUP(U740/20,0)&gt;ROUNDUP(U739/20,0),"Lần " &amp; ROUNDUP(U740/20,0),"")</f>
        <v/>
      </c>
      <c r="AG740" s="11">
        <f>IF(ROUNDUP(V740/20,0)&gt;ROUNDUP(V739/20,0),"Lần " &amp; ROUNDUP(V740/20,0),"")</f>
        <v/>
      </c>
      <c r="AH740" s="11">
        <f>IF(ROUNDUP(W740/20,0)&gt;ROUNDUP(W739/20,0),"Lần " &amp; ROUNDUP(W740/20,0),"")</f>
        <v/>
      </c>
      <c r="AI740" s="11">
        <f>IF(ROUNDUP(X740/20,0)&gt;ROUNDUP(X739/20,0),"Lần " &amp; ROUNDUP(X740/20,0),"")</f>
        <v/>
      </c>
      <c r="AJ740" s="11">
        <f>IF(ROUNDUP(Y740/20,0)&gt;ROUNDUP(Y739/20,0),"Lần " &amp; ROUNDUP(Y740/20,0),"")</f>
        <v/>
      </c>
      <c r="AK740" s="11">
        <f>IF(ROUNDUP(Z740/20,0)&gt;ROUNDUP(Z739/20,0),"Lần " &amp; ROUNDUP(Z740/20,0),"")</f>
        <v/>
      </c>
      <c r="AL740" s="6" t="n"/>
      <c r="AN740" t="inlineStr">
        <is>
          <t>Coc</t>
        </is>
      </c>
      <c r="AO740" t="n">
        <v>25</v>
      </c>
    </row>
    <row r="741" ht="19" customHeight="1">
      <c r="A741" s="6" t="n">
        <v>703</v>
      </c>
      <c r="B741" s="7" t="inlineStr">
        <is>
          <t>Cọc khoan nhồi C3 Mố M2 (D1.2m, L=36.0m)</t>
        </is>
      </c>
      <c r="C741" s="7" t="inlineStr">
        <is>
          <t>Cọc mố M2 L=36m (tr.66)</t>
        </is>
      </c>
      <c r="D741" s="18" t="inlineStr">
        <is>
          <t>P2B</t>
        </is>
      </c>
      <c r="E741" s="19" t="n">
        <v>25</v>
      </c>
      <c r="F741" s="6" t="inlineStr">
        <is>
          <t>CB400-V</t>
        </is>
      </c>
      <c r="G741" s="7" t="inlineStr"/>
      <c r="H741" s="20" t="n">
        <v>2.985</v>
      </c>
      <c r="I741" s="21" t="n">
        <v>10</v>
      </c>
      <c r="J741" s="22" t="n">
        <v>3.853</v>
      </c>
      <c r="K741" s="9">
        <f>ROUND(H741*I741*J741, 2)</f>
        <v/>
      </c>
      <c r="L741" s="23">
        <f>ROUND(K741/1000, 3)</f>
        <v/>
      </c>
      <c r="M741" s="8">
        <f>IF(AO741="","",IF(INDEX(Theo_Doi_Tan_Suat_Be_Tong!$C:$C,AO741)="","",INDEX(Theo_Doi_Tan_Suat_Be_Tong!$C:$C,AO741)-VLOOKUP(AN741,$AQ$2:$AR$7,2,FALSE)))</f>
        <v/>
      </c>
      <c r="N741" s="6" t="n"/>
      <c r="O741" s="24">
        <f>IF(ROUNDUP(W741/20,0)&gt;ROUNDUP(W740/20,0),"TN Ø25 (Lần " &amp; ROUNDUP(W741/20,0) &amp; ")","")</f>
        <v/>
      </c>
      <c r="P741" s="20">
        <f>ROUND(P740+IF(AND(E741&lt;=10,F741&lt;&gt;"ASTM A416"),L741,0),3)</f>
        <v/>
      </c>
      <c r="Q741" s="20">
        <f>ROUND(Q740+IF(AND(E741=12,F741&lt;&gt;"ASTM A416"),L741,0),3)</f>
        <v/>
      </c>
      <c r="R741" s="20">
        <f>ROUND(R740+IF(AND(E741=14,F741&lt;&gt;"ASTM A416"),L741,0),3)</f>
        <v/>
      </c>
      <c r="S741" s="20">
        <f>ROUND(S740+IF(AND(E741=16,F741&lt;&gt;"ASTM A416"),L741,0),3)</f>
        <v/>
      </c>
      <c r="T741" s="20">
        <f>ROUND(T740+IF(AND(E741=18,F741&lt;&gt;"ASTM A416"),L741,0),3)</f>
        <v/>
      </c>
      <c r="U741" s="20">
        <f>ROUND(U740+IF(AND(E741=20,F741&lt;&gt;"ASTM A416"),L741,0),3)</f>
        <v/>
      </c>
      <c r="V741" s="20">
        <f>ROUND(V740+IF(AND(E741=22,F741&lt;&gt;"ASTM A416"),L741,0),3)</f>
        <v/>
      </c>
      <c r="W741" s="20">
        <f>ROUND(W740+IF(AND(E741=25,F741&lt;&gt;"ASTM A416"),L741,0),3)</f>
        <v/>
      </c>
      <c r="X741" s="20">
        <f>ROUND(X740+IF(AND(E741=28,F741&lt;&gt;"ASTM A416"),L741,0),3)</f>
        <v/>
      </c>
      <c r="Y741" s="20">
        <f>ROUND(Y740+IF(AND(E741=32,F741&lt;&gt;"ASTM A416"),L741,0),3)</f>
        <v/>
      </c>
      <c r="Z741" s="20">
        <f>ROUND(Z740+IF(F741="ASTM A416",L741,0),3)</f>
        <v/>
      </c>
      <c r="AA741" s="11">
        <f>IF(ROUNDUP(P741/20,0)&gt;ROUNDUP(P740/20,0),"Lần " &amp; ROUNDUP(P741/20,0),"")</f>
        <v/>
      </c>
      <c r="AB741" s="11">
        <f>IF(ROUNDUP(Q741/20,0)&gt;ROUNDUP(Q740/20,0),"Lần " &amp; ROUNDUP(Q741/20,0),"")</f>
        <v/>
      </c>
      <c r="AC741" s="11">
        <f>IF(ROUNDUP(R741/20,0)&gt;ROUNDUP(R740/20,0),"Lần " &amp; ROUNDUP(R741/20,0),"")</f>
        <v/>
      </c>
      <c r="AD741" s="11">
        <f>IF(ROUNDUP(S741/20,0)&gt;ROUNDUP(S740/20,0),"Lần " &amp; ROUNDUP(S741/20,0),"")</f>
        <v/>
      </c>
      <c r="AE741" s="11">
        <f>IF(ROUNDUP(T741/20,0)&gt;ROUNDUP(T740/20,0),"Lần " &amp; ROUNDUP(T741/20,0),"")</f>
        <v/>
      </c>
      <c r="AF741" s="11">
        <f>IF(ROUNDUP(U741/20,0)&gt;ROUNDUP(U740/20,0),"Lần " &amp; ROUNDUP(U741/20,0),"")</f>
        <v/>
      </c>
      <c r="AG741" s="11">
        <f>IF(ROUNDUP(V741/20,0)&gt;ROUNDUP(V740/20,0),"Lần " &amp; ROUNDUP(V741/20,0),"")</f>
        <v/>
      </c>
      <c r="AH741" s="11">
        <f>IF(ROUNDUP(W741/20,0)&gt;ROUNDUP(W740/20,0),"Lần " &amp; ROUNDUP(W741/20,0),"")</f>
        <v/>
      </c>
      <c r="AI741" s="11">
        <f>IF(ROUNDUP(X741/20,0)&gt;ROUNDUP(X740/20,0),"Lần " &amp; ROUNDUP(X741/20,0),"")</f>
        <v/>
      </c>
      <c r="AJ741" s="11">
        <f>IF(ROUNDUP(Y741/20,0)&gt;ROUNDUP(Y740/20,0),"Lần " &amp; ROUNDUP(Y741/20,0),"")</f>
        <v/>
      </c>
      <c r="AK741" s="11">
        <f>IF(ROUNDUP(Z741/20,0)&gt;ROUNDUP(Z740/20,0),"Lần " &amp; ROUNDUP(Z741/20,0),"")</f>
        <v/>
      </c>
      <c r="AL741" s="6" t="n"/>
      <c r="AN741" t="inlineStr">
        <is>
          <t>Coc</t>
        </is>
      </c>
      <c r="AO741" t="n">
        <v>25</v>
      </c>
    </row>
    <row r="742" ht="19" customHeight="1">
      <c r="A742" s="6" t="n">
        <v>704</v>
      </c>
      <c r="B742" s="7" t="inlineStr">
        <is>
          <t>Cọc khoan nhồi C3 Mố M2 (D1.2m, L=36.0m)</t>
        </is>
      </c>
      <c r="C742" s="7" t="inlineStr">
        <is>
          <t>Cọc mố M2 L=36m (tr.66)</t>
        </is>
      </c>
      <c r="D742" s="18" t="inlineStr">
        <is>
          <t>P3</t>
        </is>
      </c>
      <c r="E742" s="19" t="n">
        <v>28</v>
      </c>
      <c r="F742" s="6" t="inlineStr">
        <is>
          <t>CB400-V</t>
        </is>
      </c>
      <c r="G742" s="7" t="inlineStr"/>
      <c r="H742" s="20" t="n">
        <v>10.7</v>
      </c>
      <c r="I742" s="21" t="n">
        <v>12</v>
      </c>
      <c r="J742" s="22" t="n">
        <v>4.834</v>
      </c>
      <c r="K742" s="9">
        <f>ROUND(H742*I742*J742, 2)</f>
        <v/>
      </c>
      <c r="L742" s="23">
        <f>ROUND(K742/1000, 3)</f>
        <v/>
      </c>
      <c r="M742" s="8">
        <f>IF(AO742="","",IF(INDEX(Theo_Doi_Tan_Suat_Be_Tong!$C:$C,AO742)="","",INDEX(Theo_Doi_Tan_Suat_Be_Tong!$C:$C,AO742)-VLOOKUP(AN742,$AQ$2:$AR$7,2,FALSE)))</f>
        <v/>
      </c>
      <c r="N742" s="6" t="n"/>
      <c r="O742" s="24">
        <f>IF(ROUNDUP(X742/20,0)&gt;ROUNDUP(X741/20,0),"TN Ø28 (Lần " &amp; ROUNDUP(X742/20,0) &amp; ")","")</f>
        <v/>
      </c>
      <c r="P742" s="20">
        <f>ROUND(P741+IF(AND(E742&lt;=10,F742&lt;&gt;"ASTM A416"),L742,0),3)</f>
        <v/>
      </c>
      <c r="Q742" s="20">
        <f>ROUND(Q741+IF(AND(E742=12,F742&lt;&gt;"ASTM A416"),L742,0),3)</f>
        <v/>
      </c>
      <c r="R742" s="20">
        <f>ROUND(R741+IF(AND(E742=14,F742&lt;&gt;"ASTM A416"),L742,0),3)</f>
        <v/>
      </c>
      <c r="S742" s="20">
        <f>ROUND(S741+IF(AND(E742=16,F742&lt;&gt;"ASTM A416"),L742,0),3)</f>
        <v/>
      </c>
      <c r="T742" s="20">
        <f>ROUND(T741+IF(AND(E742=18,F742&lt;&gt;"ASTM A416"),L742,0),3)</f>
        <v/>
      </c>
      <c r="U742" s="20">
        <f>ROUND(U741+IF(AND(E742=20,F742&lt;&gt;"ASTM A416"),L742,0),3)</f>
        <v/>
      </c>
      <c r="V742" s="20">
        <f>ROUND(V741+IF(AND(E742=22,F742&lt;&gt;"ASTM A416"),L742,0),3)</f>
        <v/>
      </c>
      <c r="W742" s="20">
        <f>ROUND(W741+IF(AND(E742=25,F742&lt;&gt;"ASTM A416"),L742,0),3)</f>
        <v/>
      </c>
      <c r="X742" s="20">
        <f>ROUND(X741+IF(AND(E742=28,F742&lt;&gt;"ASTM A416"),L742,0),3)</f>
        <v/>
      </c>
      <c r="Y742" s="20">
        <f>ROUND(Y741+IF(AND(E742=32,F742&lt;&gt;"ASTM A416"),L742,0),3)</f>
        <v/>
      </c>
      <c r="Z742" s="20">
        <f>ROUND(Z741+IF(F742="ASTM A416",L742,0),3)</f>
        <v/>
      </c>
      <c r="AA742" s="11">
        <f>IF(ROUNDUP(P742/20,0)&gt;ROUNDUP(P741/20,0),"Lần " &amp; ROUNDUP(P742/20,0),"")</f>
        <v/>
      </c>
      <c r="AB742" s="11">
        <f>IF(ROUNDUP(Q742/20,0)&gt;ROUNDUP(Q741/20,0),"Lần " &amp; ROUNDUP(Q742/20,0),"")</f>
        <v/>
      </c>
      <c r="AC742" s="11">
        <f>IF(ROUNDUP(R742/20,0)&gt;ROUNDUP(R741/20,0),"Lần " &amp; ROUNDUP(R742/20,0),"")</f>
        <v/>
      </c>
      <c r="AD742" s="11">
        <f>IF(ROUNDUP(S742/20,0)&gt;ROUNDUP(S741/20,0),"Lần " &amp; ROUNDUP(S742/20,0),"")</f>
        <v/>
      </c>
      <c r="AE742" s="11">
        <f>IF(ROUNDUP(T742/20,0)&gt;ROUNDUP(T741/20,0),"Lần " &amp; ROUNDUP(T742/20,0),"")</f>
        <v/>
      </c>
      <c r="AF742" s="11">
        <f>IF(ROUNDUP(U742/20,0)&gt;ROUNDUP(U741/20,0),"Lần " &amp; ROUNDUP(U742/20,0),"")</f>
        <v/>
      </c>
      <c r="AG742" s="11">
        <f>IF(ROUNDUP(V742/20,0)&gt;ROUNDUP(V741/20,0),"Lần " &amp; ROUNDUP(V742/20,0),"")</f>
        <v/>
      </c>
      <c r="AH742" s="11">
        <f>IF(ROUNDUP(W742/20,0)&gt;ROUNDUP(W741/20,0),"Lần " &amp; ROUNDUP(W742/20,0),"")</f>
        <v/>
      </c>
      <c r="AI742" s="11">
        <f>IF(ROUNDUP(X742/20,0)&gt;ROUNDUP(X741/20,0),"Lần " &amp; ROUNDUP(X742/20,0),"")</f>
        <v/>
      </c>
      <c r="AJ742" s="11">
        <f>IF(ROUNDUP(Y742/20,0)&gt;ROUNDUP(Y741/20,0),"Lần " &amp; ROUNDUP(Y742/20,0),"")</f>
        <v/>
      </c>
      <c r="AK742" s="11">
        <f>IF(ROUNDUP(Z742/20,0)&gt;ROUNDUP(Z741/20,0),"Lần " &amp; ROUNDUP(Z742/20,0),"")</f>
        <v/>
      </c>
      <c r="AL742" s="6" t="n"/>
      <c r="AN742" t="inlineStr">
        <is>
          <t>Coc</t>
        </is>
      </c>
      <c r="AO742" t="n">
        <v>25</v>
      </c>
    </row>
    <row r="743" ht="19" customHeight="1">
      <c r="A743" s="6" t="n">
        <v>705</v>
      </c>
      <c r="B743" s="7" t="inlineStr">
        <is>
          <t>Cọc khoan nhồi C3 Mố M2 (D1.2m, L=36.0m)</t>
        </is>
      </c>
      <c r="C743" s="7" t="inlineStr">
        <is>
          <t>Cọc mố M2 L=36m (tr.66)</t>
        </is>
      </c>
      <c r="D743" s="18" t="inlineStr">
        <is>
          <t>P4</t>
        </is>
      </c>
      <c r="E743" s="19" t="n">
        <v>28</v>
      </c>
      <c r="F743" s="6" t="inlineStr">
        <is>
          <t>CB400-V</t>
        </is>
      </c>
      <c r="G743" s="7" t="inlineStr"/>
      <c r="H743" s="20" t="n">
        <v>11.7</v>
      </c>
      <c r="I743" s="21" t="n">
        <v>12</v>
      </c>
      <c r="J743" s="22" t="n">
        <v>4.834</v>
      </c>
      <c r="K743" s="9">
        <f>ROUND(H743*I743*J743, 2)</f>
        <v/>
      </c>
      <c r="L743" s="23">
        <f>ROUND(K743/1000, 3)</f>
        <v/>
      </c>
      <c r="M743" s="8">
        <f>IF(AO743="","",IF(INDEX(Theo_Doi_Tan_Suat_Be_Tong!$C:$C,AO743)="","",INDEX(Theo_Doi_Tan_Suat_Be_Tong!$C:$C,AO743)-VLOOKUP(AN743,$AQ$2:$AR$7,2,FALSE)))</f>
        <v/>
      </c>
      <c r="N743" s="6" t="n"/>
      <c r="O743" s="24">
        <f>IF(ROUNDUP(X743/20,0)&gt;ROUNDUP(X742/20,0),"TN Ø28 (Lần " &amp; ROUNDUP(X743/20,0) &amp; ")","")</f>
        <v/>
      </c>
      <c r="P743" s="20">
        <f>ROUND(P742+IF(AND(E743&lt;=10,F743&lt;&gt;"ASTM A416"),L743,0),3)</f>
        <v/>
      </c>
      <c r="Q743" s="20">
        <f>ROUND(Q742+IF(AND(E743=12,F743&lt;&gt;"ASTM A416"),L743,0),3)</f>
        <v/>
      </c>
      <c r="R743" s="20">
        <f>ROUND(R742+IF(AND(E743=14,F743&lt;&gt;"ASTM A416"),L743,0),3)</f>
        <v/>
      </c>
      <c r="S743" s="20">
        <f>ROUND(S742+IF(AND(E743=16,F743&lt;&gt;"ASTM A416"),L743,0),3)</f>
        <v/>
      </c>
      <c r="T743" s="20">
        <f>ROUND(T742+IF(AND(E743=18,F743&lt;&gt;"ASTM A416"),L743,0),3)</f>
        <v/>
      </c>
      <c r="U743" s="20">
        <f>ROUND(U742+IF(AND(E743=20,F743&lt;&gt;"ASTM A416"),L743,0),3)</f>
        <v/>
      </c>
      <c r="V743" s="20">
        <f>ROUND(V742+IF(AND(E743=22,F743&lt;&gt;"ASTM A416"),L743,0),3)</f>
        <v/>
      </c>
      <c r="W743" s="20">
        <f>ROUND(W742+IF(AND(E743=25,F743&lt;&gt;"ASTM A416"),L743,0),3)</f>
        <v/>
      </c>
      <c r="X743" s="20">
        <f>ROUND(X742+IF(AND(E743=28,F743&lt;&gt;"ASTM A416"),L743,0),3)</f>
        <v/>
      </c>
      <c r="Y743" s="20">
        <f>ROUND(Y742+IF(AND(E743=32,F743&lt;&gt;"ASTM A416"),L743,0),3)</f>
        <v/>
      </c>
      <c r="Z743" s="20">
        <f>ROUND(Z742+IF(F743="ASTM A416",L743,0),3)</f>
        <v/>
      </c>
      <c r="AA743" s="11">
        <f>IF(ROUNDUP(P743/20,0)&gt;ROUNDUP(P742/20,0),"Lần " &amp; ROUNDUP(P743/20,0),"")</f>
        <v/>
      </c>
      <c r="AB743" s="11">
        <f>IF(ROUNDUP(Q743/20,0)&gt;ROUNDUP(Q742/20,0),"Lần " &amp; ROUNDUP(Q743/20,0),"")</f>
        <v/>
      </c>
      <c r="AC743" s="11">
        <f>IF(ROUNDUP(R743/20,0)&gt;ROUNDUP(R742/20,0),"Lần " &amp; ROUNDUP(R743/20,0),"")</f>
        <v/>
      </c>
      <c r="AD743" s="11">
        <f>IF(ROUNDUP(S743/20,0)&gt;ROUNDUP(S742/20,0),"Lần " &amp; ROUNDUP(S743/20,0),"")</f>
        <v/>
      </c>
      <c r="AE743" s="11">
        <f>IF(ROUNDUP(T743/20,0)&gt;ROUNDUP(T742/20,0),"Lần " &amp; ROUNDUP(T743/20,0),"")</f>
        <v/>
      </c>
      <c r="AF743" s="11">
        <f>IF(ROUNDUP(U743/20,0)&gt;ROUNDUP(U742/20,0),"Lần " &amp; ROUNDUP(U743/20,0),"")</f>
        <v/>
      </c>
      <c r="AG743" s="11">
        <f>IF(ROUNDUP(V743/20,0)&gt;ROUNDUP(V742/20,0),"Lần " &amp; ROUNDUP(V743/20,0),"")</f>
        <v/>
      </c>
      <c r="AH743" s="11">
        <f>IF(ROUNDUP(W743/20,0)&gt;ROUNDUP(W742/20,0),"Lần " &amp; ROUNDUP(W743/20,0),"")</f>
        <v/>
      </c>
      <c r="AI743" s="11">
        <f>IF(ROUNDUP(X743/20,0)&gt;ROUNDUP(X742/20,0),"Lần " &amp; ROUNDUP(X743/20,0),"")</f>
        <v/>
      </c>
      <c r="AJ743" s="11">
        <f>IF(ROUNDUP(Y743/20,0)&gt;ROUNDUP(Y742/20,0),"Lần " &amp; ROUNDUP(Y743/20,0),"")</f>
        <v/>
      </c>
      <c r="AK743" s="11">
        <f>IF(ROUNDUP(Z743/20,0)&gt;ROUNDUP(Z742/20,0),"Lần " &amp; ROUNDUP(Z743/20,0),"")</f>
        <v/>
      </c>
      <c r="AL743" s="6" t="n"/>
      <c r="AN743" t="inlineStr">
        <is>
          <t>Coc</t>
        </is>
      </c>
      <c r="AO743" t="n">
        <v>25</v>
      </c>
    </row>
    <row r="744" ht="19" customHeight="1">
      <c r="A744" s="6" t="n">
        <v>706</v>
      </c>
      <c r="B744" s="7" t="inlineStr">
        <is>
          <t>Cọc khoan nhồi C3 Mố M2 (D1.2m, L=36.0m)</t>
        </is>
      </c>
      <c r="C744" s="7" t="inlineStr">
        <is>
          <t>Cọc mố M2 L=36m (tr.66)</t>
        </is>
      </c>
      <c r="D744" s="18" t="inlineStr">
        <is>
          <t>P5</t>
        </is>
      </c>
      <c r="E744" s="19" t="n">
        <v>25</v>
      </c>
      <c r="F744" s="6" t="inlineStr">
        <is>
          <t>CB400-V</t>
        </is>
      </c>
      <c r="G744" s="7" t="inlineStr"/>
      <c r="H744" s="20" t="n">
        <v>11.7</v>
      </c>
      <c r="I744" s="21" t="n">
        <v>48</v>
      </c>
      <c r="J744" s="22" t="n">
        <v>3.853</v>
      </c>
      <c r="K744" s="9">
        <f>ROUND(H744*I744*J744, 2)</f>
        <v/>
      </c>
      <c r="L744" s="23">
        <f>ROUND(K744/1000, 3)</f>
        <v/>
      </c>
      <c r="M744" s="8">
        <f>IF(AO744="","",IF(INDEX(Theo_Doi_Tan_Suat_Be_Tong!$C:$C,AO744)="","",INDEX(Theo_Doi_Tan_Suat_Be_Tong!$C:$C,AO744)-VLOOKUP(AN744,$AQ$2:$AR$7,2,FALSE)))</f>
        <v/>
      </c>
      <c r="N744" s="6" t="n"/>
      <c r="O744" s="24">
        <f>IF(ROUNDUP(W744/20,0)&gt;ROUNDUP(W743/20,0),"TN Ø25 (Lần " &amp; ROUNDUP(W744/20,0) &amp; ")","")</f>
        <v/>
      </c>
      <c r="P744" s="20">
        <f>ROUND(P743+IF(AND(E744&lt;=10,F744&lt;&gt;"ASTM A416"),L744,0),3)</f>
        <v/>
      </c>
      <c r="Q744" s="20">
        <f>ROUND(Q743+IF(AND(E744=12,F744&lt;&gt;"ASTM A416"),L744,0),3)</f>
        <v/>
      </c>
      <c r="R744" s="20">
        <f>ROUND(R743+IF(AND(E744=14,F744&lt;&gt;"ASTM A416"),L744,0),3)</f>
        <v/>
      </c>
      <c r="S744" s="20">
        <f>ROUND(S743+IF(AND(E744=16,F744&lt;&gt;"ASTM A416"),L744,0),3)</f>
        <v/>
      </c>
      <c r="T744" s="20">
        <f>ROUND(T743+IF(AND(E744=18,F744&lt;&gt;"ASTM A416"),L744,0),3)</f>
        <v/>
      </c>
      <c r="U744" s="20">
        <f>ROUND(U743+IF(AND(E744=20,F744&lt;&gt;"ASTM A416"),L744,0),3)</f>
        <v/>
      </c>
      <c r="V744" s="20">
        <f>ROUND(V743+IF(AND(E744=22,F744&lt;&gt;"ASTM A416"),L744,0),3)</f>
        <v/>
      </c>
      <c r="W744" s="20">
        <f>ROUND(W743+IF(AND(E744=25,F744&lt;&gt;"ASTM A416"),L744,0),3)</f>
        <v/>
      </c>
      <c r="X744" s="20">
        <f>ROUND(X743+IF(AND(E744=28,F744&lt;&gt;"ASTM A416"),L744,0),3)</f>
        <v/>
      </c>
      <c r="Y744" s="20">
        <f>ROUND(Y743+IF(AND(E744=32,F744&lt;&gt;"ASTM A416"),L744,0),3)</f>
        <v/>
      </c>
      <c r="Z744" s="20">
        <f>ROUND(Z743+IF(F744="ASTM A416",L744,0),3)</f>
        <v/>
      </c>
      <c r="AA744" s="11">
        <f>IF(ROUNDUP(P744/20,0)&gt;ROUNDUP(P743/20,0),"Lần " &amp; ROUNDUP(P744/20,0),"")</f>
        <v/>
      </c>
      <c r="AB744" s="11">
        <f>IF(ROUNDUP(Q744/20,0)&gt;ROUNDUP(Q743/20,0),"Lần " &amp; ROUNDUP(Q744/20,0),"")</f>
        <v/>
      </c>
      <c r="AC744" s="11">
        <f>IF(ROUNDUP(R744/20,0)&gt;ROUNDUP(R743/20,0),"Lần " &amp; ROUNDUP(R744/20,0),"")</f>
        <v/>
      </c>
      <c r="AD744" s="11">
        <f>IF(ROUNDUP(S744/20,0)&gt;ROUNDUP(S743/20,0),"Lần " &amp; ROUNDUP(S744/20,0),"")</f>
        <v/>
      </c>
      <c r="AE744" s="11">
        <f>IF(ROUNDUP(T744/20,0)&gt;ROUNDUP(T743/20,0),"Lần " &amp; ROUNDUP(T744/20,0),"")</f>
        <v/>
      </c>
      <c r="AF744" s="11">
        <f>IF(ROUNDUP(U744/20,0)&gt;ROUNDUP(U743/20,0),"Lần " &amp; ROUNDUP(U744/20,0),"")</f>
        <v/>
      </c>
      <c r="AG744" s="11">
        <f>IF(ROUNDUP(V744/20,0)&gt;ROUNDUP(V743/20,0),"Lần " &amp; ROUNDUP(V744/20,0),"")</f>
        <v/>
      </c>
      <c r="AH744" s="11">
        <f>IF(ROUNDUP(W744/20,0)&gt;ROUNDUP(W743/20,0),"Lần " &amp; ROUNDUP(W744/20,0),"")</f>
        <v/>
      </c>
      <c r="AI744" s="11">
        <f>IF(ROUNDUP(X744/20,0)&gt;ROUNDUP(X743/20,0),"Lần " &amp; ROUNDUP(X744/20,0),"")</f>
        <v/>
      </c>
      <c r="AJ744" s="11">
        <f>IF(ROUNDUP(Y744/20,0)&gt;ROUNDUP(Y743/20,0),"Lần " &amp; ROUNDUP(Y744/20,0),"")</f>
        <v/>
      </c>
      <c r="AK744" s="11">
        <f>IF(ROUNDUP(Z744/20,0)&gt;ROUNDUP(Z743/20,0),"Lần " &amp; ROUNDUP(Z744/20,0),"")</f>
        <v/>
      </c>
      <c r="AL744" s="6" t="n"/>
      <c r="AN744" t="inlineStr">
        <is>
          <t>Coc</t>
        </is>
      </c>
      <c r="AO744" t="n">
        <v>25</v>
      </c>
    </row>
    <row r="745" ht="19" customHeight="1">
      <c r="A745" s="6" t="n">
        <v>707</v>
      </c>
      <c r="B745" s="7" t="inlineStr">
        <is>
          <t>Cọc khoan nhồi C3 Mố M2 (D1.2m, L=36.0m)</t>
        </is>
      </c>
      <c r="C745" s="7" t="inlineStr">
        <is>
          <t>Cọc mố M2 L=36m (tr.66)</t>
        </is>
      </c>
      <c r="D745" s="18" t="inlineStr">
        <is>
          <t>P6</t>
        </is>
      </c>
      <c r="E745" s="19" t="n">
        <v>25</v>
      </c>
      <c r="F745" s="6" t="inlineStr">
        <is>
          <t>CB400-V</t>
        </is>
      </c>
      <c r="G745" s="7" t="inlineStr"/>
      <c r="H745" s="20" t="n">
        <v>5.153</v>
      </c>
      <c r="I745" s="21" t="n">
        <v>12</v>
      </c>
      <c r="J745" s="22" t="n">
        <v>3.853</v>
      </c>
      <c r="K745" s="9">
        <f>ROUND(H745*I745*J745, 2)</f>
        <v/>
      </c>
      <c r="L745" s="23">
        <f>ROUND(K745/1000, 3)</f>
        <v/>
      </c>
      <c r="M745" s="8">
        <f>IF(AO745="","",IF(INDEX(Theo_Doi_Tan_Suat_Be_Tong!$C:$C,AO745)="","",INDEX(Theo_Doi_Tan_Suat_Be_Tong!$C:$C,AO745)-VLOOKUP(AN745,$AQ$2:$AR$7,2,FALSE)))</f>
        <v/>
      </c>
      <c r="N745" s="6" t="n"/>
      <c r="O745" s="24">
        <f>IF(ROUNDUP(W745/20,0)&gt;ROUNDUP(W744/20,0),"TN Ø25 (Lần " &amp; ROUNDUP(W745/20,0) &amp; ")","")</f>
        <v/>
      </c>
      <c r="P745" s="20">
        <f>ROUND(P744+IF(AND(E745&lt;=10,F745&lt;&gt;"ASTM A416"),L745,0),3)</f>
        <v/>
      </c>
      <c r="Q745" s="20">
        <f>ROUND(Q744+IF(AND(E745=12,F745&lt;&gt;"ASTM A416"),L745,0),3)</f>
        <v/>
      </c>
      <c r="R745" s="20">
        <f>ROUND(R744+IF(AND(E745=14,F745&lt;&gt;"ASTM A416"),L745,0),3)</f>
        <v/>
      </c>
      <c r="S745" s="20">
        <f>ROUND(S744+IF(AND(E745=16,F745&lt;&gt;"ASTM A416"),L745,0),3)</f>
        <v/>
      </c>
      <c r="T745" s="20">
        <f>ROUND(T744+IF(AND(E745=18,F745&lt;&gt;"ASTM A416"),L745,0),3)</f>
        <v/>
      </c>
      <c r="U745" s="20">
        <f>ROUND(U744+IF(AND(E745=20,F745&lt;&gt;"ASTM A416"),L745,0),3)</f>
        <v/>
      </c>
      <c r="V745" s="20">
        <f>ROUND(V744+IF(AND(E745=22,F745&lt;&gt;"ASTM A416"),L745,0),3)</f>
        <v/>
      </c>
      <c r="W745" s="20">
        <f>ROUND(W744+IF(AND(E745=25,F745&lt;&gt;"ASTM A416"),L745,0),3)</f>
        <v/>
      </c>
      <c r="X745" s="20">
        <f>ROUND(X744+IF(AND(E745=28,F745&lt;&gt;"ASTM A416"),L745,0),3)</f>
        <v/>
      </c>
      <c r="Y745" s="20">
        <f>ROUND(Y744+IF(AND(E745=32,F745&lt;&gt;"ASTM A416"),L745,0),3)</f>
        <v/>
      </c>
      <c r="Z745" s="20">
        <f>ROUND(Z744+IF(F745="ASTM A416",L745,0),3)</f>
        <v/>
      </c>
      <c r="AA745" s="11">
        <f>IF(ROUNDUP(P745/20,0)&gt;ROUNDUP(P744/20,0),"Lần " &amp; ROUNDUP(P745/20,0),"")</f>
        <v/>
      </c>
      <c r="AB745" s="11">
        <f>IF(ROUNDUP(Q745/20,0)&gt;ROUNDUP(Q744/20,0),"Lần " &amp; ROUNDUP(Q745/20,0),"")</f>
        <v/>
      </c>
      <c r="AC745" s="11">
        <f>IF(ROUNDUP(R745/20,0)&gt;ROUNDUP(R744/20,0),"Lần " &amp; ROUNDUP(R745/20,0),"")</f>
        <v/>
      </c>
      <c r="AD745" s="11">
        <f>IF(ROUNDUP(S745/20,0)&gt;ROUNDUP(S744/20,0),"Lần " &amp; ROUNDUP(S745/20,0),"")</f>
        <v/>
      </c>
      <c r="AE745" s="11">
        <f>IF(ROUNDUP(T745/20,0)&gt;ROUNDUP(T744/20,0),"Lần " &amp; ROUNDUP(T745/20,0),"")</f>
        <v/>
      </c>
      <c r="AF745" s="11">
        <f>IF(ROUNDUP(U745/20,0)&gt;ROUNDUP(U744/20,0),"Lần " &amp; ROUNDUP(U745/20,0),"")</f>
        <v/>
      </c>
      <c r="AG745" s="11">
        <f>IF(ROUNDUP(V745/20,0)&gt;ROUNDUP(V744/20,0),"Lần " &amp; ROUNDUP(V745/20,0),"")</f>
        <v/>
      </c>
      <c r="AH745" s="11">
        <f>IF(ROUNDUP(W745/20,0)&gt;ROUNDUP(W744/20,0),"Lần " &amp; ROUNDUP(W745/20,0),"")</f>
        <v/>
      </c>
      <c r="AI745" s="11">
        <f>IF(ROUNDUP(X745/20,0)&gt;ROUNDUP(X744/20,0),"Lần " &amp; ROUNDUP(X745/20,0),"")</f>
        <v/>
      </c>
      <c r="AJ745" s="11">
        <f>IF(ROUNDUP(Y745/20,0)&gt;ROUNDUP(Y744/20,0),"Lần " &amp; ROUNDUP(Y745/20,0),"")</f>
        <v/>
      </c>
      <c r="AK745" s="11">
        <f>IF(ROUNDUP(Z745/20,0)&gt;ROUNDUP(Z744/20,0),"Lần " &amp; ROUNDUP(Z745/20,0),"")</f>
        <v/>
      </c>
      <c r="AL745" s="6" t="n"/>
      <c r="AN745" t="inlineStr">
        <is>
          <t>Coc</t>
        </is>
      </c>
      <c r="AO745" t="n">
        <v>25</v>
      </c>
    </row>
    <row r="746" ht="19" customHeight="1">
      <c r="A746" s="6" t="n">
        <v>708</v>
      </c>
      <c r="B746" s="7" t="inlineStr">
        <is>
          <t>Cọc khoan nhồi C3 Mố M2 (D1.2m, L=36.0m)</t>
        </is>
      </c>
      <c r="C746" s="7" t="inlineStr">
        <is>
          <t>Cọc mố M2 L=36m (tr.66)</t>
        </is>
      </c>
      <c r="D746" s="18" t="inlineStr">
        <is>
          <t>P7</t>
        </is>
      </c>
      <c r="E746" s="19" t="n">
        <v>25</v>
      </c>
      <c r="F746" s="6" t="inlineStr">
        <is>
          <t>CB400-V</t>
        </is>
      </c>
      <c r="G746" s="7" t="inlineStr"/>
      <c r="H746" s="20" t="n">
        <v>6.153</v>
      </c>
      <c r="I746" s="21" t="n">
        <v>12</v>
      </c>
      <c r="J746" s="22" t="n">
        <v>3.853</v>
      </c>
      <c r="K746" s="9">
        <f>ROUND(H746*I746*J746, 2)</f>
        <v/>
      </c>
      <c r="L746" s="23">
        <f>ROUND(K746/1000, 3)</f>
        <v/>
      </c>
      <c r="M746" s="8">
        <f>IF(AO746="","",IF(INDEX(Theo_Doi_Tan_Suat_Be_Tong!$C:$C,AO746)="","",INDEX(Theo_Doi_Tan_Suat_Be_Tong!$C:$C,AO746)-VLOOKUP(AN746,$AQ$2:$AR$7,2,FALSE)))</f>
        <v/>
      </c>
      <c r="N746" s="6" t="n"/>
      <c r="O746" s="24">
        <f>IF(ROUNDUP(W746/20,0)&gt;ROUNDUP(W745/20,0),"TN Ø25 (Lần " &amp; ROUNDUP(W746/20,0) &amp; ")","")</f>
        <v/>
      </c>
      <c r="P746" s="20">
        <f>ROUND(P745+IF(AND(E746&lt;=10,F746&lt;&gt;"ASTM A416"),L746,0),3)</f>
        <v/>
      </c>
      <c r="Q746" s="20">
        <f>ROUND(Q745+IF(AND(E746=12,F746&lt;&gt;"ASTM A416"),L746,0),3)</f>
        <v/>
      </c>
      <c r="R746" s="20">
        <f>ROUND(R745+IF(AND(E746=14,F746&lt;&gt;"ASTM A416"),L746,0),3)</f>
        <v/>
      </c>
      <c r="S746" s="20">
        <f>ROUND(S745+IF(AND(E746=16,F746&lt;&gt;"ASTM A416"),L746,0),3)</f>
        <v/>
      </c>
      <c r="T746" s="20">
        <f>ROUND(T745+IF(AND(E746=18,F746&lt;&gt;"ASTM A416"),L746,0),3)</f>
        <v/>
      </c>
      <c r="U746" s="20">
        <f>ROUND(U745+IF(AND(E746=20,F746&lt;&gt;"ASTM A416"),L746,0),3)</f>
        <v/>
      </c>
      <c r="V746" s="20">
        <f>ROUND(V745+IF(AND(E746=22,F746&lt;&gt;"ASTM A416"),L746,0),3)</f>
        <v/>
      </c>
      <c r="W746" s="20">
        <f>ROUND(W745+IF(AND(E746=25,F746&lt;&gt;"ASTM A416"),L746,0),3)</f>
        <v/>
      </c>
      <c r="X746" s="20">
        <f>ROUND(X745+IF(AND(E746=28,F746&lt;&gt;"ASTM A416"),L746,0),3)</f>
        <v/>
      </c>
      <c r="Y746" s="20">
        <f>ROUND(Y745+IF(AND(E746=32,F746&lt;&gt;"ASTM A416"),L746,0),3)</f>
        <v/>
      </c>
      <c r="Z746" s="20">
        <f>ROUND(Z745+IF(F746="ASTM A416",L746,0),3)</f>
        <v/>
      </c>
      <c r="AA746" s="11">
        <f>IF(ROUNDUP(P746/20,0)&gt;ROUNDUP(P745/20,0),"Lần " &amp; ROUNDUP(P746/20,0),"")</f>
        <v/>
      </c>
      <c r="AB746" s="11">
        <f>IF(ROUNDUP(Q746/20,0)&gt;ROUNDUP(Q745/20,0),"Lần " &amp; ROUNDUP(Q746/20,0),"")</f>
        <v/>
      </c>
      <c r="AC746" s="11">
        <f>IF(ROUNDUP(R746/20,0)&gt;ROUNDUP(R745/20,0),"Lần " &amp; ROUNDUP(R746/20,0),"")</f>
        <v/>
      </c>
      <c r="AD746" s="11">
        <f>IF(ROUNDUP(S746/20,0)&gt;ROUNDUP(S745/20,0),"Lần " &amp; ROUNDUP(S746/20,0),"")</f>
        <v/>
      </c>
      <c r="AE746" s="11">
        <f>IF(ROUNDUP(T746/20,0)&gt;ROUNDUP(T745/20,0),"Lần " &amp; ROUNDUP(T746/20,0),"")</f>
        <v/>
      </c>
      <c r="AF746" s="11">
        <f>IF(ROUNDUP(U746/20,0)&gt;ROUNDUP(U745/20,0),"Lần " &amp; ROUNDUP(U746/20,0),"")</f>
        <v/>
      </c>
      <c r="AG746" s="11">
        <f>IF(ROUNDUP(V746/20,0)&gt;ROUNDUP(V745/20,0),"Lần " &amp; ROUNDUP(V746/20,0),"")</f>
        <v/>
      </c>
      <c r="AH746" s="11">
        <f>IF(ROUNDUP(W746/20,0)&gt;ROUNDUP(W745/20,0),"Lần " &amp; ROUNDUP(W746/20,0),"")</f>
        <v/>
      </c>
      <c r="AI746" s="11">
        <f>IF(ROUNDUP(X746/20,0)&gt;ROUNDUP(X745/20,0),"Lần " &amp; ROUNDUP(X746/20,0),"")</f>
        <v/>
      </c>
      <c r="AJ746" s="11">
        <f>IF(ROUNDUP(Y746/20,0)&gt;ROUNDUP(Y745/20,0),"Lần " &amp; ROUNDUP(Y746/20,0),"")</f>
        <v/>
      </c>
      <c r="AK746" s="11">
        <f>IF(ROUNDUP(Z746/20,0)&gt;ROUNDUP(Z745/20,0),"Lần " &amp; ROUNDUP(Z746/20,0),"")</f>
        <v/>
      </c>
      <c r="AL746" s="6" t="n"/>
      <c r="AN746" t="inlineStr">
        <is>
          <t>Coc</t>
        </is>
      </c>
      <c r="AO746" t="n">
        <v>25</v>
      </c>
    </row>
    <row r="747" ht="19" customHeight="1">
      <c r="A747" s="6" t="n">
        <v>709</v>
      </c>
      <c r="B747" s="7" t="inlineStr">
        <is>
          <t>Cọc khoan nhồi C3 Mố M2 (D1.2m, L=36.0m)</t>
        </is>
      </c>
      <c r="C747" s="7" t="inlineStr">
        <is>
          <t>Cọc mố M2 L=36m (tr.66)</t>
        </is>
      </c>
      <c r="D747" s="18" t="inlineStr">
        <is>
          <t>P8</t>
        </is>
      </c>
      <c r="E747" s="19" t="n">
        <v>12</v>
      </c>
      <c r="F747" s="6" t="inlineStr">
        <is>
          <t>CB400-V</t>
        </is>
      </c>
      <c r="G747" s="7" t="inlineStr"/>
      <c r="H747" s="20" t="n">
        <v>0.647</v>
      </c>
      <c r="I747" s="21" t="n">
        <v>15</v>
      </c>
      <c r="J747" s="22" t="n">
        <v>0.888</v>
      </c>
      <c r="K747" s="9">
        <f>ROUND(H747*I747*J747, 2)</f>
        <v/>
      </c>
      <c r="L747" s="23">
        <f>ROUND(K747/1000, 3)</f>
        <v/>
      </c>
      <c r="M747" s="8">
        <f>IF(AO747="","",IF(INDEX(Theo_Doi_Tan_Suat_Be_Tong!$C:$C,AO747)="","",INDEX(Theo_Doi_Tan_Suat_Be_Tong!$C:$C,AO747)-VLOOKUP(AN747,$AQ$2:$AR$7,2,FALSE)))</f>
        <v/>
      </c>
      <c r="N747" s="6" t="n"/>
      <c r="O747" s="24">
        <f>IF(ROUNDUP(Q747/20,0)&gt;ROUNDUP(Q746/20,0),"TN Ø12 (Lần " &amp; ROUNDUP(Q747/20,0) &amp; ")","")</f>
        <v/>
      </c>
      <c r="P747" s="20">
        <f>ROUND(P746+IF(AND(E747&lt;=10,F747&lt;&gt;"ASTM A416"),L747,0),3)</f>
        <v/>
      </c>
      <c r="Q747" s="20">
        <f>ROUND(Q746+IF(AND(E747=12,F747&lt;&gt;"ASTM A416"),L747,0),3)</f>
        <v/>
      </c>
      <c r="R747" s="20">
        <f>ROUND(R746+IF(AND(E747=14,F747&lt;&gt;"ASTM A416"),L747,0),3)</f>
        <v/>
      </c>
      <c r="S747" s="20">
        <f>ROUND(S746+IF(AND(E747=16,F747&lt;&gt;"ASTM A416"),L747,0),3)</f>
        <v/>
      </c>
      <c r="T747" s="20">
        <f>ROUND(T746+IF(AND(E747=18,F747&lt;&gt;"ASTM A416"),L747,0),3)</f>
        <v/>
      </c>
      <c r="U747" s="20">
        <f>ROUND(U746+IF(AND(E747=20,F747&lt;&gt;"ASTM A416"),L747,0),3)</f>
        <v/>
      </c>
      <c r="V747" s="20">
        <f>ROUND(V746+IF(AND(E747=22,F747&lt;&gt;"ASTM A416"),L747,0),3)</f>
        <v/>
      </c>
      <c r="W747" s="20">
        <f>ROUND(W746+IF(AND(E747=25,F747&lt;&gt;"ASTM A416"),L747,0),3)</f>
        <v/>
      </c>
      <c r="X747" s="20">
        <f>ROUND(X746+IF(AND(E747=28,F747&lt;&gt;"ASTM A416"),L747,0),3)</f>
        <v/>
      </c>
      <c r="Y747" s="20">
        <f>ROUND(Y746+IF(AND(E747=32,F747&lt;&gt;"ASTM A416"),L747,0),3)</f>
        <v/>
      </c>
      <c r="Z747" s="20">
        <f>ROUND(Z746+IF(F747="ASTM A416",L747,0),3)</f>
        <v/>
      </c>
      <c r="AA747" s="11">
        <f>IF(ROUNDUP(P747/20,0)&gt;ROUNDUP(P746/20,0),"Lần " &amp; ROUNDUP(P747/20,0),"")</f>
        <v/>
      </c>
      <c r="AB747" s="11">
        <f>IF(ROUNDUP(Q747/20,0)&gt;ROUNDUP(Q746/20,0),"Lần " &amp; ROUNDUP(Q747/20,0),"")</f>
        <v/>
      </c>
      <c r="AC747" s="11">
        <f>IF(ROUNDUP(R747/20,0)&gt;ROUNDUP(R746/20,0),"Lần " &amp; ROUNDUP(R747/20,0),"")</f>
        <v/>
      </c>
      <c r="AD747" s="11">
        <f>IF(ROUNDUP(S747/20,0)&gt;ROUNDUP(S746/20,0),"Lần " &amp; ROUNDUP(S747/20,0),"")</f>
        <v/>
      </c>
      <c r="AE747" s="11">
        <f>IF(ROUNDUP(T747/20,0)&gt;ROUNDUP(T746/20,0),"Lần " &amp; ROUNDUP(T747/20,0),"")</f>
        <v/>
      </c>
      <c r="AF747" s="11">
        <f>IF(ROUNDUP(U747/20,0)&gt;ROUNDUP(U746/20,0),"Lần " &amp; ROUNDUP(U747/20,0),"")</f>
        <v/>
      </c>
      <c r="AG747" s="11">
        <f>IF(ROUNDUP(V747/20,0)&gt;ROUNDUP(V746/20,0),"Lần " &amp; ROUNDUP(V747/20,0),"")</f>
        <v/>
      </c>
      <c r="AH747" s="11">
        <f>IF(ROUNDUP(W747/20,0)&gt;ROUNDUP(W746/20,0),"Lần " &amp; ROUNDUP(W747/20,0),"")</f>
        <v/>
      </c>
      <c r="AI747" s="11">
        <f>IF(ROUNDUP(X747/20,0)&gt;ROUNDUP(X746/20,0),"Lần " &amp; ROUNDUP(X747/20,0),"")</f>
        <v/>
      </c>
      <c r="AJ747" s="11">
        <f>IF(ROUNDUP(Y747/20,0)&gt;ROUNDUP(Y746/20,0),"Lần " &amp; ROUNDUP(Y747/20,0),"")</f>
        <v/>
      </c>
      <c r="AK747" s="11">
        <f>IF(ROUNDUP(Z747/20,0)&gt;ROUNDUP(Z746/20,0),"Lần " &amp; ROUNDUP(Z747/20,0),"")</f>
        <v/>
      </c>
      <c r="AL747" s="6" t="n"/>
      <c r="AN747" t="inlineStr">
        <is>
          <t>Coc</t>
        </is>
      </c>
      <c r="AO747" t="n">
        <v>25</v>
      </c>
    </row>
    <row r="748" ht="19" customHeight="1">
      <c r="A748" s="6" t="n">
        <v>710</v>
      </c>
      <c r="B748" s="7" t="inlineStr">
        <is>
          <t>Cọc khoan nhồi C3 Mố M2 (D1.2m, L=36.0m)</t>
        </is>
      </c>
      <c r="C748" s="7" t="inlineStr">
        <is>
          <t>Cọc mố M2 L=36m (tr.66)</t>
        </is>
      </c>
      <c r="D748" s="18" t="inlineStr">
        <is>
          <t>P9</t>
        </is>
      </c>
      <c r="E748" s="19" t="n">
        <v>12</v>
      </c>
      <c r="F748" s="6" t="inlineStr">
        <is>
          <t>CB400-V</t>
        </is>
      </c>
      <c r="G748" s="7" t="inlineStr"/>
      <c r="H748" s="20" t="n">
        <v>0.379</v>
      </c>
      <c r="I748" s="21" t="n">
        <v>45</v>
      </c>
      <c r="J748" s="22" t="n">
        <v>0.888</v>
      </c>
      <c r="K748" s="9">
        <f>ROUND(H748*I748*J748, 2)</f>
        <v/>
      </c>
      <c r="L748" s="23">
        <f>ROUND(K748/1000, 3)</f>
        <v/>
      </c>
      <c r="M748" s="8">
        <f>IF(AO748="","",IF(INDEX(Theo_Doi_Tan_Suat_Be_Tong!$C:$C,AO748)="","",INDEX(Theo_Doi_Tan_Suat_Be_Tong!$C:$C,AO748)-VLOOKUP(AN748,$AQ$2:$AR$7,2,FALSE)))</f>
        <v/>
      </c>
      <c r="N748" s="6" t="n"/>
      <c r="O748" s="24">
        <f>IF(ROUNDUP(Q748/20,0)&gt;ROUNDUP(Q747/20,0),"TN Ø12 (Lần " &amp; ROUNDUP(Q748/20,0) &amp; ")","")</f>
        <v/>
      </c>
      <c r="P748" s="20">
        <f>ROUND(P747+IF(AND(E748&lt;=10,F748&lt;&gt;"ASTM A416"),L748,0),3)</f>
        <v/>
      </c>
      <c r="Q748" s="20">
        <f>ROUND(Q747+IF(AND(E748=12,F748&lt;&gt;"ASTM A416"),L748,0),3)</f>
        <v/>
      </c>
      <c r="R748" s="20">
        <f>ROUND(R747+IF(AND(E748=14,F748&lt;&gt;"ASTM A416"),L748,0),3)</f>
        <v/>
      </c>
      <c r="S748" s="20">
        <f>ROUND(S747+IF(AND(E748=16,F748&lt;&gt;"ASTM A416"),L748,0),3)</f>
        <v/>
      </c>
      <c r="T748" s="20">
        <f>ROUND(T747+IF(AND(E748=18,F748&lt;&gt;"ASTM A416"),L748,0),3)</f>
        <v/>
      </c>
      <c r="U748" s="20">
        <f>ROUND(U747+IF(AND(E748=20,F748&lt;&gt;"ASTM A416"),L748,0),3)</f>
        <v/>
      </c>
      <c r="V748" s="20">
        <f>ROUND(V747+IF(AND(E748=22,F748&lt;&gt;"ASTM A416"),L748,0),3)</f>
        <v/>
      </c>
      <c r="W748" s="20">
        <f>ROUND(W747+IF(AND(E748=25,F748&lt;&gt;"ASTM A416"),L748,0),3)</f>
        <v/>
      </c>
      <c r="X748" s="20">
        <f>ROUND(X747+IF(AND(E748=28,F748&lt;&gt;"ASTM A416"),L748,0),3)</f>
        <v/>
      </c>
      <c r="Y748" s="20">
        <f>ROUND(Y747+IF(AND(E748=32,F748&lt;&gt;"ASTM A416"),L748,0),3)</f>
        <v/>
      </c>
      <c r="Z748" s="20">
        <f>ROUND(Z747+IF(F748="ASTM A416",L748,0),3)</f>
        <v/>
      </c>
      <c r="AA748" s="11">
        <f>IF(ROUNDUP(P748/20,0)&gt;ROUNDUP(P747/20,0),"Lần " &amp; ROUNDUP(P748/20,0),"")</f>
        <v/>
      </c>
      <c r="AB748" s="11">
        <f>IF(ROUNDUP(Q748/20,0)&gt;ROUNDUP(Q747/20,0),"Lần " &amp; ROUNDUP(Q748/20,0),"")</f>
        <v/>
      </c>
      <c r="AC748" s="11">
        <f>IF(ROUNDUP(R748/20,0)&gt;ROUNDUP(R747/20,0),"Lần " &amp; ROUNDUP(R748/20,0),"")</f>
        <v/>
      </c>
      <c r="AD748" s="11">
        <f>IF(ROUNDUP(S748/20,0)&gt;ROUNDUP(S747/20,0),"Lần " &amp; ROUNDUP(S748/20,0),"")</f>
        <v/>
      </c>
      <c r="AE748" s="11">
        <f>IF(ROUNDUP(T748/20,0)&gt;ROUNDUP(T747/20,0),"Lần " &amp; ROUNDUP(T748/20,0),"")</f>
        <v/>
      </c>
      <c r="AF748" s="11">
        <f>IF(ROUNDUP(U748/20,0)&gt;ROUNDUP(U747/20,0),"Lần " &amp; ROUNDUP(U748/20,0),"")</f>
        <v/>
      </c>
      <c r="AG748" s="11">
        <f>IF(ROUNDUP(V748/20,0)&gt;ROUNDUP(V747/20,0),"Lần " &amp; ROUNDUP(V748/20,0),"")</f>
        <v/>
      </c>
      <c r="AH748" s="11">
        <f>IF(ROUNDUP(W748/20,0)&gt;ROUNDUP(W747/20,0),"Lần " &amp; ROUNDUP(W748/20,0),"")</f>
        <v/>
      </c>
      <c r="AI748" s="11">
        <f>IF(ROUNDUP(X748/20,0)&gt;ROUNDUP(X747/20,0),"Lần " &amp; ROUNDUP(X748/20,0),"")</f>
        <v/>
      </c>
      <c r="AJ748" s="11">
        <f>IF(ROUNDUP(Y748/20,0)&gt;ROUNDUP(Y747/20,0),"Lần " &amp; ROUNDUP(Y748/20,0),"")</f>
        <v/>
      </c>
      <c r="AK748" s="11">
        <f>IF(ROUNDUP(Z748/20,0)&gt;ROUNDUP(Z747/20,0),"Lần " &amp; ROUNDUP(Z748/20,0),"")</f>
        <v/>
      </c>
      <c r="AL748" s="6" t="n"/>
      <c r="AN748" t="inlineStr">
        <is>
          <t>Coc</t>
        </is>
      </c>
      <c r="AO748" t="n">
        <v>25</v>
      </c>
    </row>
    <row r="749" ht="19" customHeight="1">
      <c r="A749" s="6" t="n">
        <v>711</v>
      </c>
      <c r="B749" s="7" t="inlineStr">
        <is>
          <t>Cọc khoan nhồi C3 Mố M2 (D1.2m, L=36.0m)</t>
        </is>
      </c>
      <c r="C749" s="7" t="inlineStr">
        <is>
          <t>Cọc mố M2 L=36m (tr.66)</t>
        </is>
      </c>
      <c r="D749" s="18" t="inlineStr">
        <is>
          <t>P10</t>
        </is>
      </c>
      <c r="E749" s="19" t="n">
        <v>20</v>
      </c>
      <c r="F749" s="6" t="inlineStr">
        <is>
          <t>CB400-V</t>
        </is>
      </c>
      <c r="G749" s="7" t="inlineStr"/>
      <c r="H749" s="20" t="n">
        <v>2.057</v>
      </c>
      <c r="I749" s="21" t="n">
        <v>1</v>
      </c>
      <c r="J749" s="22" t="n">
        <v>2.466</v>
      </c>
      <c r="K749" s="9">
        <f>ROUND(H749*I749*J749, 2)</f>
        <v/>
      </c>
      <c r="L749" s="23">
        <f>ROUND(K749/1000, 3)</f>
        <v/>
      </c>
      <c r="M749" s="8">
        <f>IF(AO749="","",IF(INDEX(Theo_Doi_Tan_Suat_Be_Tong!$C:$C,AO749)="","",INDEX(Theo_Doi_Tan_Suat_Be_Tong!$C:$C,AO749)-VLOOKUP(AN749,$AQ$2:$AR$7,2,FALSE)))</f>
        <v/>
      </c>
      <c r="N749" s="6" t="n"/>
      <c r="O749" s="24">
        <f>IF(ROUNDUP(U749/20,0)&gt;ROUNDUP(U748/20,0),"TN Ø20 (Lần " &amp; ROUNDUP(U749/20,0) &amp; ")","")</f>
        <v/>
      </c>
      <c r="P749" s="20">
        <f>ROUND(P748+IF(AND(E749&lt;=10,F749&lt;&gt;"ASTM A416"),L749,0),3)</f>
        <v/>
      </c>
      <c r="Q749" s="20">
        <f>ROUND(Q748+IF(AND(E749=12,F749&lt;&gt;"ASTM A416"),L749,0),3)</f>
        <v/>
      </c>
      <c r="R749" s="20">
        <f>ROUND(R748+IF(AND(E749=14,F749&lt;&gt;"ASTM A416"),L749,0),3)</f>
        <v/>
      </c>
      <c r="S749" s="20">
        <f>ROUND(S748+IF(AND(E749=16,F749&lt;&gt;"ASTM A416"),L749,0),3)</f>
        <v/>
      </c>
      <c r="T749" s="20">
        <f>ROUND(T748+IF(AND(E749=18,F749&lt;&gt;"ASTM A416"),L749,0),3)</f>
        <v/>
      </c>
      <c r="U749" s="20">
        <f>ROUND(U748+IF(AND(E749=20,F749&lt;&gt;"ASTM A416"),L749,0),3)</f>
        <v/>
      </c>
      <c r="V749" s="20">
        <f>ROUND(V748+IF(AND(E749=22,F749&lt;&gt;"ASTM A416"),L749,0),3)</f>
        <v/>
      </c>
      <c r="W749" s="20">
        <f>ROUND(W748+IF(AND(E749=25,F749&lt;&gt;"ASTM A416"),L749,0),3)</f>
        <v/>
      </c>
      <c r="X749" s="20">
        <f>ROUND(X748+IF(AND(E749=28,F749&lt;&gt;"ASTM A416"),L749,0),3)</f>
        <v/>
      </c>
      <c r="Y749" s="20">
        <f>ROUND(Y748+IF(AND(E749=32,F749&lt;&gt;"ASTM A416"),L749,0),3)</f>
        <v/>
      </c>
      <c r="Z749" s="20">
        <f>ROUND(Z748+IF(F749="ASTM A416",L749,0),3)</f>
        <v/>
      </c>
      <c r="AA749" s="11">
        <f>IF(ROUNDUP(P749/20,0)&gt;ROUNDUP(P748/20,0),"Lần " &amp; ROUNDUP(P749/20,0),"")</f>
        <v/>
      </c>
      <c r="AB749" s="11">
        <f>IF(ROUNDUP(Q749/20,0)&gt;ROUNDUP(Q748/20,0),"Lần " &amp; ROUNDUP(Q749/20,0),"")</f>
        <v/>
      </c>
      <c r="AC749" s="11">
        <f>IF(ROUNDUP(R749/20,0)&gt;ROUNDUP(R748/20,0),"Lần " &amp; ROUNDUP(R749/20,0),"")</f>
        <v/>
      </c>
      <c r="AD749" s="11">
        <f>IF(ROUNDUP(S749/20,0)&gt;ROUNDUP(S748/20,0),"Lần " &amp; ROUNDUP(S749/20,0),"")</f>
        <v/>
      </c>
      <c r="AE749" s="11">
        <f>IF(ROUNDUP(T749/20,0)&gt;ROUNDUP(T748/20,0),"Lần " &amp; ROUNDUP(T749/20,0),"")</f>
        <v/>
      </c>
      <c r="AF749" s="11">
        <f>IF(ROUNDUP(U749/20,0)&gt;ROUNDUP(U748/20,0),"Lần " &amp; ROUNDUP(U749/20,0),"")</f>
        <v/>
      </c>
      <c r="AG749" s="11">
        <f>IF(ROUNDUP(V749/20,0)&gt;ROUNDUP(V748/20,0),"Lần " &amp; ROUNDUP(V749/20,0),"")</f>
        <v/>
      </c>
      <c r="AH749" s="11">
        <f>IF(ROUNDUP(W749/20,0)&gt;ROUNDUP(W748/20,0),"Lần " &amp; ROUNDUP(W749/20,0),"")</f>
        <v/>
      </c>
      <c r="AI749" s="11">
        <f>IF(ROUNDUP(X749/20,0)&gt;ROUNDUP(X748/20,0),"Lần " &amp; ROUNDUP(X749/20,0),"")</f>
        <v/>
      </c>
      <c r="AJ749" s="11">
        <f>IF(ROUNDUP(Y749/20,0)&gt;ROUNDUP(Y748/20,0),"Lần " &amp; ROUNDUP(Y749/20,0),"")</f>
        <v/>
      </c>
      <c r="AK749" s="11">
        <f>IF(ROUNDUP(Z749/20,0)&gt;ROUNDUP(Z748/20,0),"Lần " &amp; ROUNDUP(Z749/20,0),"")</f>
        <v/>
      </c>
      <c r="AL749" s="6" t="n"/>
      <c r="AN749" t="inlineStr">
        <is>
          <t>Coc</t>
        </is>
      </c>
      <c r="AO749" t="n">
        <v>25</v>
      </c>
    </row>
    <row r="750" ht="19" customHeight="1">
      <c r="A750" s="6" t="n">
        <v>712</v>
      </c>
      <c r="B750" s="7" t="inlineStr">
        <is>
          <t>Cọc khoan nhồi C3 Mố M2 (D1.2m, L=36.0m)</t>
        </is>
      </c>
      <c r="C750" s="7" t="inlineStr">
        <is>
          <t>Cọc mố M2 L=36m (tr.66)</t>
        </is>
      </c>
      <c r="D750" s="18" t="inlineStr">
        <is>
          <t>P12</t>
        </is>
      </c>
      <c r="E750" s="19" t="n">
        <v>20</v>
      </c>
      <c r="F750" s="6" t="inlineStr">
        <is>
          <t>CB400-V</t>
        </is>
      </c>
      <c r="G750" s="7" t="inlineStr"/>
      <c r="H750" s="20" t="n">
        <v>0.583</v>
      </c>
      <c r="I750" s="21" t="n">
        <v>60</v>
      </c>
      <c r="J750" s="22" t="n">
        <v>2.466</v>
      </c>
      <c r="K750" s="9">
        <f>ROUND(H750*I750*J750, 2)</f>
        <v/>
      </c>
      <c r="L750" s="23">
        <f>ROUND(K750/1000, 3)</f>
        <v/>
      </c>
      <c r="M750" s="8">
        <f>IF(AO750="","",IF(INDEX(Theo_Doi_Tan_Suat_Be_Tong!$C:$C,AO750)="","",INDEX(Theo_Doi_Tan_Suat_Be_Tong!$C:$C,AO750)-VLOOKUP(AN750,$AQ$2:$AR$7,2,FALSE)))</f>
        <v/>
      </c>
      <c r="N750" s="6" t="n"/>
      <c r="O750" s="24">
        <f>IF(ROUNDUP(U750/20,0)&gt;ROUNDUP(U749/20,0),"TN Ø20 (Lần " &amp; ROUNDUP(U750/20,0) &amp; ")","")</f>
        <v/>
      </c>
      <c r="P750" s="20">
        <f>ROUND(P749+IF(AND(E750&lt;=10,F750&lt;&gt;"ASTM A416"),L750,0),3)</f>
        <v/>
      </c>
      <c r="Q750" s="20">
        <f>ROUND(Q749+IF(AND(E750=12,F750&lt;&gt;"ASTM A416"),L750,0),3)</f>
        <v/>
      </c>
      <c r="R750" s="20">
        <f>ROUND(R749+IF(AND(E750=14,F750&lt;&gt;"ASTM A416"),L750,0),3)</f>
        <v/>
      </c>
      <c r="S750" s="20">
        <f>ROUND(S749+IF(AND(E750=16,F750&lt;&gt;"ASTM A416"),L750,0),3)</f>
        <v/>
      </c>
      <c r="T750" s="20">
        <f>ROUND(T749+IF(AND(E750=18,F750&lt;&gt;"ASTM A416"),L750,0),3)</f>
        <v/>
      </c>
      <c r="U750" s="20">
        <f>ROUND(U749+IF(AND(E750=20,F750&lt;&gt;"ASTM A416"),L750,0),3)</f>
        <v/>
      </c>
      <c r="V750" s="20">
        <f>ROUND(V749+IF(AND(E750=22,F750&lt;&gt;"ASTM A416"),L750,0),3)</f>
        <v/>
      </c>
      <c r="W750" s="20">
        <f>ROUND(W749+IF(AND(E750=25,F750&lt;&gt;"ASTM A416"),L750,0),3)</f>
        <v/>
      </c>
      <c r="X750" s="20">
        <f>ROUND(X749+IF(AND(E750=28,F750&lt;&gt;"ASTM A416"),L750,0),3)</f>
        <v/>
      </c>
      <c r="Y750" s="20">
        <f>ROUND(Y749+IF(AND(E750=32,F750&lt;&gt;"ASTM A416"),L750,0),3)</f>
        <v/>
      </c>
      <c r="Z750" s="20">
        <f>ROUND(Z749+IF(F750="ASTM A416",L750,0),3)</f>
        <v/>
      </c>
      <c r="AA750" s="11">
        <f>IF(ROUNDUP(P750/20,0)&gt;ROUNDUP(P749/20,0),"Lần " &amp; ROUNDUP(P750/20,0),"")</f>
        <v/>
      </c>
      <c r="AB750" s="11">
        <f>IF(ROUNDUP(Q750/20,0)&gt;ROUNDUP(Q749/20,0),"Lần " &amp; ROUNDUP(Q750/20,0),"")</f>
        <v/>
      </c>
      <c r="AC750" s="11">
        <f>IF(ROUNDUP(R750/20,0)&gt;ROUNDUP(R749/20,0),"Lần " &amp; ROUNDUP(R750/20,0),"")</f>
        <v/>
      </c>
      <c r="AD750" s="11">
        <f>IF(ROUNDUP(S750/20,0)&gt;ROUNDUP(S749/20,0),"Lần " &amp; ROUNDUP(S750/20,0),"")</f>
        <v/>
      </c>
      <c r="AE750" s="11">
        <f>IF(ROUNDUP(T750/20,0)&gt;ROUNDUP(T749/20,0),"Lần " &amp; ROUNDUP(T750/20,0),"")</f>
        <v/>
      </c>
      <c r="AF750" s="11">
        <f>IF(ROUNDUP(U750/20,0)&gt;ROUNDUP(U749/20,0),"Lần " &amp; ROUNDUP(U750/20,0),"")</f>
        <v/>
      </c>
      <c r="AG750" s="11">
        <f>IF(ROUNDUP(V750/20,0)&gt;ROUNDUP(V749/20,0),"Lần " &amp; ROUNDUP(V750/20,0),"")</f>
        <v/>
      </c>
      <c r="AH750" s="11">
        <f>IF(ROUNDUP(W750/20,0)&gt;ROUNDUP(W749/20,0),"Lần " &amp; ROUNDUP(W750/20,0),"")</f>
        <v/>
      </c>
      <c r="AI750" s="11">
        <f>IF(ROUNDUP(X750/20,0)&gt;ROUNDUP(X749/20,0),"Lần " &amp; ROUNDUP(X750/20,0),"")</f>
        <v/>
      </c>
      <c r="AJ750" s="11">
        <f>IF(ROUNDUP(Y750/20,0)&gt;ROUNDUP(Y749/20,0),"Lần " &amp; ROUNDUP(Y750/20,0),"")</f>
        <v/>
      </c>
      <c r="AK750" s="11">
        <f>IF(ROUNDUP(Z750/20,0)&gt;ROUNDUP(Z749/20,0),"Lần " &amp; ROUNDUP(Z750/20,0),"")</f>
        <v/>
      </c>
      <c r="AL750" s="6" t="n"/>
      <c r="AN750" t="inlineStr">
        <is>
          <t>Coc</t>
        </is>
      </c>
      <c r="AO750" t="n">
        <v>25</v>
      </c>
    </row>
    <row r="751" ht="19" customHeight="1">
      <c r="A751" s="6" t="n">
        <v>713</v>
      </c>
      <c r="B751" s="7" t="inlineStr">
        <is>
          <t>Cọc khoan nhồi C3 Mố M2 (D1.2m, L=36.0m)</t>
        </is>
      </c>
      <c r="C751" s="7" t="inlineStr">
        <is>
          <t>Cọc mố M2 L=36m (tr.66)</t>
        </is>
      </c>
      <c r="D751" s="18" t="inlineStr">
        <is>
          <t>P11</t>
        </is>
      </c>
      <c r="E751" s="19" t="n">
        <v>16</v>
      </c>
      <c r="F751" s="6" t="inlineStr">
        <is>
          <t>CB400-V</t>
        </is>
      </c>
      <c r="G751" s="7" t="inlineStr"/>
      <c r="H751" s="20" t="n">
        <v>2.484</v>
      </c>
      <c r="I751" s="21" t="n">
        <v>4</v>
      </c>
      <c r="J751" s="22" t="n">
        <v>1.578</v>
      </c>
      <c r="K751" s="9">
        <f>ROUND(H751*I751*J751, 2)</f>
        <v/>
      </c>
      <c r="L751" s="23">
        <f>ROUND(K751/1000, 3)</f>
        <v/>
      </c>
      <c r="M751" s="8">
        <f>IF(AO751="","",IF(INDEX(Theo_Doi_Tan_Suat_Be_Tong!$C:$C,AO751)="","",INDEX(Theo_Doi_Tan_Suat_Be_Tong!$C:$C,AO751)-VLOOKUP(AN751,$AQ$2:$AR$7,2,FALSE)))</f>
        <v/>
      </c>
      <c r="N751" s="6" t="n"/>
      <c r="O751" s="24">
        <f>IF(ROUNDUP(S751/20,0)&gt;ROUNDUP(S750/20,0),"TN Ø16 (Lần " &amp; ROUNDUP(S751/20,0) &amp; ")","")</f>
        <v/>
      </c>
      <c r="P751" s="20">
        <f>ROUND(P750+IF(AND(E751&lt;=10,F751&lt;&gt;"ASTM A416"),L751,0),3)</f>
        <v/>
      </c>
      <c r="Q751" s="20">
        <f>ROUND(Q750+IF(AND(E751=12,F751&lt;&gt;"ASTM A416"),L751,0),3)</f>
        <v/>
      </c>
      <c r="R751" s="20">
        <f>ROUND(R750+IF(AND(E751=14,F751&lt;&gt;"ASTM A416"),L751,0),3)</f>
        <v/>
      </c>
      <c r="S751" s="20">
        <f>ROUND(S750+IF(AND(E751=16,F751&lt;&gt;"ASTM A416"),L751,0),3)</f>
        <v/>
      </c>
      <c r="T751" s="20">
        <f>ROUND(T750+IF(AND(E751=18,F751&lt;&gt;"ASTM A416"),L751,0),3)</f>
        <v/>
      </c>
      <c r="U751" s="20">
        <f>ROUND(U750+IF(AND(E751=20,F751&lt;&gt;"ASTM A416"),L751,0),3)</f>
        <v/>
      </c>
      <c r="V751" s="20">
        <f>ROUND(V750+IF(AND(E751=22,F751&lt;&gt;"ASTM A416"),L751,0),3)</f>
        <v/>
      </c>
      <c r="W751" s="20">
        <f>ROUND(W750+IF(AND(E751=25,F751&lt;&gt;"ASTM A416"),L751,0),3)</f>
        <v/>
      </c>
      <c r="X751" s="20">
        <f>ROUND(X750+IF(AND(E751=28,F751&lt;&gt;"ASTM A416"),L751,0),3)</f>
        <v/>
      </c>
      <c r="Y751" s="20">
        <f>ROUND(Y750+IF(AND(E751=32,F751&lt;&gt;"ASTM A416"),L751,0),3)</f>
        <v/>
      </c>
      <c r="Z751" s="20">
        <f>ROUND(Z750+IF(F751="ASTM A416",L751,0),3)</f>
        <v/>
      </c>
      <c r="AA751" s="11">
        <f>IF(ROUNDUP(P751/20,0)&gt;ROUNDUP(P750/20,0),"Lần " &amp; ROUNDUP(P751/20,0),"")</f>
        <v/>
      </c>
      <c r="AB751" s="11">
        <f>IF(ROUNDUP(Q751/20,0)&gt;ROUNDUP(Q750/20,0),"Lần " &amp; ROUNDUP(Q751/20,0),"")</f>
        <v/>
      </c>
      <c r="AC751" s="11">
        <f>IF(ROUNDUP(R751/20,0)&gt;ROUNDUP(R750/20,0),"Lần " &amp; ROUNDUP(R751/20,0),"")</f>
        <v/>
      </c>
      <c r="AD751" s="11">
        <f>IF(ROUNDUP(S751/20,0)&gt;ROUNDUP(S750/20,0),"Lần " &amp; ROUNDUP(S751/20,0),"")</f>
        <v/>
      </c>
      <c r="AE751" s="11">
        <f>IF(ROUNDUP(T751/20,0)&gt;ROUNDUP(T750/20,0),"Lần " &amp; ROUNDUP(T751/20,0),"")</f>
        <v/>
      </c>
      <c r="AF751" s="11">
        <f>IF(ROUNDUP(U751/20,0)&gt;ROUNDUP(U750/20,0),"Lần " &amp; ROUNDUP(U751/20,0),"")</f>
        <v/>
      </c>
      <c r="AG751" s="11">
        <f>IF(ROUNDUP(V751/20,0)&gt;ROUNDUP(V750/20,0),"Lần " &amp; ROUNDUP(V751/20,0),"")</f>
        <v/>
      </c>
      <c r="AH751" s="11">
        <f>IF(ROUNDUP(W751/20,0)&gt;ROUNDUP(W750/20,0),"Lần " &amp; ROUNDUP(W751/20,0),"")</f>
        <v/>
      </c>
      <c r="AI751" s="11">
        <f>IF(ROUNDUP(X751/20,0)&gt;ROUNDUP(X750/20,0),"Lần " &amp; ROUNDUP(X751/20,0),"")</f>
        <v/>
      </c>
      <c r="AJ751" s="11">
        <f>IF(ROUNDUP(Y751/20,0)&gt;ROUNDUP(Y750/20,0),"Lần " &amp; ROUNDUP(Y751/20,0),"")</f>
        <v/>
      </c>
      <c r="AK751" s="11">
        <f>IF(ROUNDUP(Z751/20,0)&gt;ROUNDUP(Z750/20,0),"Lần " &amp; ROUNDUP(Z751/20,0),"")</f>
        <v/>
      </c>
      <c r="AL751" s="6" t="n"/>
      <c r="AN751" t="inlineStr">
        <is>
          <t>Coc</t>
        </is>
      </c>
      <c r="AO751" t="n">
        <v>25</v>
      </c>
    </row>
    <row r="752" ht="19" customHeight="1">
      <c r="A752" s="17" t="inlineStr">
        <is>
          <t>--- CỌC KHOAN NHỒI C4 MỐ M2 (D1.2M, L=36.0M) ---</t>
        </is>
      </c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  <c r="AG752" s="35" t="n"/>
      <c r="AH752" s="35" t="n"/>
      <c r="AI752" s="35" t="n"/>
      <c r="AJ752" s="35" t="n"/>
      <c r="AK752" s="35" t="n"/>
      <c r="AL752" s="34" t="n"/>
    </row>
    <row r="753" ht="19" customHeight="1">
      <c r="A753" s="6" t="n">
        <v>714</v>
      </c>
      <c r="B753" s="7" t="inlineStr">
        <is>
          <t>Cọc khoan nhồi C4 Mố M2 (D1.2m, L=36.0m)</t>
        </is>
      </c>
      <c r="C753" s="7" t="inlineStr">
        <is>
          <t>Cọc mố M2 L=36m (tr.66)</t>
        </is>
      </c>
      <c r="D753" s="18" t="inlineStr">
        <is>
          <t>P1</t>
        </is>
      </c>
      <c r="E753" s="19" t="n">
        <v>10</v>
      </c>
      <c r="F753" s="6" t="inlineStr">
        <is>
          <t>CB240-T</t>
        </is>
      </c>
      <c r="G753" s="7" t="inlineStr"/>
      <c r="H753" s="20" t="n">
        <v>96.887</v>
      </c>
      <c r="I753" s="21" t="n">
        <v>1</v>
      </c>
      <c r="J753" s="22" t="n">
        <v>0.617</v>
      </c>
      <c r="K753" s="9">
        <f>ROUND(H753*I753*J753, 2)</f>
        <v/>
      </c>
      <c r="L753" s="23">
        <f>ROUND(K753/1000, 3)</f>
        <v/>
      </c>
      <c r="M753" s="8">
        <f>IF(AO753="","",IF(INDEX(Theo_Doi_Tan_Suat_Be_Tong!$C:$C,AO753)="","",INDEX(Theo_Doi_Tan_Suat_Be_Tong!$C:$C,AO753)-VLOOKUP(AN753,$AQ$2:$AR$7,2,FALSE)))</f>
        <v/>
      </c>
      <c r="N753" s="6" t="n"/>
      <c r="O753" s="24">
        <f>IF(ROUNDUP(P753/20,0)&gt;ROUNDUP(P751/20,0),"TN Ø10 (Lần " &amp; ROUNDUP(P753/20,0) &amp; ")","")</f>
        <v/>
      </c>
      <c r="P753" s="20">
        <f>ROUND(P751+IF(AND(E753&lt;=10,F753&lt;&gt;"ASTM A416"),L753,0),3)</f>
        <v/>
      </c>
      <c r="Q753" s="20">
        <f>ROUND(Q751+IF(AND(E753=12,F753&lt;&gt;"ASTM A416"),L753,0),3)</f>
        <v/>
      </c>
      <c r="R753" s="20">
        <f>ROUND(R751+IF(AND(E753=14,F753&lt;&gt;"ASTM A416"),L753,0),3)</f>
        <v/>
      </c>
      <c r="S753" s="20">
        <f>ROUND(S751+IF(AND(E753=16,F753&lt;&gt;"ASTM A416"),L753,0),3)</f>
        <v/>
      </c>
      <c r="T753" s="20">
        <f>ROUND(T751+IF(AND(E753=18,F753&lt;&gt;"ASTM A416"),L753,0),3)</f>
        <v/>
      </c>
      <c r="U753" s="20">
        <f>ROUND(U751+IF(AND(E753=20,F753&lt;&gt;"ASTM A416"),L753,0),3)</f>
        <v/>
      </c>
      <c r="V753" s="20">
        <f>ROUND(V751+IF(AND(E753=22,F753&lt;&gt;"ASTM A416"),L753,0),3)</f>
        <v/>
      </c>
      <c r="W753" s="20">
        <f>ROUND(W751+IF(AND(E753=25,F753&lt;&gt;"ASTM A416"),L753,0),3)</f>
        <v/>
      </c>
      <c r="X753" s="20">
        <f>ROUND(X751+IF(AND(E753=28,F753&lt;&gt;"ASTM A416"),L753,0),3)</f>
        <v/>
      </c>
      <c r="Y753" s="20">
        <f>ROUND(Y751+IF(AND(E753=32,F753&lt;&gt;"ASTM A416"),L753,0),3)</f>
        <v/>
      </c>
      <c r="Z753" s="20">
        <f>ROUND(Z751+IF(F753="ASTM A416",L753,0),3)</f>
        <v/>
      </c>
      <c r="AA753" s="11">
        <f>IF(ROUNDUP(P753/20,0)&gt;ROUNDUP(P751/20,0),"Lần " &amp; ROUNDUP(P753/20,0),"")</f>
        <v/>
      </c>
      <c r="AB753" s="11">
        <f>IF(ROUNDUP(Q753/20,0)&gt;ROUNDUP(Q751/20,0),"Lần " &amp; ROUNDUP(Q753/20,0),"")</f>
        <v/>
      </c>
      <c r="AC753" s="11">
        <f>IF(ROUNDUP(R753/20,0)&gt;ROUNDUP(R751/20,0),"Lần " &amp; ROUNDUP(R753/20,0),"")</f>
        <v/>
      </c>
      <c r="AD753" s="11">
        <f>IF(ROUNDUP(S753/20,0)&gt;ROUNDUP(S751/20,0),"Lần " &amp; ROUNDUP(S753/20,0),"")</f>
        <v/>
      </c>
      <c r="AE753" s="11">
        <f>IF(ROUNDUP(T753/20,0)&gt;ROUNDUP(T751/20,0),"Lần " &amp; ROUNDUP(T753/20,0),"")</f>
        <v/>
      </c>
      <c r="AF753" s="11">
        <f>IF(ROUNDUP(U753/20,0)&gt;ROUNDUP(U751/20,0),"Lần " &amp; ROUNDUP(U753/20,0),"")</f>
        <v/>
      </c>
      <c r="AG753" s="11">
        <f>IF(ROUNDUP(V753/20,0)&gt;ROUNDUP(V751/20,0),"Lần " &amp; ROUNDUP(V753/20,0),"")</f>
        <v/>
      </c>
      <c r="AH753" s="11">
        <f>IF(ROUNDUP(W753/20,0)&gt;ROUNDUP(W751/20,0),"Lần " &amp; ROUNDUP(W753/20,0),"")</f>
        <v/>
      </c>
      <c r="AI753" s="11">
        <f>IF(ROUNDUP(X753/20,0)&gt;ROUNDUP(X751/20,0),"Lần " &amp; ROUNDUP(X753/20,0),"")</f>
        <v/>
      </c>
      <c r="AJ753" s="11">
        <f>IF(ROUNDUP(Y753/20,0)&gt;ROUNDUP(Y751/20,0),"Lần " &amp; ROUNDUP(Y753/20,0),"")</f>
        <v/>
      </c>
      <c r="AK753" s="11">
        <f>IF(ROUNDUP(Z753/20,0)&gt;ROUNDUP(Z751/20,0),"Lần " &amp; ROUNDUP(Z753/20,0),"")</f>
        <v/>
      </c>
      <c r="AL753" s="6" t="n"/>
      <c r="AN753" t="inlineStr">
        <is>
          <t>Coc</t>
        </is>
      </c>
      <c r="AO753" t="n">
        <v>26</v>
      </c>
    </row>
    <row r="754" ht="19" customHeight="1">
      <c r="A754" s="6" t="n">
        <v>715</v>
      </c>
      <c r="B754" s="7" t="inlineStr">
        <is>
          <t>Cọc khoan nhồi C4 Mố M2 (D1.2m, L=36.0m)</t>
        </is>
      </c>
      <c r="C754" s="7" t="inlineStr">
        <is>
          <t>Cọc mố M2 L=36m (tr.66)</t>
        </is>
      </c>
      <c r="D754" s="18" t="inlineStr">
        <is>
          <t>P1A</t>
        </is>
      </c>
      <c r="E754" s="19" t="n">
        <v>10</v>
      </c>
      <c r="F754" s="6" t="inlineStr">
        <is>
          <t>CB240-T</t>
        </is>
      </c>
      <c r="G754" s="7" t="inlineStr"/>
      <c r="H754" s="20" t="n">
        <v>390.776</v>
      </c>
      <c r="I754" s="21" t="n">
        <v>1</v>
      </c>
      <c r="J754" s="22" t="n">
        <v>0.617</v>
      </c>
      <c r="K754" s="9">
        <f>ROUND(H754*I754*J754, 2)</f>
        <v/>
      </c>
      <c r="L754" s="23">
        <f>ROUND(K754/1000, 3)</f>
        <v/>
      </c>
      <c r="M754" s="8">
        <f>IF(AO754="","",IF(INDEX(Theo_Doi_Tan_Suat_Be_Tong!$C:$C,AO754)="","",INDEX(Theo_Doi_Tan_Suat_Be_Tong!$C:$C,AO754)-VLOOKUP(AN754,$AQ$2:$AR$7,2,FALSE)))</f>
        <v/>
      </c>
      <c r="N754" s="6" t="n"/>
      <c r="O754" s="24">
        <f>IF(ROUNDUP(P754/20,0)&gt;ROUNDUP(P753/20,0),"TN Ø10 (Lần " &amp; ROUNDUP(P754/20,0) &amp; ")","")</f>
        <v/>
      </c>
      <c r="P754" s="20">
        <f>ROUND(P753+IF(AND(E754&lt;=10,F754&lt;&gt;"ASTM A416"),L754,0),3)</f>
        <v/>
      </c>
      <c r="Q754" s="20">
        <f>ROUND(Q753+IF(AND(E754=12,F754&lt;&gt;"ASTM A416"),L754,0),3)</f>
        <v/>
      </c>
      <c r="R754" s="20">
        <f>ROUND(R753+IF(AND(E754=14,F754&lt;&gt;"ASTM A416"),L754,0),3)</f>
        <v/>
      </c>
      <c r="S754" s="20">
        <f>ROUND(S753+IF(AND(E754=16,F754&lt;&gt;"ASTM A416"),L754,0),3)</f>
        <v/>
      </c>
      <c r="T754" s="20">
        <f>ROUND(T753+IF(AND(E754=18,F754&lt;&gt;"ASTM A416"),L754,0),3)</f>
        <v/>
      </c>
      <c r="U754" s="20">
        <f>ROUND(U753+IF(AND(E754=20,F754&lt;&gt;"ASTM A416"),L754,0),3)</f>
        <v/>
      </c>
      <c r="V754" s="20">
        <f>ROUND(V753+IF(AND(E754=22,F754&lt;&gt;"ASTM A416"),L754,0),3)</f>
        <v/>
      </c>
      <c r="W754" s="20">
        <f>ROUND(W753+IF(AND(E754=25,F754&lt;&gt;"ASTM A416"),L754,0),3)</f>
        <v/>
      </c>
      <c r="X754" s="20">
        <f>ROUND(X753+IF(AND(E754=28,F754&lt;&gt;"ASTM A416"),L754,0),3)</f>
        <v/>
      </c>
      <c r="Y754" s="20">
        <f>ROUND(Y753+IF(AND(E754=32,F754&lt;&gt;"ASTM A416"),L754,0),3)</f>
        <v/>
      </c>
      <c r="Z754" s="20">
        <f>ROUND(Z753+IF(F754="ASTM A416",L754,0),3)</f>
        <v/>
      </c>
      <c r="AA754" s="11">
        <f>IF(ROUNDUP(P754/20,0)&gt;ROUNDUP(P753/20,0),"Lần " &amp; ROUNDUP(P754/20,0),"")</f>
        <v/>
      </c>
      <c r="AB754" s="11">
        <f>IF(ROUNDUP(Q754/20,0)&gt;ROUNDUP(Q753/20,0),"Lần " &amp; ROUNDUP(Q754/20,0),"")</f>
        <v/>
      </c>
      <c r="AC754" s="11">
        <f>IF(ROUNDUP(R754/20,0)&gt;ROUNDUP(R753/20,0),"Lần " &amp; ROUNDUP(R754/20,0),"")</f>
        <v/>
      </c>
      <c r="AD754" s="11">
        <f>IF(ROUNDUP(S754/20,0)&gt;ROUNDUP(S753/20,0),"Lần " &amp; ROUNDUP(S754/20,0),"")</f>
        <v/>
      </c>
      <c r="AE754" s="11">
        <f>IF(ROUNDUP(T754/20,0)&gt;ROUNDUP(T753/20,0),"Lần " &amp; ROUNDUP(T754/20,0),"")</f>
        <v/>
      </c>
      <c r="AF754" s="11">
        <f>IF(ROUNDUP(U754/20,0)&gt;ROUNDUP(U753/20,0),"Lần " &amp; ROUNDUP(U754/20,0),"")</f>
        <v/>
      </c>
      <c r="AG754" s="11">
        <f>IF(ROUNDUP(V754/20,0)&gt;ROUNDUP(V753/20,0),"Lần " &amp; ROUNDUP(V754/20,0),"")</f>
        <v/>
      </c>
      <c r="AH754" s="11">
        <f>IF(ROUNDUP(W754/20,0)&gt;ROUNDUP(W753/20,0),"Lần " &amp; ROUNDUP(W754/20,0),"")</f>
        <v/>
      </c>
      <c r="AI754" s="11">
        <f>IF(ROUNDUP(X754/20,0)&gt;ROUNDUP(X753/20,0),"Lần " &amp; ROUNDUP(X754/20,0),"")</f>
        <v/>
      </c>
      <c r="AJ754" s="11">
        <f>IF(ROUNDUP(Y754/20,0)&gt;ROUNDUP(Y753/20,0),"Lần " &amp; ROUNDUP(Y754/20,0),"")</f>
        <v/>
      </c>
      <c r="AK754" s="11">
        <f>IF(ROUNDUP(Z754/20,0)&gt;ROUNDUP(Z753/20,0),"Lần " &amp; ROUNDUP(Z754/20,0),"")</f>
        <v/>
      </c>
      <c r="AL754" s="6" t="n"/>
      <c r="AN754" t="inlineStr">
        <is>
          <t>Coc</t>
        </is>
      </c>
      <c r="AO754" t="n">
        <v>26</v>
      </c>
    </row>
    <row r="755" ht="19" customHeight="1">
      <c r="A755" s="6" t="n">
        <v>716</v>
      </c>
      <c r="B755" s="7" t="inlineStr">
        <is>
          <t>Cọc khoan nhồi C4 Mố M2 (D1.2m, L=36.0m)</t>
        </is>
      </c>
      <c r="C755" s="7" t="inlineStr">
        <is>
          <t>Cọc mố M2 L=36m (tr.66)</t>
        </is>
      </c>
      <c r="D755" s="18" t="inlineStr">
        <is>
          <t>P1B</t>
        </is>
      </c>
      <c r="E755" s="19" t="n">
        <v>10</v>
      </c>
      <c r="F755" s="6" t="inlineStr">
        <is>
          <t>CB240-T</t>
        </is>
      </c>
      <c r="G755" s="7" t="inlineStr"/>
      <c r="H755" s="20" t="n">
        <v>164.938</v>
      </c>
      <c r="I755" s="21" t="n">
        <v>1</v>
      </c>
      <c r="J755" s="22" t="n">
        <v>0.617</v>
      </c>
      <c r="K755" s="9">
        <f>ROUND(H755*I755*J755, 2)</f>
        <v/>
      </c>
      <c r="L755" s="23">
        <f>ROUND(K755/1000, 3)</f>
        <v/>
      </c>
      <c r="M755" s="8">
        <f>IF(AO755="","",IF(INDEX(Theo_Doi_Tan_Suat_Be_Tong!$C:$C,AO755)="","",INDEX(Theo_Doi_Tan_Suat_Be_Tong!$C:$C,AO755)-VLOOKUP(AN755,$AQ$2:$AR$7,2,FALSE)))</f>
        <v/>
      </c>
      <c r="N755" s="6" t="n"/>
      <c r="O755" s="24">
        <f>IF(ROUNDUP(P755/20,0)&gt;ROUNDUP(P754/20,0),"TN Ø10 (Lần " &amp; ROUNDUP(P755/20,0) &amp; ")","")</f>
        <v/>
      </c>
      <c r="P755" s="20">
        <f>ROUND(P754+IF(AND(E755&lt;=10,F755&lt;&gt;"ASTM A416"),L755,0),3)</f>
        <v/>
      </c>
      <c r="Q755" s="20">
        <f>ROUND(Q754+IF(AND(E755=12,F755&lt;&gt;"ASTM A416"),L755,0),3)</f>
        <v/>
      </c>
      <c r="R755" s="20">
        <f>ROUND(R754+IF(AND(E755=14,F755&lt;&gt;"ASTM A416"),L755,0),3)</f>
        <v/>
      </c>
      <c r="S755" s="20">
        <f>ROUND(S754+IF(AND(E755=16,F755&lt;&gt;"ASTM A416"),L755,0),3)</f>
        <v/>
      </c>
      <c r="T755" s="20">
        <f>ROUND(T754+IF(AND(E755=18,F755&lt;&gt;"ASTM A416"),L755,0),3)</f>
        <v/>
      </c>
      <c r="U755" s="20">
        <f>ROUND(U754+IF(AND(E755=20,F755&lt;&gt;"ASTM A416"),L755,0),3)</f>
        <v/>
      </c>
      <c r="V755" s="20">
        <f>ROUND(V754+IF(AND(E755=22,F755&lt;&gt;"ASTM A416"),L755,0),3)</f>
        <v/>
      </c>
      <c r="W755" s="20">
        <f>ROUND(W754+IF(AND(E755=25,F755&lt;&gt;"ASTM A416"),L755,0),3)</f>
        <v/>
      </c>
      <c r="X755" s="20">
        <f>ROUND(X754+IF(AND(E755=28,F755&lt;&gt;"ASTM A416"),L755,0),3)</f>
        <v/>
      </c>
      <c r="Y755" s="20">
        <f>ROUND(Y754+IF(AND(E755=32,F755&lt;&gt;"ASTM A416"),L755,0),3)</f>
        <v/>
      </c>
      <c r="Z755" s="20">
        <f>ROUND(Z754+IF(F755="ASTM A416",L755,0),3)</f>
        <v/>
      </c>
      <c r="AA755" s="11">
        <f>IF(ROUNDUP(P755/20,0)&gt;ROUNDUP(P754/20,0),"Lần " &amp; ROUNDUP(P755/20,0),"")</f>
        <v/>
      </c>
      <c r="AB755" s="11">
        <f>IF(ROUNDUP(Q755/20,0)&gt;ROUNDUP(Q754/20,0),"Lần " &amp; ROUNDUP(Q755/20,0),"")</f>
        <v/>
      </c>
      <c r="AC755" s="11">
        <f>IF(ROUNDUP(R755/20,0)&gt;ROUNDUP(R754/20,0),"Lần " &amp; ROUNDUP(R755/20,0),"")</f>
        <v/>
      </c>
      <c r="AD755" s="11">
        <f>IF(ROUNDUP(S755/20,0)&gt;ROUNDUP(S754/20,0),"Lần " &amp; ROUNDUP(S755/20,0),"")</f>
        <v/>
      </c>
      <c r="AE755" s="11">
        <f>IF(ROUNDUP(T755/20,0)&gt;ROUNDUP(T754/20,0),"Lần " &amp; ROUNDUP(T755/20,0),"")</f>
        <v/>
      </c>
      <c r="AF755" s="11">
        <f>IF(ROUNDUP(U755/20,0)&gt;ROUNDUP(U754/20,0),"Lần " &amp; ROUNDUP(U755/20,0),"")</f>
        <v/>
      </c>
      <c r="AG755" s="11">
        <f>IF(ROUNDUP(V755/20,0)&gt;ROUNDUP(V754/20,0),"Lần " &amp; ROUNDUP(V755/20,0),"")</f>
        <v/>
      </c>
      <c r="AH755" s="11">
        <f>IF(ROUNDUP(W755/20,0)&gt;ROUNDUP(W754/20,0),"Lần " &amp; ROUNDUP(W755/20,0),"")</f>
        <v/>
      </c>
      <c r="AI755" s="11">
        <f>IF(ROUNDUP(X755/20,0)&gt;ROUNDUP(X754/20,0),"Lần " &amp; ROUNDUP(X755/20,0),"")</f>
        <v/>
      </c>
      <c r="AJ755" s="11">
        <f>IF(ROUNDUP(Y755/20,0)&gt;ROUNDUP(Y754/20,0),"Lần " &amp; ROUNDUP(Y755/20,0),"")</f>
        <v/>
      </c>
      <c r="AK755" s="11">
        <f>IF(ROUNDUP(Z755/20,0)&gt;ROUNDUP(Z754/20,0),"Lần " &amp; ROUNDUP(Z755/20,0),"")</f>
        <v/>
      </c>
      <c r="AL755" s="6" t="n"/>
      <c r="AN755" t="inlineStr">
        <is>
          <t>Coc</t>
        </is>
      </c>
      <c r="AO755" t="n">
        <v>26</v>
      </c>
    </row>
    <row r="756" ht="19" customHeight="1">
      <c r="A756" s="6" t="n">
        <v>717</v>
      </c>
      <c r="B756" s="7" t="inlineStr">
        <is>
          <t>Cọc khoan nhồi C4 Mố M2 (D1.2m, L=36.0m)</t>
        </is>
      </c>
      <c r="C756" s="7" t="inlineStr">
        <is>
          <t>Cọc mố M2 L=36m (tr.66)</t>
        </is>
      </c>
      <c r="D756" s="18" t="inlineStr">
        <is>
          <t>P1C</t>
        </is>
      </c>
      <c r="E756" s="19" t="n">
        <v>10</v>
      </c>
      <c r="F756" s="6" t="inlineStr">
        <is>
          <t>CB240-T</t>
        </is>
      </c>
      <c r="G756" s="7" t="inlineStr"/>
      <c r="H756" s="20" t="n">
        <v>3.592</v>
      </c>
      <c r="I756" s="21" t="n">
        <v>2</v>
      </c>
      <c r="J756" s="22" t="n">
        <v>0.617</v>
      </c>
      <c r="K756" s="9">
        <f>ROUND(H756*I756*J756, 2)</f>
        <v/>
      </c>
      <c r="L756" s="23">
        <f>ROUND(K756/1000, 3)</f>
        <v/>
      </c>
      <c r="M756" s="8">
        <f>IF(AO756="","",IF(INDEX(Theo_Doi_Tan_Suat_Be_Tong!$C:$C,AO756)="","",INDEX(Theo_Doi_Tan_Suat_Be_Tong!$C:$C,AO756)-VLOOKUP(AN756,$AQ$2:$AR$7,2,FALSE)))</f>
        <v/>
      </c>
      <c r="N756" s="6" t="n"/>
      <c r="O756" s="24">
        <f>IF(ROUNDUP(P756/20,0)&gt;ROUNDUP(P755/20,0),"TN Ø10 (Lần " &amp; ROUNDUP(P756/20,0) &amp; ")","")</f>
        <v/>
      </c>
      <c r="P756" s="20">
        <f>ROUND(P755+IF(AND(E756&lt;=10,F756&lt;&gt;"ASTM A416"),L756,0),3)</f>
        <v/>
      </c>
      <c r="Q756" s="20">
        <f>ROUND(Q755+IF(AND(E756=12,F756&lt;&gt;"ASTM A416"),L756,0),3)</f>
        <v/>
      </c>
      <c r="R756" s="20">
        <f>ROUND(R755+IF(AND(E756=14,F756&lt;&gt;"ASTM A416"),L756,0),3)</f>
        <v/>
      </c>
      <c r="S756" s="20">
        <f>ROUND(S755+IF(AND(E756=16,F756&lt;&gt;"ASTM A416"),L756,0),3)</f>
        <v/>
      </c>
      <c r="T756" s="20">
        <f>ROUND(T755+IF(AND(E756=18,F756&lt;&gt;"ASTM A416"),L756,0),3)</f>
        <v/>
      </c>
      <c r="U756" s="20">
        <f>ROUND(U755+IF(AND(E756=20,F756&lt;&gt;"ASTM A416"),L756,0),3)</f>
        <v/>
      </c>
      <c r="V756" s="20">
        <f>ROUND(V755+IF(AND(E756=22,F756&lt;&gt;"ASTM A416"),L756,0),3)</f>
        <v/>
      </c>
      <c r="W756" s="20">
        <f>ROUND(W755+IF(AND(E756=25,F756&lt;&gt;"ASTM A416"),L756,0),3)</f>
        <v/>
      </c>
      <c r="X756" s="20">
        <f>ROUND(X755+IF(AND(E756=28,F756&lt;&gt;"ASTM A416"),L756,0),3)</f>
        <v/>
      </c>
      <c r="Y756" s="20">
        <f>ROUND(Y755+IF(AND(E756=32,F756&lt;&gt;"ASTM A416"),L756,0),3)</f>
        <v/>
      </c>
      <c r="Z756" s="20">
        <f>ROUND(Z755+IF(F756="ASTM A416",L756,0),3)</f>
        <v/>
      </c>
      <c r="AA756" s="11">
        <f>IF(ROUNDUP(P756/20,0)&gt;ROUNDUP(P755/20,0),"Lần " &amp; ROUNDUP(P756/20,0),"")</f>
        <v/>
      </c>
      <c r="AB756" s="11">
        <f>IF(ROUNDUP(Q756/20,0)&gt;ROUNDUP(Q755/20,0),"Lần " &amp; ROUNDUP(Q756/20,0),"")</f>
        <v/>
      </c>
      <c r="AC756" s="11">
        <f>IF(ROUNDUP(R756/20,0)&gt;ROUNDUP(R755/20,0),"Lần " &amp; ROUNDUP(R756/20,0),"")</f>
        <v/>
      </c>
      <c r="AD756" s="11">
        <f>IF(ROUNDUP(S756/20,0)&gt;ROUNDUP(S755/20,0),"Lần " &amp; ROUNDUP(S756/20,0),"")</f>
        <v/>
      </c>
      <c r="AE756" s="11">
        <f>IF(ROUNDUP(T756/20,0)&gt;ROUNDUP(T755/20,0),"Lần " &amp; ROUNDUP(T756/20,0),"")</f>
        <v/>
      </c>
      <c r="AF756" s="11">
        <f>IF(ROUNDUP(U756/20,0)&gt;ROUNDUP(U755/20,0),"Lần " &amp; ROUNDUP(U756/20,0),"")</f>
        <v/>
      </c>
      <c r="AG756" s="11">
        <f>IF(ROUNDUP(V756/20,0)&gt;ROUNDUP(V755/20,0),"Lần " &amp; ROUNDUP(V756/20,0),"")</f>
        <v/>
      </c>
      <c r="AH756" s="11">
        <f>IF(ROUNDUP(W756/20,0)&gt;ROUNDUP(W755/20,0),"Lần " &amp; ROUNDUP(W756/20,0),"")</f>
        <v/>
      </c>
      <c r="AI756" s="11">
        <f>IF(ROUNDUP(X756/20,0)&gt;ROUNDUP(X755/20,0),"Lần " &amp; ROUNDUP(X756/20,0),"")</f>
        <v/>
      </c>
      <c r="AJ756" s="11">
        <f>IF(ROUNDUP(Y756/20,0)&gt;ROUNDUP(Y755/20,0),"Lần " &amp; ROUNDUP(Y756/20,0),"")</f>
        <v/>
      </c>
      <c r="AK756" s="11">
        <f>IF(ROUNDUP(Z756/20,0)&gt;ROUNDUP(Z755/20,0),"Lần " &amp; ROUNDUP(Z756/20,0),"")</f>
        <v/>
      </c>
      <c r="AL756" s="6" t="n"/>
      <c r="AN756" t="inlineStr">
        <is>
          <t>Coc</t>
        </is>
      </c>
      <c r="AO756" t="n">
        <v>26</v>
      </c>
    </row>
    <row r="757" ht="19" customHeight="1">
      <c r="A757" s="6" t="n">
        <v>718</v>
      </c>
      <c r="B757" s="7" t="inlineStr">
        <is>
          <t>Cọc khoan nhồi C4 Mố M2 (D1.2m, L=36.0m)</t>
        </is>
      </c>
      <c r="C757" s="7" t="inlineStr">
        <is>
          <t>Cọc mố M2 L=36m (tr.66)</t>
        </is>
      </c>
      <c r="D757" s="18" t="inlineStr">
        <is>
          <t>P1D</t>
        </is>
      </c>
      <c r="E757" s="19" t="n">
        <v>10</v>
      </c>
      <c r="F757" s="6" t="inlineStr">
        <is>
          <t>CB240-T</t>
        </is>
      </c>
      <c r="G757" s="7" t="inlineStr"/>
      <c r="H757" s="20" t="n">
        <v>23.007</v>
      </c>
      <c r="I757" s="21" t="n">
        <v>1</v>
      </c>
      <c r="J757" s="22" t="n">
        <v>0.617</v>
      </c>
      <c r="K757" s="9">
        <f>ROUND(H757*I757*J757, 2)</f>
        <v/>
      </c>
      <c r="L757" s="23">
        <f>ROUND(K757/1000, 3)</f>
        <v/>
      </c>
      <c r="M757" s="8">
        <f>IF(AO757="","",IF(INDEX(Theo_Doi_Tan_Suat_Be_Tong!$C:$C,AO757)="","",INDEX(Theo_Doi_Tan_Suat_Be_Tong!$C:$C,AO757)-VLOOKUP(AN757,$AQ$2:$AR$7,2,FALSE)))</f>
        <v/>
      </c>
      <c r="N757" s="6" t="n"/>
      <c r="O757" s="24">
        <f>IF(ROUNDUP(P757/20,0)&gt;ROUNDUP(P756/20,0),"TN Ø10 (Lần " &amp; ROUNDUP(P757/20,0) &amp; ")","")</f>
        <v/>
      </c>
      <c r="P757" s="20">
        <f>ROUND(P756+IF(AND(E757&lt;=10,F757&lt;&gt;"ASTM A416"),L757,0),3)</f>
        <v/>
      </c>
      <c r="Q757" s="20">
        <f>ROUND(Q756+IF(AND(E757=12,F757&lt;&gt;"ASTM A416"),L757,0),3)</f>
        <v/>
      </c>
      <c r="R757" s="20">
        <f>ROUND(R756+IF(AND(E757=14,F757&lt;&gt;"ASTM A416"),L757,0),3)</f>
        <v/>
      </c>
      <c r="S757" s="20">
        <f>ROUND(S756+IF(AND(E757=16,F757&lt;&gt;"ASTM A416"),L757,0),3)</f>
        <v/>
      </c>
      <c r="T757" s="20">
        <f>ROUND(T756+IF(AND(E757=18,F757&lt;&gt;"ASTM A416"),L757,0),3)</f>
        <v/>
      </c>
      <c r="U757" s="20">
        <f>ROUND(U756+IF(AND(E757=20,F757&lt;&gt;"ASTM A416"),L757,0),3)</f>
        <v/>
      </c>
      <c r="V757" s="20">
        <f>ROUND(V756+IF(AND(E757=22,F757&lt;&gt;"ASTM A416"),L757,0),3)</f>
        <v/>
      </c>
      <c r="W757" s="20">
        <f>ROUND(W756+IF(AND(E757=25,F757&lt;&gt;"ASTM A416"),L757,0),3)</f>
        <v/>
      </c>
      <c r="X757" s="20">
        <f>ROUND(X756+IF(AND(E757=28,F757&lt;&gt;"ASTM A416"),L757,0),3)</f>
        <v/>
      </c>
      <c r="Y757" s="20">
        <f>ROUND(Y756+IF(AND(E757=32,F757&lt;&gt;"ASTM A416"),L757,0),3)</f>
        <v/>
      </c>
      <c r="Z757" s="20">
        <f>ROUND(Z756+IF(F757="ASTM A416",L757,0),3)</f>
        <v/>
      </c>
      <c r="AA757" s="11">
        <f>IF(ROUNDUP(P757/20,0)&gt;ROUNDUP(P756/20,0),"Lần " &amp; ROUNDUP(P757/20,0),"")</f>
        <v/>
      </c>
      <c r="AB757" s="11">
        <f>IF(ROUNDUP(Q757/20,0)&gt;ROUNDUP(Q756/20,0),"Lần " &amp; ROUNDUP(Q757/20,0),"")</f>
        <v/>
      </c>
      <c r="AC757" s="11">
        <f>IF(ROUNDUP(R757/20,0)&gt;ROUNDUP(R756/20,0),"Lần " &amp; ROUNDUP(R757/20,0),"")</f>
        <v/>
      </c>
      <c r="AD757" s="11">
        <f>IF(ROUNDUP(S757/20,0)&gt;ROUNDUP(S756/20,0),"Lần " &amp; ROUNDUP(S757/20,0),"")</f>
        <v/>
      </c>
      <c r="AE757" s="11">
        <f>IF(ROUNDUP(T757/20,0)&gt;ROUNDUP(T756/20,0),"Lần " &amp; ROUNDUP(T757/20,0),"")</f>
        <v/>
      </c>
      <c r="AF757" s="11">
        <f>IF(ROUNDUP(U757/20,0)&gt;ROUNDUP(U756/20,0),"Lần " &amp; ROUNDUP(U757/20,0),"")</f>
        <v/>
      </c>
      <c r="AG757" s="11">
        <f>IF(ROUNDUP(V757/20,0)&gt;ROUNDUP(V756/20,0),"Lần " &amp; ROUNDUP(V757/20,0),"")</f>
        <v/>
      </c>
      <c r="AH757" s="11">
        <f>IF(ROUNDUP(W757/20,0)&gt;ROUNDUP(W756/20,0),"Lần " &amp; ROUNDUP(W757/20,0),"")</f>
        <v/>
      </c>
      <c r="AI757" s="11">
        <f>IF(ROUNDUP(X757/20,0)&gt;ROUNDUP(X756/20,0),"Lần " &amp; ROUNDUP(X757/20,0),"")</f>
        <v/>
      </c>
      <c r="AJ757" s="11">
        <f>IF(ROUNDUP(Y757/20,0)&gt;ROUNDUP(Y756/20,0),"Lần " &amp; ROUNDUP(Y757/20,0),"")</f>
        <v/>
      </c>
      <c r="AK757" s="11">
        <f>IF(ROUNDUP(Z757/20,0)&gt;ROUNDUP(Z756/20,0),"Lần " &amp; ROUNDUP(Z757/20,0),"")</f>
        <v/>
      </c>
      <c r="AL757" s="6" t="n"/>
      <c r="AN757" t="inlineStr">
        <is>
          <t>Coc</t>
        </is>
      </c>
      <c r="AO757" t="n">
        <v>26</v>
      </c>
    </row>
    <row r="758" ht="19" customHeight="1">
      <c r="A758" s="6" t="n">
        <v>719</v>
      </c>
      <c r="B758" s="7" t="inlineStr">
        <is>
          <t>Cọc khoan nhồi C4 Mố M2 (D1.2m, L=36.0m)</t>
        </is>
      </c>
      <c r="C758" s="7" t="inlineStr">
        <is>
          <t>Cọc mố M2 L=36m (tr.66)</t>
        </is>
      </c>
      <c r="D758" s="18" t="inlineStr">
        <is>
          <t>P2A</t>
        </is>
      </c>
      <c r="E758" s="19" t="n">
        <v>28</v>
      </c>
      <c r="F758" s="6" t="inlineStr">
        <is>
          <t>CB400-V</t>
        </is>
      </c>
      <c r="G758" s="7" t="inlineStr"/>
      <c r="H758" s="20" t="n">
        <v>2.966</v>
      </c>
      <c r="I758" s="21" t="n">
        <v>5</v>
      </c>
      <c r="J758" s="22" t="n">
        <v>4.834</v>
      </c>
      <c r="K758" s="9">
        <f>ROUND(H758*I758*J758, 2)</f>
        <v/>
      </c>
      <c r="L758" s="23">
        <f>ROUND(K758/1000, 3)</f>
        <v/>
      </c>
      <c r="M758" s="8">
        <f>IF(AO758="","",IF(INDEX(Theo_Doi_Tan_Suat_Be_Tong!$C:$C,AO758)="","",INDEX(Theo_Doi_Tan_Suat_Be_Tong!$C:$C,AO758)-VLOOKUP(AN758,$AQ$2:$AR$7,2,FALSE)))</f>
        <v/>
      </c>
      <c r="N758" s="6" t="n"/>
      <c r="O758" s="24">
        <f>IF(ROUNDUP(X758/20,0)&gt;ROUNDUP(X757/20,0),"TN Ø28 (Lần " &amp; ROUNDUP(X758/20,0) &amp; ")","")</f>
        <v/>
      </c>
      <c r="P758" s="20">
        <f>ROUND(P757+IF(AND(E758&lt;=10,F758&lt;&gt;"ASTM A416"),L758,0),3)</f>
        <v/>
      </c>
      <c r="Q758" s="20">
        <f>ROUND(Q757+IF(AND(E758=12,F758&lt;&gt;"ASTM A416"),L758,0),3)</f>
        <v/>
      </c>
      <c r="R758" s="20">
        <f>ROUND(R757+IF(AND(E758=14,F758&lt;&gt;"ASTM A416"),L758,0),3)</f>
        <v/>
      </c>
      <c r="S758" s="20">
        <f>ROUND(S757+IF(AND(E758=16,F758&lt;&gt;"ASTM A416"),L758,0),3)</f>
        <v/>
      </c>
      <c r="T758" s="20">
        <f>ROUND(T757+IF(AND(E758=18,F758&lt;&gt;"ASTM A416"),L758,0),3)</f>
        <v/>
      </c>
      <c r="U758" s="20">
        <f>ROUND(U757+IF(AND(E758=20,F758&lt;&gt;"ASTM A416"),L758,0),3)</f>
        <v/>
      </c>
      <c r="V758" s="20">
        <f>ROUND(V757+IF(AND(E758=22,F758&lt;&gt;"ASTM A416"),L758,0),3)</f>
        <v/>
      </c>
      <c r="W758" s="20">
        <f>ROUND(W757+IF(AND(E758=25,F758&lt;&gt;"ASTM A416"),L758,0),3)</f>
        <v/>
      </c>
      <c r="X758" s="20">
        <f>ROUND(X757+IF(AND(E758=28,F758&lt;&gt;"ASTM A416"),L758,0),3)</f>
        <v/>
      </c>
      <c r="Y758" s="20">
        <f>ROUND(Y757+IF(AND(E758=32,F758&lt;&gt;"ASTM A416"),L758,0),3)</f>
        <v/>
      </c>
      <c r="Z758" s="20">
        <f>ROUND(Z757+IF(F758="ASTM A416",L758,0),3)</f>
        <v/>
      </c>
      <c r="AA758" s="11">
        <f>IF(ROUNDUP(P758/20,0)&gt;ROUNDUP(P757/20,0),"Lần " &amp; ROUNDUP(P758/20,0),"")</f>
        <v/>
      </c>
      <c r="AB758" s="11">
        <f>IF(ROUNDUP(Q758/20,0)&gt;ROUNDUP(Q757/20,0),"Lần " &amp; ROUNDUP(Q758/20,0),"")</f>
        <v/>
      </c>
      <c r="AC758" s="11">
        <f>IF(ROUNDUP(R758/20,0)&gt;ROUNDUP(R757/20,0),"Lần " &amp; ROUNDUP(R758/20,0),"")</f>
        <v/>
      </c>
      <c r="AD758" s="11">
        <f>IF(ROUNDUP(S758/20,0)&gt;ROUNDUP(S757/20,0),"Lần " &amp; ROUNDUP(S758/20,0),"")</f>
        <v/>
      </c>
      <c r="AE758" s="11">
        <f>IF(ROUNDUP(T758/20,0)&gt;ROUNDUP(T757/20,0),"Lần " &amp; ROUNDUP(T758/20,0),"")</f>
        <v/>
      </c>
      <c r="AF758" s="11">
        <f>IF(ROUNDUP(U758/20,0)&gt;ROUNDUP(U757/20,0),"Lần " &amp; ROUNDUP(U758/20,0),"")</f>
        <v/>
      </c>
      <c r="AG758" s="11">
        <f>IF(ROUNDUP(V758/20,0)&gt;ROUNDUP(V757/20,0),"Lần " &amp; ROUNDUP(V758/20,0),"")</f>
        <v/>
      </c>
      <c r="AH758" s="11">
        <f>IF(ROUNDUP(W758/20,0)&gt;ROUNDUP(W757/20,0),"Lần " &amp; ROUNDUP(W758/20,0),"")</f>
        <v/>
      </c>
      <c r="AI758" s="11">
        <f>IF(ROUNDUP(X758/20,0)&gt;ROUNDUP(X757/20,0),"Lần " &amp; ROUNDUP(X758/20,0),"")</f>
        <v/>
      </c>
      <c r="AJ758" s="11">
        <f>IF(ROUNDUP(Y758/20,0)&gt;ROUNDUP(Y757/20,0),"Lần " &amp; ROUNDUP(Y758/20,0),"")</f>
        <v/>
      </c>
      <c r="AK758" s="11">
        <f>IF(ROUNDUP(Z758/20,0)&gt;ROUNDUP(Z757/20,0),"Lần " &amp; ROUNDUP(Z758/20,0),"")</f>
        <v/>
      </c>
      <c r="AL758" s="6" t="n"/>
      <c r="AN758" t="inlineStr">
        <is>
          <t>Coc</t>
        </is>
      </c>
      <c r="AO758" t="n">
        <v>26</v>
      </c>
    </row>
    <row r="759" ht="19" customHeight="1">
      <c r="A759" s="6" t="n">
        <v>720</v>
      </c>
      <c r="B759" s="7" t="inlineStr">
        <is>
          <t>Cọc khoan nhồi C4 Mố M2 (D1.2m, L=36.0m)</t>
        </is>
      </c>
      <c r="C759" s="7" t="inlineStr">
        <is>
          <t>Cọc mố M2 L=36m (tr.66)</t>
        </is>
      </c>
      <c r="D759" s="18" t="inlineStr">
        <is>
          <t>P2B</t>
        </is>
      </c>
      <c r="E759" s="19" t="n">
        <v>25</v>
      </c>
      <c r="F759" s="6" t="inlineStr">
        <is>
          <t>CB400-V</t>
        </is>
      </c>
      <c r="G759" s="7" t="inlineStr"/>
      <c r="H759" s="20" t="n">
        <v>2.985</v>
      </c>
      <c r="I759" s="21" t="n">
        <v>10</v>
      </c>
      <c r="J759" s="22" t="n">
        <v>3.853</v>
      </c>
      <c r="K759" s="9">
        <f>ROUND(H759*I759*J759, 2)</f>
        <v/>
      </c>
      <c r="L759" s="23">
        <f>ROUND(K759/1000, 3)</f>
        <v/>
      </c>
      <c r="M759" s="8">
        <f>IF(AO759="","",IF(INDEX(Theo_Doi_Tan_Suat_Be_Tong!$C:$C,AO759)="","",INDEX(Theo_Doi_Tan_Suat_Be_Tong!$C:$C,AO759)-VLOOKUP(AN759,$AQ$2:$AR$7,2,FALSE)))</f>
        <v/>
      </c>
      <c r="N759" s="6" t="n"/>
      <c r="O759" s="24">
        <f>IF(ROUNDUP(W759/20,0)&gt;ROUNDUP(W758/20,0),"TN Ø25 (Lần " &amp; ROUNDUP(W759/20,0) &amp; ")","")</f>
        <v/>
      </c>
      <c r="P759" s="20">
        <f>ROUND(P758+IF(AND(E759&lt;=10,F759&lt;&gt;"ASTM A416"),L759,0),3)</f>
        <v/>
      </c>
      <c r="Q759" s="20">
        <f>ROUND(Q758+IF(AND(E759=12,F759&lt;&gt;"ASTM A416"),L759,0),3)</f>
        <v/>
      </c>
      <c r="R759" s="20">
        <f>ROUND(R758+IF(AND(E759=14,F759&lt;&gt;"ASTM A416"),L759,0),3)</f>
        <v/>
      </c>
      <c r="S759" s="20">
        <f>ROUND(S758+IF(AND(E759=16,F759&lt;&gt;"ASTM A416"),L759,0),3)</f>
        <v/>
      </c>
      <c r="T759" s="20">
        <f>ROUND(T758+IF(AND(E759=18,F759&lt;&gt;"ASTM A416"),L759,0),3)</f>
        <v/>
      </c>
      <c r="U759" s="20">
        <f>ROUND(U758+IF(AND(E759=20,F759&lt;&gt;"ASTM A416"),L759,0),3)</f>
        <v/>
      </c>
      <c r="V759" s="20">
        <f>ROUND(V758+IF(AND(E759=22,F759&lt;&gt;"ASTM A416"),L759,0),3)</f>
        <v/>
      </c>
      <c r="W759" s="20">
        <f>ROUND(W758+IF(AND(E759=25,F759&lt;&gt;"ASTM A416"),L759,0),3)</f>
        <v/>
      </c>
      <c r="X759" s="20">
        <f>ROUND(X758+IF(AND(E759=28,F759&lt;&gt;"ASTM A416"),L759,0),3)</f>
        <v/>
      </c>
      <c r="Y759" s="20">
        <f>ROUND(Y758+IF(AND(E759=32,F759&lt;&gt;"ASTM A416"),L759,0),3)</f>
        <v/>
      </c>
      <c r="Z759" s="20">
        <f>ROUND(Z758+IF(F759="ASTM A416",L759,0),3)</f>
        <v/>
      </c>
      <c r="AA759" s="11">
        <f>IF(ROUNDUP(P759/20,0)&gt;ROUNDUP(P758/20,0),"Lần " &amp; ROUNDUP(P759/20,0),"")</f>
        <v/>
      </c>
      <c r="AB759" s="11">
        <f>IF(ROUNDUP(Q759/20,0)&gt;ROUNDUP(Q758/20,0),"Lần " &amp; ROUNDUP(Q759/20,0),"")</f>
        <v/>
      </c>
      <c r="AC759" s="11">
        <f>IF(ROUNDUP(R759/20,0)&gt;ROUNDUP(R758/20,0),"Lần " &amp; ROUNDUP(R759/20,0),"")</f>
        <v/>
      </c>
      <c r="AD759" s="11">
        <f>IF(ROUNDUP(S759/20,0)&gt;ROUNDUP(S758/20,0),"Lần " &amp; ROUNDUP(S759/20,0),"")</f>
        <v/>
      </c>
      <c r="AE759" s="11">
        <f>IF(ROUNDUP(T759/20,0)&gt;ROUNDUP(T758/20,0),"Lần " &amp; ROUNDUP(T759/20,0),"")</f>
        <v/>
      </c>
      <c r="AF759" s="11">
        <f>IF(ROUNDUP(U759/20,0)&gt;ROUNDUP(U758/20,0),"Lần " &amp; ROUNDUP(U759/20,0),"")</f>
        <v/>
      </c>
      <c r="AG759" s="11">
        <f>IF(ROUNDUP(V759/20,0)&gt;ROUNDUP(V758/20,0),"Lần " &amp; ROUNDUP(V759/20,0),"")</f>
        <v/>
      </c>
      <c r="AH759" s="11">
        <f>IF(ROUNDUP(W759/20,0)&gt;ROUNDUP(W758/20,0),"Lần " &amp; ROUNDUP(W759/20,0),"")</f>
        <v/>
      </c>
      <c r="AI759" s="11">
        <f>IF(ROUNDUP(X759/20,0)&gt;ROUNDUP(X758/20,0),"Lần " &amp; ROUNDUP(X759/20,0),"")</f>
        <v/>
      </c>
      <c r="AJ759" s="11">
        <f>IF(ROUNDUP(Y759/20,0)&gt;ROUNDUP(Y758/20,0),"Lần " &amp; ROUNDUP(Y759/20,0),"")</f>
        <v/>
      </c>
      <c r="AK759" s="11">
        <f>IF(ROUNDUP(Z759/20,0)&gt;ROUNDUP(Z758/20,0),"Lần " &amp; ROUNDUP(Z759/20,0),"")</f>
        <v/>
      </c>
      <c r="AL759" s="6" t="n"/>
      <c r="AN759" t="inlineStr">
        <is>
          <t>Coc</t>
        </is>
      </c>
      <c r="AO759" t="n">
        <v>26</v>
      </c>
    </row>
    <row r="760" ht="19" customHeight="1">
      <c r="A760" s="6" t="n">
        <v>721</v>
      </c>
      <c r="B760" s="7" t="inlineStr">
        <is>
          <t>Cọc khoan nhồi C4 Mố M2 (D1.2m, L=36.0m)</t>
        </is>
      </c>
      <c r="C760" s="7" t="inlineStr">
        <is>
          <t>Cọc mố M2 L=36m (tr.66)</t>
        </is>
      </c>
      <c r="D760" s="18" t="inlineStr">
        <is>
          <t>P3</t>
        </is>
      </c>
      <c r="E760" s="19" t="n">
        <v>28</v>
      </c>
      <c r="F760" s="6" t="inlineStr">
        <is>
          <t>CB400-V</t>
        </is>
      </c>
      <c r="G760" s="7" t="inlineStr"/>
      <c r="H760" s="20" t="n">
        <v>10.7</v>
      </c>
      <c r="I760" s="21" t="n">
        <v>12</v>
      </c>
      <c r="J760" s="22" t="n">
        <v>4.834</v>
      </c>
      <c r="K760" s="9">
        <f>ROUND(H760*I760*J760, 2)</f>
        <v/>
      </c>
      <c r="L760" s="23">
        <f>ROUND(K760/1000, 3)</f>
        <v/>
      </c>
      <c r="M760" s="8">
        <f>IF(AO760="","",IF(INDEX(Theo_Doi_Tan_Suat_Be_Tong!$C:$C,AO760)="","",INDEX(Theo_Doi_Tan_Suat_Be_Tong!$C:$C,AO760)-VLOOKUP(AN760,$AQ$2:$AR$7,2,FALSE)))</f>
        <v/>
      </c>
      <c r="N760" s="6" t="n"/>
      <c r="O760" s="24">
        <f>IF(ROUNDUP(X760/20,0)&gt;ROUNDUP(X759/20,0),"TN Ø28 (Lần " &amp; ROUNDUP(X760/20,0) &amp; ")","")</f>
        <v/>
      </c>
      <c r="P760" s="20">
        <f>ROUND(P759+IF(AND(E760&lt;=10,F760&lt;&gt;"ASTM A416"),L760,0),3)</f>
        <v/>
      </c>
      <c r="Q760" s="20">
        <f>ROUND(Q759+IF(AND(E760=12,F760&lt;&gt;"ASTM A416"),L760,0),3)</f>
        <v/>
      </c>
      <c r="R760" s="20">
        <f>ROUND(R759+IF(AND(E760=14,F760&lt;&gt;"ASTM A416"),L760,0),3)</f>
        <v/>
      </c>
      <c r="S760" s="20">
        <f>ROUND(S759+IF(AND(E760=16,F760&lt;&gt;"ASTM A416"),L760,0),3)</f>
        <v/>
      </c>
      <c r="T760" s="20">
        <f>ROUND(T759+IF(AND(E760=18,F760&lt;&gt;"ASTM A416"),L760,0),3)</f>
        <v/>
      </c>
      <c r="U760" s="20">
        <f>ROUND(U759+IF(AND(E760=20,F760&lt;&gt;"ASTM A416"),L760,0),3)</f>
        <v/>
      </c>
      <c r="V760" s="20">
        <f>ROUND(V759+IF(AND(E760=22,F760&lt;&gt;"ASTM A416"),L760,0),3)</f>
        <v/>
      </c>
      <c r="W760" s="20">
        <f>ROUND(W759+IF(AND(E760=25,F760&lt;&gt;"ASTM A416"),L760,0),3)</f>
        <v/>
      </c>
      <c r="X760" s="20">
        <f>ROUND(X759+IF(AND(E760=28,F760&lt;&gt;"ASTM A416"),L760,0),3)</f>
        <v/>
      </c>
      <c r="Y760" s="20">
        <f>ROUND(Y759+IF(AND(E760=32,F760&lt;&gt;"ASTM A416"),L760,0),3)</f>
        <v/>
      </c>
      <c r="Z760" s="20">
        <f>ROUND(Z759+IF(F760="ASTM A416",L760,0),3)</f>
        <v/>
      </c>
      <c r="AA760" s="11">
        <f>IF(ROUNDUP(P760/20,0)&gt;ROUNDUP(P759/20,0),"Lần " &amp; ROUNDUP(P760/20,0),"")</f>
        <v/>
      </c>
      <c r="AB760" s="11">
        <f>IF(ROUNDUP(Q760/20,0)&gt;ROUNDUP(Q759/20,0),"Lần " &amp; ROUNDUP(Q760/20,0),"")</f>
        <v/>
      </c>
      <c r="AC760" s="11">
        <f>IF(ROUNDUP(R760/20,0)&gt;ROUNDUP(R759/20,0),"Lần " &amp; ROUNDUP(R760/20,0),"")</f>
        <v/>
      </c>
      <c r="AD760" s="11">
        <f>IF(ROUNDUP(S760/20,0)&gt;ROUNDUP(S759/20,0),"Lần " &amp; ROUNDUP(S760/20,0),"")</f>
        <v/>
      </c>
      <c r="AE760" s="11">
        <f>IF(ROUNDUP(T760/20,0)&gt;ROUNDUP(T759/20,0),"Lần " &amp; ROUNDUP(T760/20,0),"")</f>
        <v/>
      </c>
      <c r="AF760" s="11">
        <f>IF(ROUNDUP(U760/20,0)&gt;ROUNDUP(U759/20,0),"Lần " &amp; ROUNDUP(U760/20,0),"")</f>
        <v/>
      </c>
      <c r="AG760" s="11">
        <f>IF(ROUNDUP(V760/20,0)&gt;ROUNDUP(V759/20,0),"Lần " &amp; ROUNDUP(V760/20,0),"")</f>
        <v/>
      </c>
      <c r="AH760" s="11">
        <f>IF(ROUNDUP(W760/20,0)&gt;ROUNDUP(W759/20,0),"Lần " &amp; ROUNDUP(W760/20,0),"")</f>
        <v/>
      </c>
      <c r="AI760" s="11">
        <f>IF(ROUNDUP(X760/20,0)&gt;ROUNDUP(X759/20,0),"Lần " &amp; ROUNDUP(X760/20,0),"")</f>
        <v/>
      </c>
      <c r="AJ760" s="11">
        <f>IF(ROUNDUP(Y760/20,0)&gt;ROUNDUP(Y759/20,0),"Lần " &amp; ROUNDUP(Y760/20,0),"")</f>
        <v/>
      </c>
      <c r="AK760" s="11">
        <f>IF(ROUNDUP(Z760/20,0)&gt;ROUNDUP(Z759/20,0),"Lần " &amp; ROUNDUP(Z760/20,0),"")</f>
        <v/>
      </c>
      <c r="AL760" s="6" t="n"/>
      <c r="AN760" t="inlineStr">
        <is>
          <t>Coc</t>
        </is>
      </c>
      <c r="AO760" t="n">
        <v>26</v>
      </c>
    </row>
    <row r="761" ht="19" customHeight="1">
      <c r="A761" s="6" t="n">
        <v>722</v>
      </c>
      <c r="B761" s="7" t="inlineStr">
        <is>
          <t>Cọc khoan nhồi C4 Mố M2 (D1.2m, L=36.0m)</t>
        </is>
      </c>
      <c r="C761" s="7" t="inlineStr">
        <is>
          <t>Cọc mố M2 L=36m (tr.66)</t>
        </is>
      </c>
      <c r="D761" s="18" t="inlineStr">
        <is>
          <t>P4</t>
        </is>
      </c>
      <c r="E761" s="19" t="n">
        <v>28</v>
      </c>
      <c r="F761" s="6" t="inlineStr">
        <is>
          <t>CB400-V</t>
        </is>
      </c>
      <c r="G761" s="7" t="inlineStr"/>
      <c r="H761" s="20" t="n">
        <v>11.7</v>
      </c>
      <c r="I761" s="21" t="n">
        <v>12</v>
      </c>
      <c r="J761" s="22" t="n">
        <v>4.834</v>
      </c>
      <c r="K761" s="9">
        <f>ROUND(H761*I761*J761, 2)</f>
        <v/>
      </c>
      <c r="L761" s="23">
        <f>ROUND(K761/1000, 3)</f>
        <v/>
      </c>
      <c r="M761" s="8">
        <f>IF(AO761="","",IF(INDEX(Theo_Doi_Tan_Suat_Be_Tong!$C:$C,AO761)="","",INDEX(Theo_Doi_Tan_Suat_Be_Tong!$C:$C,AO761)-VLOOKUP(AN761,$AQ$2:$AR$7,2,FALSE)))</f>
        <v/>
      </c>
      <c r="N761" s="6" t="n"/>
      <c r="O761" s="24">
        <f>IF(ROUNDUP(X761/20,0)&gt;ROUNDUP(X760/20,0),"TN Ø28 (Lần " &amp; ROUNDUP(X761/20,0) &amp; ")","")</f>
        <v/>
      </c>
      <c r="P761" s="20">
        <f>ROUND(P760+IF(AND(E761&lt;=10,F761&lt;&gt;"ASTM A416"),L761,0),3)</f>
        <v/>
      </c>
      <c r="Q761" s="20">
        <f>ROUND(Q760+IF(AND(E761=12,F761&lt;&gt;"ASTM A416"),L761,0),3)</f>
        <v/>
      </c>
      <c r="R761" s="20">
        <f>ROUND(R760+IF(AND(E761=14,F761&lt;&gt;"ASTM A416"),L761,0),3)</f>
        <v/>
      </c>
      <c r="S761" s="20">
        <f>ROUND(S760+IF(AND(E761=16,F761&lt;&gt;"ASTM A416"),L761,0),3)</f>
        <v/>
      </c>
      <c r="T761" s="20">
        <f>ROUND(T760+IF(AND(E761=18,F761&lt;&gt;"ASTM A416"),L761,0),3)</f>
        <v/>
      </c>
      <c r="U761" s="20">
        <f>ROUND(U760+IF(AND(E761=20,F761&lt;&gt;"ASTM A416"),L761,0),3)</f>
        <v/>
      </c>
      <c r="V761" s="20">
        <f>ROUND(V760+IF(AND(E761=22,F761&lt;&gt;"ASTM A416"),L761,0),3)</f>
        <v/>
      </c>
      <c r="W761" s="20">
        <f>ROUND(W760+IF(AND(E761=25,F761&lt;&gt;"ASTM A416"),L761,0),3)</f>
        <v/>
      </c>
      <c r="X761" s="20">
        <f>ROUND(X760+IF(AND(E761=28,F761&lt;&gt;"ASTM A416"),L761,0),3)</f>
        <v/>
      </c>
      <c r="Y761" s="20">
        <f>ROUND(Y760+IF(AND(E761=32,F761&lt;&gt;"ASTM A416"),L761,0),3)</f>
        <v/>
      </c>
      <c r="Z761" s="20">
        <f>ROUND(Z760+IF(F761="ASTM A416",L761,0),3)</f>
        <v/>
      </c>
      <c r="AA761" s="11">
        <f>IF(ROUNDUP(P761/20,0)&gt;ROUNDUP(P760/20,0),"Lần " &amp; ROUNDUP(P761/20,0),"")</f>
        <v/>
      </c>
      <c r="AB761" s="11">
        <f>IF(ROUNDUP(Q761/20,0)&gt;ROUNDUP(Q760/20,0),"Lần " &amp; ROUNDUP(Q761/20,0),"")</f>
        <v/>
      </c>
      <c r="AC761" s="11">
        <f>IF(ROUNDUP(R761/20,0)&gt;ROUNDUP(R760/20,0),"Lần " &amp; ROUNDUP(R761/20,0),"")</f>
        <v/>
      </c>
      <c r="AD761" s="11">
        <f>IF(ROUNDUP(S761/20,0)&gt;ROUNDUP(S760/20,0),"Lần " &amp; ROUNDUP(S761/20,0),"")</f>
        <v/>
      </c>
      <c r="AE761" s="11">
        <f>IF(ROUNDUP(T761/20,0)&gt;ROUNDUP(T760/20,0),"Lần " &amp; ROUNDUP(T761/20,0),"")</f>
        <v/>
      </c>
      <c r="AF761" s="11">
        <f>IF(ROUNDUP(U761/20,0)&gt;ROUNDUP(U760/20,0),"Lần " &amp; ROUNDUP(U761/20,0),"")</f>
        <v/>
      </c>
      <c r="AG761" s="11">
        <f>IF(ROUNDUP(V761/20,0)&gt;ROUNDUP(V760/20,0),"Lần " &amp; ROUNDUP(V761/20,0),"")</f>
        <v/>
      </c>
      <c r="AH761" s="11">
        <f>IF(ROUNDUP(W761/20,0)&gt;ROUNDUP(W760/20,0),"Lần " &amp; ROUNDUP(W761/20,0),"")</f>
        <v/>
      </c>
      <c r="AI761" s="11">
        <f>IF(ROUNDUP(X761/20,0)&gt;ROUNDUP(X760/20,0),"Lần " &amp; ROUNDUP(X761/20,0),"")</f>
        <v/>
      </c>
      <c r="AJ761" s="11">
        <f>IF(ROUNDUP(Y761/20,0)&gt;ROUNDUP(Y760/20,0),"Lần " &amp; ROUNDUP(Y761/20,0),"")</f>
        <v/>
      </c>
      <c r="AK761" s="11">
        <f>IF(ROUNDUP(Z761/20,0)&gt;ROUNDUP(Z760/20,0),"Lần " &amp; ROUNDUP(Z761/20,0),"")</f>
        <v/>
      </c>
      <c r="AL761" s="6" t="n"/>
      <c r="AN761" t="inlineStr">
        <is>
          <t>Coc</t>
        </is>
      </c>
      <c r="AO761" t="n">
        <v>26</v>
      </c>
    </row>
    <row r="762" ht="19" customHeight="1">
      <c r="A762" s="6" t="n">
        <v>723</v>
      </c>
      <c r="B762" s="7" t="inlineStr">
        <is>
          <t>Cọc khoan nhồi C4 Mố M2 (D1.2m, L=36.0m)</t>
        </is>
      </c>
      <c r="C762" s="7" t="inlineStr">
        <is>
          <t>Cọc mố M2 L=36m (tr.66)</t>
        </is>
      </c>
      <c r="D762" s="18" t="inlineStr">
        <is>
          <t>P5</t>
        </is>
      </c>
      <c r="E762" s="19" t="n">
        <v>25</v>
      </c>
      <c r="F762" s="6" t="inlineStr">
        <is>
          <t>CB400-V</t>
        </is>
      </c>
      <c r="G762" s="7" t="inlineStr"/>
      <c r="H762" s="20" t="n">
        <v>11.7</v>
      </c>
      <c r="I762" s="21" t="n">
        <v>48</v>
      </c>
      <c r="J762" s="22" t="n">
        <v>3.853</v>
      </c>
      <c r="K762" s="9">
        <f>ROUND(H762*I762*J762, 2)</f>
        <v/>
      </c>
      <c r="L762" s="23">
        <f>ROUND(K762/1000, 3)</f>
        <v/>
      </c>
      <c r="M762" s="8">
        <f>IF(AO762="","",IF(INDEX(Theo_Doi_Tan_Suat_Be_Tong!$C:$C,AO762)="","",INDEX(Theo_Doi_Tan_Suat_Be_Tong!$C:$C,AO762)-VLOOKUP(AN762,$AQ$2:$AR$7,2,FALSE)))</f>
        <v/>
      </c>
      <c r="N762" s="6" t="n"/>
      <c r="O762" s="24">
        <f>IF(ROUNDUP(W762/20,0)&gt;ROUNDUP(W761/20,0),"TN Ø25 (Lần " &amp; ROUNDUP(W762/20,0) &amp; ")","")</f>
        <v/>
      </c>
      <c r="P762" s="20">
        <f>ROUND(P761+IF(AND(E762&lt;=10,F762&lt;&gt;"ASTM A416"),L762,0),3)</f>
        <v/>
      </c>
      <c r="Q762" s="20">
        <f>ROUND(Q761+IF(AND(E762=12,F762&lt;&gt;"ASTM A416"),L762,0),3)</f>
        <v/>
      </c>
      <c r="R762" s="20">
        <f>ROUND(R761+IF(AND(E762=14,F762&lt;&gt;"ASTM A416"),L762,0),3)</f>
        <v/>
      </c>
      <c r="S762" s="20">
        <f>ROUND(S761+IF(AND(E762=16,F762&lt;&gt;"ASTM A416"),L762,0),3)</f>
        <v/>
      </c>
      <c r="T762" s="20">
        <f>ROUND(T761+IF(AND(E762=18,F762&lt;&gt;"ASTM A416"),L762,0),3)</f>
        <v/>
      </c>
      <c r="U762" s="20">
        <f>ROUND(U761+IF(AND(E762=20,F762&lt;&gt;"ASTM A416"),L762,0),3)</f>
        <v/>
      </c>
      <c r="V762" s="20">
        <f>ROUND(V761+IF(AND(E762=22,F762&lt;&gt;"ASTM A416"),L762,0),3)</f>
        <v/>
      </c>
      <c r="W762" s="20">
        <f>ROUND(W761+IF(AND(E762=25,F762&lt;&gt;"ASTM A416"),L762,0),3)</f>
        <v/>
      </c>
      <c r="X762" s="20">
        <f>ROUND(X761+IF(AND(E762=28,F762&lt;&gt;"ASTM A416"),L762,0),3)</f>
        <v/>
      </c>
      <c r="Y762" s="20">
        <f>ROUND(Y761+IF(AND(E762=32,F762&lt;&gt;"ASTM A416"),L762,0),3)</f>
        <v/>
      </c>
      <c r="Z762" s="20">
        <f>ROUND(Z761+IF(F762="ASTM A416",L762,0),3)</f>
        <v/>
      </c>
      <c r="AA762" s="11">
        <f>IF(ROUNDUP(P762/20,0)&gt;ROUNDUP(P761/20,0),"Lần " &amp; ROUNDUP(P762/20,0),"")</f>
        <v/>
      </c>
      <c r="AB762" s="11">
        <f>IF(ROUNDUP(Q762/20,0)&gt;ROUNDUP(Q761/20,0),"Lần " &amp; ROUNDUP(Q762/20,0),"")</f>
        <v/>
      </c>
      <c r="AC762" s="11">
        <f>IF(ROUNDUP(R762/20,0)&gt;ROUNDUP(R761/20,0),"Lần " &amp; ROUNDUP(R762/20,0),"")</f>
        <v/>
      </c>
      <c r="AD762" s="11">
        <f>IF(ROUNDUP(S762/20,0)&gt;ROUNDUP(S761/20,0),"Lần " &amp; ROUNDUP(S762/20,0),"")</f>
        <v/>
      </c>
      <c r="AE762" s="11">
        <f>IF(ROUNDUP(T762/20,0)&gt;ROUNDUP(T761/20,0),"Lần " &amp; ROUNDUP(T762/20,0),"")</f>
        <v/>
      </c>
      <c r="AF762" s="11">
        <f>IF(ROUNDUP(U762/20,0)&gt;ROUNDUP(U761/20,0),"Lần " &amp; ROUNDUP(U762/20,0),"")</f>
        <v/>
      </c>
      <c r="AG762" s="11">
        <f>IF(ROUNDUP(V762/20,0)&gt;ROUNDUP(V761/20,0),"Lần " &amp; ROUNDUP(V762/20,0),"")</f>
        <v/>
      </c>
      <c r="AH762" s="11">
        <f>IF(ROUNDUP(W762/20,0)&gt;ROUNDUP(W761/20,0),"Lần " &amp; ROUNDUP(W762/20,0),"")</f>
        <v/>
      </c>
      <c r="AI762" s="11">
        <f>IF(ROUNDUP(X762/20,0)&gt;ROUNDUP(X761/20,0),"Lần " &amp; ROUNDUP(X762/20,0),"")</f>
        <v/>
      </c>
      <c r="AJ762" s="11">
        <f>IF(ROUNDUP(Y762/20,0)&gt;ROUNDUP(Y761/20,0),"Lần " &amp; ROUNDUP(Y762/20,0),"")</f>
        <v/>
      </c>
      <c r="AK762" s="11">
        <f>IF(ROUNDUP(Z762/20,0)&gt;ROUNDUP(Z761/20,0),"Lần " &amp; ROUNDUP(Z762/20,0),"")</f>
        <v/>
      </c>
      <c r="AL762" s="6" t="n"/>
      <c r="AN762" t="inlineStr">
        <is>
          <t>Coc</t>
        </is>
      </c>
      <c r="AO762" t="n">
        <v>26</v>
      </c>
    </row>
    <row r="763" ht="19" customHeight="1">
      <c r="A763" s="6" t="n">
        <v>724</v>
      </c>
      <c r="B763" s="7" t="inlineStr">
        <is>
          <t>Cọc khoan nhồi C4 Mố M2 (D1.2m, L=36.0m)</t>
        </is>
      </c>
      <c r="C763" s="7" t="inlineStr">
        <is>
          <t>Cọc mố M2 L=36m (tr.66)</t>
        </is>
      </c>
      <c r="D763" s="18" t="inlineStr">
        <is>
          <t>P6</t>
        </is>
      </c>
      <c r="E763" s="19" t="n">
        <v>25</v>
      </c>
      <c r="F763" s="6" t="inlineStr">
        <is>
          <t>CB400-V</t>
        </is>
      </c>
      <c r="G763" s="7" t="inlineStr"/>
      <c r="H763" s="20" t="n">
        <v>5.153</v>
      </c>
      <c r="I763" s="21" t="n">
        <v>12</v>
      </c>
      <c r="J763" s="22" t="n">
        <v>3.853</v>
      </c>
      <c r="K763" s="9">
        <f>ROUND(H763*I763*J763, 2)</f>
        <v/>
      </c>
      <c r="L763" s="23">
        <f>ROUND(K763/1000, 3)</f>
        <v/>
      </c>
      <c r="M763" s="8">
        <f>IF(AO763="","",IF(INDEX(Theo_Doi_Tan_Suat_Be_Tong!$C:$C,AO763)="","",INDEX(Theo_Doi_Tan_Suat_Be_Tong!$C:$C,AO763)-VLOOKUP(AN763,$AQ$2:$AR$7,2,FALSE)))</f>
        <v/>
      </c>
      <c r="N763" s="6" t="n"/>
      <c r="O763" s="24">
        <f>IF(ROUNDUP(W763/20,0)&gt;ROUNDUP(W762/20,0),"TN Ø25 (Lần " &amp; ROUNDUP(W763/20,0) &amp; ")","")</f>
        <v/>
      </c>
      <c r="P763" s="20">
        <f>ROUND(P762+IF(AND(E763&lt;=10,F763&lt;&gt;"ASTM A416"),L763,0),3)</f>
        <v/>
      </c>
      <c r="Q763" s="20">
        <f>ROUND(Q762+IF(AND(E763=12,F763&lt;&gt;"ASTM A416"),L763,0),3)</f>
        <v/>
      </c>
      <c r="R763" s="20">
        <f>ROUND(R762+IF(AND(E763=14,F763&lt;&gt;"ASTM A416"),L763,0),3)</f>
        <v/>
      </c>
      <c r="S763" s="20">
        <f>ROUND(S762+IF(AND(E763=16,F763&lt;&gt;"ASTM A416"),L763,0),3)</f>
        <v/>
      </c>
      <c r="T763" s="20">
        <f>ROUND(T762+IF(AND(E763=18,F763&lt;&gt;"ASTM A416"),L763,0),3)</f>
        <v/>
      </c>
      <c r="U763" s="20">
        <f>ROUND(U762+IF(AND(E763=20,F763&lt;&gt;"ASTM A416"),L763,0),3)</f>
        <v/>
      </c>
      <c r="V763" s="20">
        <f>ROUND(V762+IF(AND(E763=22,F763&lt;&gt;"ASTM A416"),L763,0),3)</f>
        <v/>
      </c>
      <c r="W763" s="20">
        <f>ROUND(W762+IF(AND(E763=25,F763&lt;&gt;"ASTM A416"),L763,0),3)</f>
        <v/>
      </c>
      <c r="X763" s="20">
        <f>ROUND(X762+IF(AND(E763=28,F763&lt;&gt;"ASTM A416"),L763,0),3)</f>
        <v/>
      </c>
      <c r="Y763" s="20">
        <f>ROUND(Y762+IF(AND(E763=32,F763&lt;&gt;"ASTM A416"),L763,0),3)</f>
        <v/>
      </c>
      <c r="Z763" s="20">
        <f>ROUND(Z762+IF(F763="ASTM A416",L763,0),3)</f>
        <v/>
      </c>
      <c r="AA763" s="11">
        <f>IF(ROUNDUP(P763/20,0)&gt;ROUNDUP(P762/20,0),"Lần " &amp; ROUNDUP(P763/20,0),"")</f>
        <v/>
      </c>
      <c r="AB763" s="11">
        <f>IF(ROUNDUP(Q763/20,0)&gt;ROUNDUP(Q762/20,0),"Lần " &amp; ROUNDUP(Q763/20,0),"")</f>
        <v/>
      </c>
      <c r="AC763" s="11">
        <f>IF(ROUNDUP(R763/20,0)&gt;ROUNDUP(R762/20,0),"Lần " &amp; ROUNDUP(R763/20,0),"")</f>
        <v/>
      </c>
      <c r="AD763" s="11">
        <f>IF(ROUNDUP(S763/20,0)&gt;ROUNDUP(S762/20,0),"Lần " &amp; ROUNDUP(S763/20,0),"")</f>
        <v/>
      </c>
      <c r="AE763" s="11">
        <f>IF(ROUNDUP(T763/20,0)&gt;ROUNDUP(T762/20,0),"Lần " &amp; ROUNDUP(T763/20,0),"")</f>
        <v/>
      </c>
      <c r="AF763" s="11">
        <f>IF(ROUNDUP(U763/20,0)&gt;ROUNDUP(U762/20,0),"Lần " &amp; ROUNDUP(U763/20,0),"")</f>
        <v/>
      </c>
      <c r="AG763" s="11">
        <f>IF(ROUNDUP(V763/20,0)&gt;ROUNDUP(V762/20,0),"Lần " &amp; ROUNDUP(V763/20,0),"")</f>
        <v/>
      </c>
      <c r="AH763" s="11">
        <f>IF(ROUNDUP(W763/20,0)&gt;ROUNDUP(W762/20,0),"Lần " &amp; ROUNDUP(W763/20,0),"")</f>
        <v/>
      </c>
      <c r="AI763" s="11">
        <f>IF(ROUNDUP(X763/20,0)&gt;ROUNDUP(X762/20,0),"Lần " &amp; ROUNDUP(X763/20,0),"")</f>
        <v/>
      </c>
      <c r="AJ763" s="11">
        <f>IF(ROUNDUP(Y763/20,0)&gt;ROUNDUP(Y762/20,0),"Lần " &amp; ROUNDUP(Y763/20,0),"")</f>
        <v/>
      </c>
      <c r="AK763" s="11">
        <f>IF(ROUNDUP(Z763/20,0)&gt;ROUNDUP(Z762/20,0),"Lần " &amp; ROUNDUP(Z763/20,0),"")</f>
        <v/>
      </c>
      <c r="AL763" s="6" t="n"/>
      <c r="AN763" t="inlineStr">
        <is>
          <t>Coc</t>
        </is>
      </c>
      <c r="AO763" t="n">
        <v>26</v>
      </c>
    </row>
    <row r="764" ht="19" customHeight="1">
      <c r="A764" s="6" t="n">
        <v>725</v>
      </c>
      <c r="B764" s="7" t="inlineStr">
        <is>
          <t>Cọc khoan nhồi C4 Mố M2 (D1.2m, L=36.0m)</t>
        </is>
      </c>
      <c r="C764" s="7" t="inlineStr">
        <is>
          <t>Cọc mố M2 L=36m (tr.66)</t>
        </is>
      </c>
      <c r="D764" s="18" t="inlineStr">
        <is>
          <t>P7</t>
        </is>
      </c>
      <c r="E764" s="19" t="n">
        <v>25</v>
      </c>
      <c r="F764" s="6" t="inlineStr">
        <is>
          <t>CB400-V</t>
        </is>
      </c>
      <c r="G764" s="7" t="inlineStr"/>
      <c r="H764" s="20" t="n">
        <v>6.153</v>
      </c>
      <c r="I764" s="21" t="n">
        <v>12</v>
      </c>
      <c r="J764" s="22" t="n">
        <v>3.853</v>
      </c>
      <c r="K764" s="9">
        <f>ROUND(H764*I764*J764, 2)</f>
        <v/>
      </c>
      <c r="L764" s="23">
        <f>ROUND(K764/1000, 3)</f>
        <v/>
      </c>
      <c r="M764" s="8">
        <f>IF(AO764="","",IF(INDEX(Theo_Doi_Tan_Suat_Be_Tong!$C:$C,AO764)="","",INDEX(Theo_Doi_Tan_Suat_Be_Tong!$C:$C,AO764)-VLOOKUP(AN764,$AQ$2:$AR$7,2,FALSE)))</f>
        <v/>
      </c>
      <c r="N764" s="6" t="n"/>
      <c r="O764" s="24">
        <f>IF(ROUNDUP(W764/20,0)&gt;ROUNDUP(W763/20,0),"TN Ø25 (Lần " &amp; ROUNDUP(W764/20,0) &amp; ")","")</f>
        <v/>
      </c>
      <c r="P764" s="20">
        <f>ROUND(P763+IF(AND(E764&lt;=10,F764&lt;&gt;"ASTM A416"),L764,0),3)</f>
        <v/>
      </c>
      <c r="Q764" s="20">
        <f>ROUND(Q763+IF(AND(E764=12,F764&lt;&gt;"ASTM A416"),L764,0),3)</f>
        <v/>
      </c>
      <c r="R764" s="20">
        <f>ROUND(R763+IF(AND(E764=14,F764&lt;&gt;"ASTM A416"),L764,0),3)</f>
        <v/>
      </c>
      <c r="S764" s="20">
        <f>ROUND(S763+IF(AND(E764=16,F764&lt;&gt;"ASTM A416"),L764,0),3)</f>
        <v/>
      </c>
      <c r="T764" s="20">
        <f>ROUND(T763+IF(AND(E764=18,F764&lt;&gt;"ASTM A416"),L764,0),3)</f>
        <v/>
      </c>
      <c r="U764" s="20">
        <f>ROUND(U763+IF(AND(E764=20,F764&lt;&gt;"ASTM A416"),L764,0),3)</f>
        <v/>
      </c>
      <c r="V764" s="20">
        <f>ROUND(V763+IF(AND(E764=22,F764&lt;&gt;"ASTM A416"),L764,0),3)</f>
        <v/>
      </c>
      <c r="W764" s="20">
        <f>ROUND(W763+IF(AND(E764=25,F764&lt;&gt;"ASTM A416"),L764,0),3)</f>
        <v/>
      </c>
      <c r="X764" s="20">
        <f>ROUND(X763+IF(AND(E764=28,F764&lt;&gt;"ASTM A416"),L764,0),3)</f>
        <v/>
      </c>
      <c r="Y764" s="20">
        <f>ROUND(Y763+IF(AND(E764=32,F764&lt;&gt;"ASTM A416"),L764,0),3)</f>
        <v/>
      </c>
      <c r="Z764" s="20">
        <f>ROUND(Z763+IF(F764="ASTM A416",L764,0),3)</f>
        <v/>
      </c>
      <c r="AA764" s="11">
        <f>IF(ROUNDUP(P764/20,0)&gt;ROUNDUP(P763/20,0),"Lần " &amp; ROUNDUP(P764/20,0),"")</f>
        <v/>
      </c>
      <c r="AB764" s="11">
        <f>IF(ROUNDUP(Q764/20,0)&gt;ROUNDUP(Q763/20,0),"Lần " &amp; ROUNDUP(Q764/20,0),"")</f>
        <v/>
      </c>
      <c r="AC764" s="11">
        <f>IF(ROUNDUP(R764/20,0)&gt;ROUNDUP(R763/20,0),"Lần " &amp; ROUNDUP(R764/20,0),"")</f>
        <v/>
      </c>
      <c r="AD764" s="11">
        <f>IF(ROUNDUP(S764/20,0)&gt;ROUNDUP(S763/20,0),"Lần " &amp; ROUNDUP(S764/20,0),"")</f>
        <v/>
      </c>
      <c r="AE764" s="11">
        <f>IF(ROUNDUP(T764/20,0)&gt;ROUNDUP(T763/20,0),"Lần " &amp; ROUNDUP(T764/20,0),"")</f>
        <v/>
      </c>
      <c r="AF764" s="11">
        <f>IF(ROUNDUP(U764/20,0)&gt;ROUNDUP(U763/20,0),"Lần " &amp; ROUNDUP(U764/20,0),"")</f>
        <v/>
      </c>
      <c r="AG764" s="11">
        <f>IF(ROUNDUP(V764/20,0)&gt;ROUNDUP(V763/20,0),"Lần " &amp; ROUNDUP(V764/20,0),"")</f>
        <v/>
      </c>
      <c r="AH764" s="11">
        <f>IF(ROUNDUP(W764/20,0)&gt;ROUNDUP(W763/20,0),"Lần " &amp; ROUNDUP(W764/20,0),"")</f>
        <v/>
      </c>
      <c r="AI764" s="11">
        <f>IF(ROUNDUP(X764/20,0)&gt;ROUNDUP(X763/20,0),"Lần " &amp; ROUNDUP(X764/20,0),"")</f>
        <v/>
      </c>
      <c r="AJ764" s="11">
        <f>IF(ROUNDUP(Y764/20,0)&gt;ROUNDUP(Y763/20,0),"Lần " &amp; ROUNDUP(Y764/20,0),"")</f>
        <v/>
      </c>
      <c r="AK764" s="11">
        <f>IF(ROUNDUP(Z764/20,0)&gt;ROUNDUP(Z763/20,0),"Lần " &amp; ROUNDUP(Z764/20,0),"")</f>
        <v/>
      </c>
      <c r="AL764" s="6" t="n"/>
      <c r="AN764" t="inlineStr">
        <is>
          <t>Coc</t>
        </is>
      </c>
      <c r="AO764" t="n">
        <v>26</v>
      </c>
    </row>
    <row r="765" ht="19" customHeight="1">
      <c r="A765" s="6" t="n">
        <v>726</v>
      </c>
      <c r="B765" s="7" t="inlineStr">
        <is>
          <t>Cọc khoan nhồi C4 Mố M2 (D1.2m, L=36.0m)</t>
        </is>
      </c>
      <c r="C765" s="7" t="inlineStr">
        <is>
          <t>Cọc mố M2 L=36m (tr.66)</t>
        </is>
      </c>
      <c r="D765" s="18" t="inlineStr">
        <is>
          <t>P8</t>
        </is>
      </c>
      <c r="E765" s="19" t="n">
        <v>12</v>
      </c>
      <c r="F765" s="6" t="inlineStr">
        <is>
          <t>CB400-V</t>
        </is>
      </c>
      <c r="G765" s="7" t="inlineStr"/>
      <c r="H765" s="20" t="n">
        <v>0.647</v>
      </c>
      <c r="I765" s="21" t="n">
        <v>15</v>
      </c>
      <c r="J765" s="22" t="n">
        <v>0.888</v>
      </c>
      <c r="K765" s="9">
        <f>ROUND(H765*I765*J765, 2)</f>
        <v/>
      </c>
      <c r="L765" s="23">
        <f>ROUND(K765/1000, 3)</f>
        <v/>
      </c>
      <c r="M765" s="8">
        <f>IF(AO765="","",IF(INDEX(Theo_Doi_Tan_Suat_Be_Tong!$C:$C,AO765)="","",INDEX(Theo_Doi_Tan_Suat_Be_Tong!$C:$C,AO765)-VLOOKUP(AN765,$AQ$2:$AR$7,2,FALSE)))</f>
        <v/>
      </c>
      <c r="N765" s="6" t="n"/>
      <c r="O765" s="24">
        <f>IF(ROUNDUP(Q765/20,0)&gt;ROUNDUP(Q764/20,0),"TN Ø12 (Lần " &amp; ROUNDUP(Q765/20,0) &amp; ")","")</f>
        <v/>
      </c>
      <c r="P765" s="20">
        <f>ROUND(P764+IF(AND(E765&lt;=10,F765&lt;&gt;"ASTM A416"),L765,0),3)</f>
        <v/>
      </c>
      <c r="Q765" s="20">
        <f>ROUND(Q764+IF(AND(E765=12,F765&lt;&gt;"ASTM A416"),L765,0),3)</f>
        <v/>
      </c>
      <c r="R765" s="20">
        <f>ROUND(R764+IF(AND(E765=14,F765&lt;&gt;"ASTM A416"),L765,0),3)</f>
        <v/>
      </c>
      <c r="S765" s="20">
        <f>ROUND(S764+IF(AND(E765=16,F765&lt;&gt;"ASTM A416"),L765,0),3)</f>
        <v/>
      </c>
      <c r="T765" s="20">
        <f>ROUND(T764+IF(AND(E765=18,F765&lt;&gt;"ASTM A416"),L765,0),3)</f>
        <v/>
      </c>
      <c r="U765" s="20">
        <f>ROUND(U764+IF(AND(E765=20,F765&lt;&gt;"ASTM A416"),L765,0),3)</f>
        <v/>
      </c>
      <c r="V765" s="20">
        <f>ROUND(V764+IF(AND(E765=22,F765&lt;&gt;"ASTM A416"),L765,0),3)</f>
        <v/>
      </c>
      <c r="W765" s="20">
        <f>ROUND(W764+IF(AND(E765=25,F765&lt;&gt;"ASTM A416"),L765,0),3)</f>
        <v/>
      </c>
      <c r="X765" s="20">
        <f>ROUND(X764+IF(AND(E765=28,F765&lt;&gt;"ASTM A416"),L765,0),3)</f>
        <v/>
      </c>
      <c r="Y765" s="20">
        <f>ROUND(Y764+IF(AND(E765=32,F765&lt;&gt;"ASTM A416"),L765,0),3)</f>
        <v/>
      </c>
      <c r="Z765" s="20">
        <f>ROUND(Z764+IF(F765="ASTM A416",L765,0),3)</f>
        <v/>
      </c>
      <c r="AA765" s="11">
        <f>IF(ROUNDUP(P765/20,0)&gt;ROUNDUP(P764/20,0),"Lần " &amp; ROUNDUP(P765/20,0),"")</f>
        <v/>
      </c>
      <c r="AB765" s="11">
        <f>IF(ROUNDUP(Q765/20,0)&gt;ROUNDUP(Q764/20,0),"Lần " &amp; ROUNDUP(Q765/20,0),"")</f>
        <v/>
      </c>
      <c r="AC765" s="11">
        <f>IF(ROUNDUP(R765/20,0)&gt;ROUNDUP(R764/20,0),"Lần " &amp; ROUNDUP(R765/20,0),"")</f>
        <v/>
      </c>
      <c r="AD765" s="11">
        <f>IF(ROUNDUP(S765/20,0)&gt;ROUNDUP(S764/20,0),"Lần " &amp; ROUNDUP(S765/20,0),"")</f>
        <v/>
      </c>
      <c r="AE765" s="11">
        <f>IF(ROUNDUP(T765/20,0)&gt;ROUNDUP(T764/20,0),"Lần " &amp; ROUNDUP(T765/20,0),"")</f>
        <v/>
      </c>
      <c r="AF765" s="11">
        <f>IF(ROUNDUP(U765/20,0)&gt;ROUNDUP(U764/20,0),"Lần " &amp; ROUNDUP(U765/20,0),"")</f>
        <v/>
      </c>
      <c r="AG765" s="11">
        <f>IF(ROUNDUP(V765/20,0)&gt;ROUNDUP(V764/20,0),"Lần " &amp; ROUNDUP(V765/20,0),"")</f>
        <v/>
      </c>
      <c r="AH765" s="11">
        <f>IF(ROUNDUP(W765/20,0)&gt;ROUNDUP(W764/20,0),"Lần " &amp; ROUNDUP(W765/20,0),"")</f>
        <v/>
      </c>
      <c r="AI765" s="11">
        <f>IF(ROUNDUP(X765/20,0)&gt;ROUNDUP(X764/20,0),"Lần " &amp; ROUNDUP(X765/20,0),"")</f>
        <v/>
      </c>
      <c r="AJ765" s="11">
        <f>IF(ROUNDUP(Y765/20,0)&gt;ROUNDUP(Y764/20,0),"Lần " &amp; ROUNDUP(Y765/20,0),"")</f>
        <v/>
      </c>
      <c r="AK765" s="11">
        <f>IF(ROUNDUP(Z765/20,0)&gt;ROUNDUP(Z764/20,0),"Lần " &amp; ROUNDUP(Z765/20,0),"")</f>
        <v/>
      </c>
      <c r="AL765" s="6" t="n"/>
      <c r="AN765" t="inlineStr">
        <is>
          <t>Coc</t>
        </is>
      </c>
      <c r="AO765" t="n">
        <v>26</v>
      </c>
    </row>
    <row r="766" ht="19" customHeight="1">
      <c r="A766" s="6" t="n">
        <v>727</v>
      </c>
      <c r="B766" s="7" t="inlineStr">
        <is>
          <t>Cọc khoan nhồi C4 Mố M2 (D1.2m, L=36.0m)</t>
        </is>
      </c>
      <c r="C766" s="7" t="inlineStr">
        <is>
          <t>Cọc mố M2 L=36m (tr.66)</t>
        </is>
      </c>
      <c r="D766" s="18" t="inlineStr">
        <is>
          <t>P9</t>
        </is>
      </c>
      <c r="E766" s="19" t="n">
        <v>12</v>
      </c>
      <c r="F766" s="6" t="inlineStr">
        <is>
          <t>CB400-V</t>
        </is>
      </c>
      <c r="G766" s="7" t="inlineStr"/>
      <c r="H766" s="20" t="n">
        <v>0.379</v>
      </c>
      <c r="I766" s="21" t="n">
        <v>45</v>
      </c>
      <c r="J766" s="22" t="n">
        <v>0.888</v>
      </c>
      <c r="K766" s="9">
        <f>ROUND(H766*I766*J766, 2)</f>
        <v/>
      </c>
      <c r="L766" s="23">
        <f>ROUND(K766/1000, 3)</f>
        <v/>
      </c>
      <c r="M766" s="8">
        <f>IF(AO766="","",IF(INDEX(Theo_Doi_Tan_Suat_Be_Tong!$C:$C,AO766)="","",INDEX(Theo_Doi_Tan_Suat_Be_Tong!$C:$C,AO766)-VLOOKUP(AN766,$AQ$2:$AR$7,2,FALSE)))</f>
        <v/>
      </c>
      <c r="N766" s="6" t="n"/>
      <c r="O766" s="24">
        <f>IF(ROUNDUP(Q766/20,0)&gt;ROUNDUP(Q765/20,0),"TN Ø12 (Lần " &amp; ROUNDUP(Q766/20,0) &amp; ")","")</f>
        <v/>
      </c>
      <c r="P766" s="20">
        <f>ROUND(P765+IF(AND(E766&lt;=10,F766&lt;&gt;"ASTM A416"),L766,0),3)</f>
        <v/>
      </c>
      <c r="Q766" s="20">
        <f>ROUND(Q765+IF(AND(E766=12,F766&lt;&gt;"ASTM A416"),L766,0),3)</f>
        <v/>
      </c>
      <c r="R766" s="20">
        <f>ROUND(R765+IF(AND(E766=14,F766&lt;&gt;"ASTM A416"),L766,0),3)</f>
        <v/>
      </c>
      <c r="S766" s="20">
        <f>ROUND(S765+IF(AND(E766=16,F766&lt;&gt;"ASTM A416"),L766,0),3)</f>
        <v/>
      </c>
      <c r="T766" s="20">
        <f>ROUND(T765+IF(AND(E766=18,F766&lt;&gt;"ASTM A416"),L766,0),3)</f>
        <v/>
      </c>
      <c r="U766" s="20">
        <f>ROUND(U765+IF(AND(E766=20,F766&lt;&gt;"ASTM A416"),L766,0),3)</f>
        <v/>
      </c>
      <c r="V766" s="20">
        <f>ROUND(V765+IF(AND(E766=22,F766&lt;&gt;"ASTM A416"),L766,0),3)</f>
        <v/>
      </c>
      <c r="W766" s="20">
        <f>ROUND(W765+IF(AND(E766=25,F766&lt;&gt;"ASTM A416"),L766,0),3)</f>
        <v/>
      </c>
      <c r="X766" s="20">
        <f>ROUND(X765+IF(AND(E766=28,F766&lt;&gt;"ASTM A416"),L766,0),3)</f>
        <v/>
      </c>
      <c r="Y766" s="20">
        <f>ROUND(Y765+IF(AND(E766=32,F766&lt;&gt;"ASTM A416"),L766,0),3)</f>
        <v/>
      </c>
      <c r="Z766" s="20">
        <f>ROUND(Z765+IF(F766="ASTM A416",L766,0),3)</f>
        <v/>
      </c>
      <c r="AA766" s="11">
        <f>IF(ROUNDUP(P766/20,0)&gt;ROUNDUP(P765/20,0),"Lần " &amp; ROUNDUP(P766/20,0),"")</f>
        <v/>
      </c>
      <c r="AB766" s="11">
        <f>IF(ROUNDUP(Q766/20,0)&gt;ROUNDUP(Q765/20,0),"Lần " &amp; ROUNDUP(Q766/20,0),"")</f>
        <v/>
      </c>
      <c r="AC766" s="11">
        <f>IF(ROUNDUP(R766/20,0)&gt;ROUNDUP(R765/20,0),"Lần " &amp; ROUNDUP(R766/20,0),"")</f>
        <v/>
      </c>
      <c r="AD766" s="11">
        <f>IF(ROUNDUP(S766/20,0)&gt;ROUNDUP(S765/20,0),"Lần " &amp; ROUNDUP(S766/20,0),"")</f>
        <v/>
      </c>
      <c r="AE766" s="11">
        <f>IF(ROUNDUP(T766/20,0)&gt;ROUNDUP(T765/20,0),"Lần " &amp; ROUNDUP(T766/20,0),"")</f>
        <v/>
      </c>
      <c r="AF766" s="11">
        <f>IF(ROUNDUP(U766/20,0)&gt;ROUNDUP(U765/20,0),"Lần " &amp; ROUNDUP(U766/20,0),"")</f>
        <v/>
      </c>
      <c r="AG766" s="11">
        <f>IF(ROUNDUP(V766/20,0)&gt;ROUNDUP(V765/20,0),"Lần " &amp; ROUNDUP(V766/20,0),"")</f>
        <v/>
      </c>
      <c r="AH766" s="11">
        <f>IF(ROUNDUP(W766/20,0)&gt;ROUNDUP(W765/20,0),"Lần " &amp; ROUNDUP(W766/20,0),"")</f>
        <v/>
      </c>
      <c r="AI766" s="11">
        <f>IF(ROUNDUP(X766/20,0)&gt;ROUNDUP(X765/20,0),"Lần " &amp; ROUNDUP(X766/20,0),"")</f>
        <v/>
      </c>
      <c r="AJ766" s="11">
        <f>IF(ROUNDUP(Y766/20,0)&gt;ROUNDUP(Y765/20,0),"Lần " &amp; ROUNDUP(Y766/20,0),"")</f>
        <v/>
      </c>
      <c r="AK766" s="11">
        <f>IF(ROUNDUP(Z766/20,0)&gt;ROUNDUP(Z765/20,0),"Lần " &amp; ROUNDUP(Z766/20,0),"")</f>
        <v/>
      </c>
      <c r="AL766" s="6" t="n"/>
      <c r="AN766" t="inlineStr">
        <is>
          <t>Coc</t>
        </is>
      </c>
      <c r="AO766" t="n">
        <v>26</v>
      </c>
    </row>
    <row r="767" ht="19" customHeight="1">
      <c r="A767" s="6" t="n">
        <v>728</v>
      </c>
      <c r="B767" s="7" t="inlineStr">
        <is>
          <t>Cọc khoan nhồi C4 Mố M2 (D1.2m, L=36.0m)</t>
        </is>
      </c>
      <c r="C767" s="7" t="inlineStr">
        <is>
          <t>Cọc mố M2 L=36m (tr.66)</t>
        </is>
      </c>
      <c r="D767" s="18" t="inlineStr">
        <is>
          <t>P10</t>
        </is>
      </c>
      <c r="E767" s="19" t="n">
        <v>20</v>
      </c>
      <c r="F767" s="6" t="inlineStr">
        <is>
          <t>CB400-V</t>
        </is>
      </c>
      <c r="G767" s="7" t="inlineStr"/>
      <c r="H767" s="20" t="n">
        <v>2.057</v>
      </c>
      <c r="I767" s="21" t="n">
        <v>1</v>
      </c>
      <c r="J767" s="22" t="n">
        <v>2.466</v>
      </c>
      <c r="K767" s="9">
        <f>ROUND(H767*I767*J767, 2)</f>
        <v/>
      </c>
      <c r="L767" s="23">
        <f>ROUND(K767/1000, 3)</f>
        <v/>
      </c>
      <c r="M767" s="8">
        <f>IF(AO767="","",IF(INDEX(Theo_Doi_Tan_Suat_Be_Tong!$C:$C,AO767)="","",INDEX(Theo_Doi_Tan_Suat_Be_Tong!$C:$C,AO767)-VLOOKUP(AN767,$AQ$2:$AR$7,2,FALSE)))</f>
        <v/>
      </c>
      <c r="N767" s="6" t="n"/>
      <c r="O767" s="24">
        <f>IF(ROUNDUP(U767/20,0)&gt;ROUNDUP(U766/20,0),"TN Ø20 (Lần " &amp; ROUNDUP(U767/20,0) &amp; ")","")</f>
        <v/>
      </c>
      <c r="P767" s="20">
        <f>ROUND(P766+IF(AND(E767&lt;=10,F767&lt;&gt;"ASTM A416"),L767,0),3)</f>
        <v/>
      </c>
      <c r="Q767" s="20">
        <f>ROUND(Q766+IF(AND(E767=12,F767&lt;&gt;"ASTM A416"),L767,0),3)</f>
        <v/>
      </c>
      <c r="R767" s="20">
        <f>ROUND(R766+IF(AND(E767=14,F767&lt;&gt;"ASTM A416"),L767,0),3)</f>
        <v/>
      </c>
      <c r="S767" s="20">
        <f>ROUND(S766+IF(AND(E767=16,F767&lt;&gt;"ASTM A416"),L767,0),3)</f>
        <v/>
      </c>
      <c r="T767" s="20">
        <f>ROUND(T766+IF(AND(E767=18,F767&lt;&gt;"ASTM A416"),L767,0),3)</f>
        <v/>
      </c>
      <c r="U767" s="20">
        <f>ROUND(U766+IF(AND(E767=20,F767&lt;&gt;"ASTM A416"),L767,0),3)</f>
        <v/>
      </c>
      <c r="V767" s="20">
        <f>ROUND(V766+IF(AND(E767=22,F767&lt;&gt;"ASTM A416"),L767,0),3)</f>
        <v/>
      </c>
      <c r="W767" s="20">
        <f>ROUND(W766+IF(AND(E767=25,F767&lt;&gt;"ASTM A416"),L767,0),3)</f>
        <v/>
      </c>
      <c r="X767" s="20">
        <f>ROUND(X766+IF(AND(E767=28,F767&lt;&gt;"ASTM A416"),L767,0),3)</f>
        <v/>
      </c>
      <c r="Y767" s="20">
        <f>ROUND(Y766+IF(AND(E767=32,F767&lt;&gt;"ASTM A416"),L767,0),3)</f>
        <v/>
      </c>
      <c r="Z767" s="20">
        <f>ROUND(Z766+IF(F767="ASTM A416",L767,0),3)</f>
        <v/>
      </c>
      <c r="AA767" s="11">
        <f>IF(ROUNDUP(P767/20,0)&gt;ROUNDUP(P766/20,0),"Lần " &amp; ROUNDUP(P767/20,0),"")</f>
        <v/>
      </c>
      <c r="AB767" s="11">
        <f>IF(ROUNDUP(Q767/20,0)&gt;ROUNDUP(Q766/20,0),"Lần " &amp; ROUNDUP(Q767/20,0),"")</f>
        <v/>
      </c>
      <c r="AC767" s="11">
        <f>IF(ROUNDUP(R767/20,0)&gt;ROUNDUP(R766/20,0),"Lần " &amp; ROUNDUP(R767/20,0),"")</f>
        <v/>
      </c>
      <c r="AD767" s="11">
        <f>IF(ROUNDUP(S767/20,0)&gt;ROUNDUP(S766/20,0),"Lần " &amp; ROUNDUP(S767/20,0),"")</f>
        <v/>
      </c>
      <c r="AE767" s="11">
        <f>IF(ROUNDUP(T767/20,0)&gt;ROUNDUP(T766/20,0),"Lần " &amp; ROUNDUP(T767/20,0),"")</f>
        <v/>
      </c>
      <c r="AF767" s="11">
        <f>IF(ROUNDUP(U767/20,0)&gt;ROUNDUP(U766/20,0),"Lần " &amp; ROUNDUP(U767/20,0),"")</f>
        <v/>
      </c>
      <c r="AG767" s="11">
        <f>IF(ROUNDUP(V767/20,0)&gt;ROUNDUP(V766/20,0),"Lần " &amp; ROUNDUP(V767/20,0),"")</f>
        <v/>
      </c>
      <c r="AH767" s="11">
        <f>IF(ROUNDUP(W767/20,0)&gt;ROUNDUP(W766/20,0),"Lần " &amp; ROUNDUP(W767/20,0),"")</f>
        <v/>
      </c>
      <c r="AI767" s="11">
        <f>IF(ROUNDUP(X767/20,0)&gt;ROUNDUP(X766/20,0),"Lần " &amp; ROUNDUP(X767/20,0),"")</f>
        <v/>
      </c>
      <c r="AJ767" s="11">
        <f>IF(ROUNDUP(Y767/20,0)&gt;ROUNDUP(Y766/20,0),"Lần " &amp; ROUNDUP(Y767/20,0),"")</f>
        <v/>
      </c>
      <c r="AK767" s="11">
        <f>IF(ROUNDUP(Z767/20,0)&gt;ROUNDUP(Z766/20,0),"Lần " &amp; ROUNDUP(Z767/20,0),"")</f>
        <v/>
      </c>
      <c r="AL767" s="6" t="n"/>
      <c r="AN767" t="inlineStr">
        <is>
          <t>Coc</t>
        </is>
      </c>
      <c r="AO767" t="n">
        <v>26</v>
      </c>
    </row>
    <row r="768" ht="19" customHeight="1">
      <c r="A768" s="6" t="n">
        <v>729</v>
      </c>
      <c r="B768" s="7" t="inlineStr">
        <is>
          <t>Cọc khoan nhồi C4 Mố M2 (D1.2m, L=36.0m)</t>
        </is>
      </c>
      <c r="C768" s="7" t="inlineStr">
        <is>
          <t>Cọc mố M2 L=36m (tr.66)</t>
        </is>
      </c>
      <c r="D768" s="18" t="inlineStr">
        <is>
          <t>P12</t>
        </is>
      </c>
      <c r="E768" s="19" t="n">
        <v>20</v>
      </c>
      <c r="F768" s="6" t="inlineStr">
        <is>
          <t>CB400-V</t>
        </is>
      </c>
      <c r="G768" s="7" t="inlineStr"/>
      <c r="H768" s="20" t="n">
        <v>0.583</v>
      </c>
      <c r="I768" s="21" t="n">
        <v>60</v>
      </c>
      <c r="J768" s="22" t="n">
        <v>2.466</v>
      </c>
      <c r="K768" s="9">
        <f>ROUND(H768*I768*J768, 2)</f>
        <v/>
      </c>
      <c r="L768" s="23">
        <f>ROUND(K768/1000, 3)</f>
        <v/>
      </c>
      <c r="M768" s="8">
        <f>IF(AO768="","",IF(INDEX(Theo_Doi_Tan_Suat_Be_Tong!$C:$C,AO768)="","",INDEX(Theo_Doi_Tan_Suat_Be_Tong!$C:$C,AO768)-VLOOKUP(AN768,$AQ$2:$AR$7,2,FALSE)))</f>
        <v/>
      </c>
      <c r="N768" s="6" t="n"/>
      <c r="O768" s="24">
        <f>IF(ROUNDUP(U768/20,0)&gt;ROUNDUP(U767/20,0),"TN Ø20 (Lần " &amp; ROUNDUP(U768/20,0) &amp; ")","")</f>
        <v/>
      </c>
      <c r="P768" s="20">
        <f>ROUND(P767+IF(AND(E768&lt;=10,F768&lt;&gt;"ASTM A416"),L768,0),3)</f>
        <v/>
      </c>
      <c r="Q768" s="20">
        <f>ROUND(Q767+IF(AND(E768=12,F768&lt;&gt;"ASTM A416"),L768,0),3)</f>
        <v/>
      </c>
      <c r="R768" s="20">
        <f>ROUND(R767+IF(AND(E768=14,F768&lt;&gt;"ASTM A416"),L768,0),3)</f>
        <v/>
      </c>
      <c r="S768" s="20">
        <f>ROUND(S767+IF(AND(E768=16,F768&lt;&gt;"ASTM A416"),L768,0),3)</f>
        <v/>
      </c>
      <c r="T768" s="20">
        <f>ROUND(T767+IF(AND(E768=18,F768&lt;&gt;"ASTM A416"),L768,0),3)</f>
        <v/>
      </c>
      <c r="U768" s="20">
        <f>ROUND(U767+IF(AND(E768=20,F768&lt;&gt;"ASTM A416"),L768,0),3)</f>
        <v/>
      </c>
      <c r="V768" s="20">
        <f>ROUND(V767+IF(AND(E768=22,F768&lt;&gt;"ASTM A416"),L768,0),3)</f>
        <v/>
      </c>
      <c r="W768" s="20">
        <f>ROUND(W767+IF(AND(E768=25,F768&lt;&gt;"ASTM A416"),L768,0),3)</f>
        <v/>
      </c>
      <c r="X768" s="20">
        <f>ROUND(X767+IF(AND(E768=28,F768&lt;&gt;"ASTM A416"),L768,0),3)</f>
        <v/>
      </c>
      <c r="Y768" s="20">
        <f>ROUND(Y767+IF(AND(E768=32,F768&lt;&gt;"ASTM A416"),L768,0),3)</f>
        <v/>
      </c>
      <c r="Z768" s="20">
        <f>ROUND(Z767+IF(F768="ASTM A416",L768,0),3)</f>
        <v/>
      </c>
      <c r="AA768" s="11">
        <f>IF(ROUNDUP(P768/20,0)&gt;ROUNDUP(P767/20,0),"Lần " &amp; ROUNDUP(P768/20,0),"")</f>
        <v/>
      </c>
      <c r="AB768" s="11">
        <f>IF(ROUNDUP(Q768/20,0)&gt;ROUNDUP(Q767/20,0),"Lần " &amp; ROUNDUP(Q768/20,0),"")</f>
        <v/>
      </c>
      <c r="AC768" s="11">
        <f>IF(ROUNDUP(R768/20,0)&gt;ROUNDUP(R767/20,0),"Lần " &amp; ROUNDUP(R768/20,0),"")</f>
        <v/>
      </c>
      <c r="AD768" s="11">
        <f>IF(ROUNDUP(S768/20,0)&gt;ROUNDUP(S767/20,0),"Lần " &amp; ROUNDUP(S768/20,0),"")</f>
        <v/>
      </c>
      <c r="AE768" s="11">
        <f>IF(ROUNDUP(T768/20,0)&gt;ROUNDUP(T767/20,0),"Lần " &amp; ROUNDUP(T768/20,0),"")</f>
        <v/>
      </c>
      <c r="AF768" s="11">
        <f>IF(ROUNDUP(U768/20,0)&gt;ROUNDUP(U767/20,0),"Lần " &amp; ROUNDUP(U768/20,0),"")</f>
        <v/>
      </c>
      <c r="AG768" s="11">
        <f>IF(ROUNDUP(V768/20,0)&gt;ROUNDUP(V767/20,0),"Lần " &amp; ROUNDUP(V768/20,0),"")</f>
        <v/>
      </c>
      <c r="AH768" s="11">
        <f>IF(ROUNDUP(W768/20,0)&gt;ROUNDUP(W767/20,0),"Lần " &amp; ROUNDUP(W768/20,0),"")</f>
        <v/>
      </c>
      <c r="AI768" s="11">
        <f>IF(ROUNDUP(X768/20,0)&gt;ROUNDUP(X767/20,0),"Lần " &amp; ROUNDUP(X768/20,0),"")</f>
        <v/>
      </c>
      <c r="AJ768" s="11">
        <f>IF(ROUNDUP(Y768/20,0)&gt;ROUNDUP(Y767/20,0),"Lần " &amp; ROUNDUP(Y768/20,0),"")</f>
        <v/>
      </c>
      <c r="AK768" s="11">
        <f>IF(ROUNDUP(Z768/20,0)&gt;ROUNDUP(Z767/20,0),"Lần " &amp; ROUNDUP(Z768/20,0),"")</f>
        <v/>
      </c>
      <c r="AL768" s="6" t="n"/>
      <c r="AN768" t="inlineStr">
        <is>
          <t>Coc</t>
        </is>
      </c>
      <c r="AO768" t="n">
        <v>26</v>
      </c>
    </row>
    <row r="769" ht="19" customHeight="1">
      <c r="A769" s="6" t="n">
        <v>730</v>
      </c>
      <c r="B769" s="7" t="inlineStr">
        <is>
          <t>Cọc khoan nhồi C4 Mố M2 (D1.2m, L=36.0m)</t>
        </is>
      </c>
      <c r="C769" s="7" t="inlineStr">
        <is>
          <t>Cọc mố M2 L=36m (tr.66)</t>
        </is>
      </c>
      <c r="D769" s="18" t="inlineStr">
        <is>
          <t>P11</t>
        </is>
      </c>
      <c r="E769" s="19" t="n">
        <v>16</v>
      </c>
      <c r="F769" s="6" t="inlineStr">
        <is>
          <t>CB400-V</t>
        </is>
      </c>
      <c r="G769" s="7" t="inlineStr"/>
      <c r="H769" s="20" t="n">
        <v>2.484</v>
      </c>
      <c r="I769" s="21" t="n">
        <v>4</v>
      </c>
      <c r="J769" s="22" t="n">
        <v>1.578</v>
      </c>
      <c r="K769" s="9">
        <f>ROUND(H769*I769*J769, 2)</f>
        <v/>
      </c>
      <c r="L769" s="23">
        <f>ROUND(K769/1000, 3)</f>
        <v/>
      </c>
      <c r="M769" s="8">
        <f>IF(AO769="","",IF(INDEX(Theo_Doi_Tan_Suat_Be_Tong!$C:$C,AO769)="","",INDEX(Theo_Doi_Tan_Suat_Be_Tong!$C:$C,AO769)-VLOOKUP(AN769,$AQ$2:$AR$7,2,FALSE)))</f>
        <v/>
      </c>
      <c r="N769" s="6" t="n"/>
      <c r="O769" s="24">
        <f>IF(ROUNDUP(S769/20,0)&gt;ROUNDUP(S768/20,0),"TN Ø16 (Lần " &amp; ROUNDUP(S769/20,0) &amp; ")","")</f>
        <v/>
      </c>
      <c r="P769" s="20">
        <f>ROUND(P768+IF(AND(E769&lt;=10,F769&lt;&gt;"ASTM A416"),L769,0),3)</f>
        <v/>
      </c>
      <c r="Q769" s="20">
        <f>ROUND(Q768+IF(AND(E769=12,F769&lt;&gt;"ASTM A416"),L769,0),3)</f>
        <v/>
      </c>
      <c r="R769" s="20">
        <f>ROUND(R768+IF(AND(E769=14,F769&lt;&gt;"ASTM A416"),L769,0),3)</f>
        <v/>
      </c>
      <c r="S769" s="20">
        <f>ROUND(S768+IF(AND(E769=16,F769&lt;&gt;"ASTM A416"),L769,0),3)</f>
        <v/>
      </c>
      <c r="T769" s="20">
        <f>ROUND(T768+IF(AND(E769=18,F769&lt;&gt;"ASTM A416"),L769,0),3)</f>
        <v/>
      </c>
      <c r="U769" s="20">
        <f>ROUND(U768+IF(AND(E769=20,F769&lt;&gt;"ASTM A416"),L769,0),3)</f>
        <v/>
      </c>
      <c r="V769" s="20">
        <f>ROUND(V768+IF(AND(E769=22,F769&lt;&gt;"ASTM A416"),L769,0),3)</f>
        <v/>
      </c>
      <c r="W769" s="20">
        <f>ROUND(W768+IF(AND(E769=25,F769&lt;&gt;"ASTM A416"),L769,0),3)</f>
        <v/>
      </c>
      <c r="X769" s="20">
        <f>ROUND(X768+IF(AND(E769=28,F769&lt;&gt;"ASTM A416"),L769,0),3)</f>
        <v/>
      </c>
      <c r="Y769" s="20">
        <f>ROUND(Y768+IF(AND(E769=32,F769&lt;&gt;"ASTM A416"),L769,0),3)</f>
        <v/>
      </c>
      <c r="Z769" s="20">
        <f>ROUND(Z768+IF(F769="ASTM A416",L769,0),3)</f>
        <v/>
      </c>
      <c r="AA769" s="11">
        <f>IF(ROUNDUP(P769/20,0)&gt;ROUNDUP(P768/20,0),"Lần " &amp; ROUNDUP(P769/20,0),"")</f>
        <v/>
      </c>
      <c r="AB769" s="11">
        <f>IF(ROUNDUP(Q769/20,0)&gt;ROUNDUP(Q768/20,0),"Lần " &amp; ROUNDUP(Q769/20,0),"")</f>
        <v/>
      </c>
      <c r="AC769" s="11">
        <f>IF(ROUNDUP(R769/20,0)&gt;ROUNDUP(R768/20,0),"Lần " &amp; ROUNDUP(R769/20,0),"")</f>
        <v/>
      </c>
      <c r="AD769" s="11">
        <f>IF(ROUNDUP(S769/20,0)&gt;ROUNDUP(S768/20,0),"Lần " &amp; ROUNDUP(S769/20,0),"")</f>
        <v/>
      </c>
      <c r="AE769" s="11">
        <f>IF(ROUNDUP(T769/20,0)&gt;ROUNDUP(T768/20,0),"Lần " &amp; ROUNDUP(T769/20,0),"")</f>
        <v/>
      </c>
      <c r="AF769" s="11">
        <f>IF(ROUNDUP(U769/20,0)&gt;ROUNDUP(U768/20,0),"Lần " &amp; ROUNDUP(U769/20,0),"")</f>
        <v/>
      </c>
      <c r="AG769" s="11">
        <f>IF(ROUNDUP(V769/20,0)&gt;ROUNDUP(V768/20,0),"Lần " &amp; ROUNDUP(V769/20,0),"")</f>
        <v/>
      </c>
      <c r="AH769" s="11">
        <f>IF(ROUNDUP(W769/20,0)&gt;ROUNDUP(W768/20,0),"Lần " &amp; ROUNDUP(W769/20,0),"")</f>
        <v/>
      </c>
      <c r="AI769" s="11">
        <f>IF(ROUNDUP(X769/20,0)&gt;ROUNDUP(X768/20,0),"Lần " &amp; ROUNDUP(X769/20,0),"")</f>
        <v/>
      </c>
      <c r="AJ769" s="11">
        <f>IF(ROUNDUP(Y769/20,0)&gt;ROUNDUP(Y768/20,0),"Lần " &amp; ROUNDUP(Y769/20,0),"")</f>
        <v/>
      </c>
      <c r="AK769" s="11">
        <f>IF(ROUNDUP(Z769/20,0)&gt;ROUNDUP(Z768/20,0),"Lần " &amp; ROUNDUP(Z769/20,0),"")</f>
        <v/>
      </c>
      <c r="AL769" s="6" t="n"/>
      <c r="AN769" t="inlineStr">
        <is>
          <t>Coc</t>
        </is>
      </c>
      <c r="AO769" t="n">
        <v>26</v>
      </c>
    </row>
    <row r="770" ht="19" customHeight="1">
      <c r="A770" s="17" t="inlineStr">
        <is>
          <t>--- CỌC KHOAN NHỒI C5 MỐ M2 (D1.2M, L=36.0M) ---</t>
        </is>
      </c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  <c r="AG770" s="35" t="n"/>
      <c r="AH770" s="35" t="n"/>
      <c r="AI770" s="35" t="n"/>
      <c r="AJ770" s="35" t="n"/>
      <c r="AK770" s="35" t="n"/>
      <c r="AL770" s="34" t="n"/>
    </row>
    <row r="771" ht="19" customHeight="1">
      <c r="A771" s="6" t="n">
        <v>731</v>
      </c>
      <c r="B771" s="7" t="inlineStr">
        <is>
          <t>Cọc khoan nhồi C5 Mố M2 (D1.2m, L=36.0m)</t>
        </is>
      </c>
      <c r="C771" s="7" t="inlineStr">
        <is>
          <t>Cọc mố M2 L=36m (tr.66)</t>
        </is>
      </c>
      <c r="D771" s="18" t="inlineStr">
        <is>
          <t>P1</t>
        </is>
      </c>
      <c r="E771" s="19" t="n">
        <v>10</v>
      </c>
      <c r="F771" s="6" t="inlineStr">
        <is>
          <t>CB240-T</t>
        </is>
      </c>
      <c r="G771" s="7" t="inlineStr"/>
      <c r="H771" s="20" t="n">
        <v>96.887</v>
      </c>
      <c r="I771" s="21" t="n">
        <v>1</v>
      </c>
      <c r="J771" s="22" t="n">
        <v>0.617</v>
      </c>
      <c r="K771" s="9">
        <f>ROUND(H771*I771*J771, 2)</f>
        <v/>
      </c>
      <c r="L771" s="23">
        <f>ROUND(K771/1000, 3)</f>
        <v/>
      </c>
      <c r="M771" s="8">
        <f>IF(AO771="","",IF(INDEX(Theo_Doi_Tan_Suat_Be_Tong!$C:$C,AO771)="","",INDEX(Theo_Doi_Tan_Suat_Be_Tong!$C:$C,AO771)-VLOOKUP(AN771,$AQ$2:$AR$7,2,FALSE)))</f>
        <v/>
      </c>
      <c r="N771" s="6" t="n"/>
      <c r="O771" s="24">
        <f>IF(ROUNDUP(P771/20,0)&gt;ROUNDUP(P769/20,0),"TN Ø10 (Lần " &amp; ROUNDUP(P771/20,0) &amp; ")","")</f>
        <v/>
      </c>
      <c r="P771" s="20">
        <f>ROUND(P769+IF(AND(E771&lt;=10,F771&lt;&gt;"ASTM A416"),L771,0),3)</f>
        <v/>
      </c>
      <c r="Q771" s="20">
        <f>ROUND(Q769+IF(AND(E771=12,F771&lt;&gt;"ASTM A416"),L771,0),3)</f>
        <v/>
      </c>
      <c r="R771" s="20">
        <f>ROUND(R769+IF(AND(E771=14,F771&lt;&gt;"ASTM A416"),L771,0),3)</f>
        <v/>
      </c>
      <c r="S771" s="20">
        <f>ROUND(S769+IF(AND(E771=16,F771&lt;&gt;"ASTM A416"),L771,0),3)</f>
        <v/>
      </c>
      <c r="T771" s="20">
        <f>ROUND(T769+IF(AND(E771=18,F771&lt;&gt;"ASTM A416"),L771,0),3)</f>
        <v/>
      </c>
      <c r="U771" s="20">
        <f>ROUND(U769+IF(AND(E771=20,F771&lt;&gt;"ASTM A416"),L771,0),3)</f>
        <v/>
      </c>
      <c r="V771" s="20">
        <f>ROUND(V769+IF(AND(E771=22,F771&lt;&gt;"ASTM A416"),L771,0),3)</f>
        <v/>
      </c>
      <c r="W771" s="20">
        <f>ROUND(W769+IF(AND(E771=25,F771&lt;&gt;"ASTM A416"),L771,0),3)</f>
        <v/>
      </c>
      <c r="X771" s="20">
        <f>ROUND(X769+IF(AND(E771=28,F771&lt;&gt;"ASTM A416"),L771,0),3)</f>
        <v/>
      </c>
      <c r="Y771" s="20">
        <f>ROUND(Y769+IF(AND(E771=32,F771&lt;&gt;"ASTM A416"),L771,0),3)</f>
        <v/>
      </c>
      <c r="Z771" s="20">
        <f>ROUND(Z769+IF(F771="ASTM A416",L771,0),3)</f>
        <v/>
      </c>
      <c r="AA771" s="11">
        <f>IF(ROUNDUP(P771/20,0)&gt;ROUNDUP(P769/20,0),"Lần " &amp; ROUNDUP(P771/20,0),"")</f>
        <v/>
      </c>
      <c r="AB771" s="11">
        <f>IF(ROUNDUP(Q771/20,0)&gt;ROUNDUP(Q769/20,0),"Lần " &amp; ROUNDUP(Q771/20,0),"")</f>
        <v/>
      </c>
      <c r="AC771" s="11">
        <f>IF(ROUNDUP(R771/20,0)&gt;ROUNDUP(R769/20,0),"Lần " &amp; ROUNDUP(R771/20,0),"")</f>
        <v/>
      </c>
      <c r="AD771" s="11">
        <f>IF(ROUNDUP(S771/20,0)&gt;ROUNDUP(S769/20,0),"Lần " &amp; ROUNDUP(S771/20,0),"")</f>
        <v/>
      </c>
      <c r="AE771" s="11">
        <f>IF(ROUNDUP(T771/20,0)&gt;ROUNDUP(T769/20,0),"Lần " &amp; ROUNDUP(T771/20,0),"")</f>
        <v/>
      </c>
      <c r="AF771" s="11">
        <f>IF(ROUNDUP(U771/20,0)&gt;ROUNDUP(U769/20,0),"Lần " &amp; ROUNDUP(U771/20,0),"")</f>
        <v/>
      </c>
      <c r="AG771" s="11">
        <f>IF(ROUNDUP(V771/20,0)&gt;ROUNDUP(V769/20,0),"Lần " &amp; ROUNDUP(V771/20,0),"")</f>
        <v/>
      </c>
      <c r="AH771" s="11">
        <f>IF(ROUNDUP(W771/20,0)&gt;ROUNDUP(W769/20,0),"Lần " &amp; ROUNDUP(W771/20,0),"")</f>
        <v/>
      </c>
      <c r="AI771" s="11">
        <f>IF(ROUNDUP(X771/20,0)&gt;ROUNDUP(X769/20,0),"Lần " &amp; ROUNDUP(X771/20,0),"")</f>
        <v/>
      </c>
      <c r="AJ771" s="11">
        <f>IF(ROUNDUP(Y771/20,0)&gt;ROUNDUP(Y769/20,0),"Lần " &amp; ROUNDUP(Y771/20,0),"")</f>
        <v/>
      </c>
      <c r="AK771" s="11">
        <f>IF(ROUNDUP(Z771/20,0)&gt;ROUNDUP(Z769/20,0),"Lần " &amp; ROUNDUP(Z771/20,0),"")</f>
        <v/>
      </c>
      <c r="AL771" s="6" t="n"/>
      <c r="AN771" t="inlineStr">
        <is>
          <t>Coc</t>
        </is>
      </c>
      <c r="AO771" t="n">
        <v>27</v>
      </c>
    </row>
    <row r="772" ht="19" customHeight="1">
      <c r="A772" s="6" t="n">
        <v>732</v>
      </c>
      <c r="B772" s="7" t="inlineStr">
        <is>
          <t>Cọc khoan nhồi C5 Mố M2 (D1.2m, L=36.0m)</t>
        </is>
      </c>
      <c r="C772" s="7" t="inlineStr">
        <is>
          <t>Cọc mố M2 L=36m (tr.66)</t>
        </is>
      </c>
      <c r="D772" s="18" t="inlineStr">
        <is>
          <t>P1A</t>
        </is>
      </c>
      <c r="E772" s="19" t="n">
        <v>10</v>
      </c>
      <c r="F772" s="6" t="inlineStr">
        <is>
          <t>CB240-T</t>
        </is>
      </c>
      <c r="G772" s="7" t="inlineStr"/>
      <c r="H772" s="20" t="n">
        <v>390.776</v>
      </c>
      <c r="I772" s="21" t="n">
        <v>1</v>
      </c>
      <c r="J772" s="22" t="n">
        <v>0.617</v>
      </c>
      <c r="K772" s="9">
        <f>ROUND(H772*I772*J772, 2)</f>
        <v/>
      </c>
      <c r="L772" s="23">
        <f>ROUND(K772/1000, 3)</f>
        <v/>
      </c>
      <c r="M772" s="8">
        <f>IF(AO772="","",IF(INDEX(Theo_Doi_Tan_Suat_Be_Tong!$C:$C,AO772)="","",INDEX(Theo_Doi_Tan_Suat_Be_Tong!$C:$C,AO772)-VLOOKUP(AN772,$AQ$2:$AR$7,2,FALSE)))</f>
        <v/>
      </c>
      <c r="N772" s="6" t="n"/>
      <c r="O772" s="24">
        <f>IF(ROUNDUP(P772/20,0)&gt;ROUNDUP(P771/20,0),"TN Ø10 (Lần " &amp; ROUNDUP(P772/20,0) &amp; ")","")</f>
        <v/>
      </c>
      <c r="P772" s="20">
        <f>ROUND(P771+IF(AND(E772&lt;=10,F772&lt;&gt;"ASTM A416"),L772,0),3)</f>
        <v/>
      </c>
      <c r="Q772" s="20">
        <f>ROUND(Q771+IF(AND(E772=12,F772&lt;&gt;"ASTM A416"),L772,0),3)</f>
        <v/>
      </c>
      <c r="R772" s="20">
        <f>ROUND(R771+IF(AND(E772=14,F772&lt;&gt;"ASTM A416"),L772,0),3)</f>
        <v/>
      </c>
      <c r="S772" s="20">
        <f>ROUND(S771+IF(AND(E772=16,F772&lt;&gt;"ASTM A416"),L772,0),3)</f>
        <v/>
      </c>
      <c r="T772" s="20">
        <f>ROUND(T771+IF(AND(E772=18,F772&lt;&gt;"ASTM A416"),L772,0),3)</f>
        <v/>
      </c>
      <c r="U772" s="20">
        <f>ROUND(U771+IF(AND(E772=20,F772&lt;&gt;"ASTM A416"),L772,0),3)</f>
        <v/>
      </c>
      <c r="V772" s="20">
        <f>ROUND(V771+IF(AND(E772=22,F772&lt;&gt;"ASTM A416"),L772,0),3)</f>
        <v/>
      </c>
      <c r="W772" s="20">
        <f>ROUND(W771+IF(AND(E772=25,F772&lt;&gt;"ASTM A416"),L772,0),3)</f>
        <v/>
      </c>
      <c r="X772" s="20">
        <f>ROUND(X771+IF(AND(E772=28,F772&lt;&gt;"ASTM A416"),L772,0),3)</f>
        <v/>
      </c>
      <c r="Y772" s="20">
        <f>ROUND(Y771+IF(AND(E772=32,F772&lt;&gt;"ASTM A416"),L772,0),3)</f>
        <v/>
      </c>
      <c r="Z772" s="20">
        <f>ROUND(Z771+IF(F772="ASTM A416",L772,0),3)</f>
        <v/>
      </c>
      <c r="AA772" s="11">
        <f>IF(ROUNDUP(P772/20,0)&gt;ROUNDUP(P771/20,0),"Lần " &amp; ROUNDUP(P772/20,0),"")</f>
        <v/>
      </c>
      <c r="AB772" s="11">
        <f>IF(ROUNDUP(Q772/20,0)&gt;ROUNDUP(Q771/20,0),"Lần " &amp; ROUNDUP(Q772/20,0),"")</f>
        <v/>
      </c>
      <c r="AC772" s="11">
        <f>IF(ROUNDUP(R772/20,0)&gt;ROUNDUP(R771/20,0),"Lần " &amp; ROUNDUP(R772/20,0),"")</f>
        <v/>
      </c>
      <c r="AD772" s="11">
        <f>IF(ROUNDUP(S772/20,0)&gt;ROUNDUP(S771/20,0),"Lần " &amp; ROUNDUP(S772/20,0),"")</f>
        <v/>
      </c>
      <c r="AE772" s="11">
        <f>IF(ROUNDUP(T772/20,0)&gt;ROUNDUP(T771/20,0),"Lần " &amp; ROUNDUP(T772/20,0),"")</f>
        <v/>
      </c>
      <c r="AF772" s="11">
        <f>IF(ROUNDUP(U772/20,0)&gt;ROUNDUP(U771/20,0),"Lần " &amp; ROUNDUP(U772/20,0),"")</f>
        <v/>
      </c>
      <c r="AG772" s="11">
        <f>IF(ROUNDUP(V772/20,0)&gt;ROUNDUP(V771/20,0),"Lần " &amp; ROUNDUP(V772/20,0),"")</f>
        <v/>
      </c>
      <c r="AH772" s="11">
        <f>IF(ROUNDUP(W772/20,0)&gt;ROUNDUP(W771/20,0),"Lần " &amp; ROUNDUP(W772/20,0),"")</f>
        <v/>
      </c>
      <c r="AI772" s="11">
        <f>IF(ROUNDUP(X772/20,0)&gt;ROUNDUP(X771/20,0),"Lần " &amp; ROUNDUP(X772/20,0),"")</f>
        <v/>
      </c>
      <c r="AJ772" s="11">
        <f>IF(ROUNDUP(Y772/20,0)&gt;ROUNDUP(Y771/20,0),"Lần " &amp; ROUNDUP(Y772/20,0),"")</f>
        <v/>
      </c>
      <c r="AK772" s="11">
        <f>IF(ROUNDUP(Z772/20,0)&gt;ROUNDUP(Z771/20,0),"Lần " &amp; ROUNDUP(Z772/20,0),"")</f>
        <v/>
      </c>
      <c r="AL772" s="6" t="n"/>
      <c r="AN772" t="inlineStr">
        <is>
          <t>Coc</t>
        </is>
      </c>
      <c r="AO772" t="n">
        <v>27</v>
      </c>
    </row>
    <row r="773" ht="19" customHeight="1">
      <c r="A773" s="6" t="n">
        <v>733</v>
      </c>
      <c r="B773" s="7" t="inlineStr">
        <is>
          <t>Cọc khoan nhồi C5 Mố M2 (D1.2m, L=36.0m)</t>
        </is>
      </c>
      <c r="C773" s="7" t="inlineStr">
        <is>
          <t>Cọc mố M2 L=36m (tr.66)</t>
        </is>
      </c>
      <c r="D773" s="18" t="inlineStr">
        <is>
          <t>P1B</t>
        </is>
      </c>
      <c r="E773" s="19" t="n">
        <v>10</v>
      </c>
      <c r="F773" s="6" t="inlineStr">
        <is>
          <t>CB240-T</t>
        </is>
      </c>
      <c r="G773" s="7" t="inlineStr"/>
      <c r="H773" s="20" t="n">
        <v>164.938</v>
      </c>
      <c r="I773" s="21" t="n">
        <v>1</v>
      </c>
      <c r="J773" s="22" t="n">
        <v>0.617</v>
      </c>
      <c r="K773" s="9">
        <f>ROUND(H773*I773*J773, 2)</f>
        <v/>
      </c>
      <c r="L773" s="23">
        <f>ROUND(K773/1000, 3)</f>
        <v/>
      </c>
      <c r="M773" s="8">
        <f>IF(AO773="","",IF(INDEX(Theo_Doi_Tan_Suat_Be_Tong!$C:$C,AO773)="","",INDEX(Theo_Doi_Tan_Suat_Be_Tong!$C:$C,AO773)-VLOOKUP(AN773,$AQ$2:$AR$7,2,FALSE)))</f>
        <v/>
      </c>
      <c r="N773" s="6" t="n"/>
      <c r="O773" s="24">
        <f>IF(ROUNDUP(P773/20,0)&gt;ROUNDUP(P772/20,0),"TN Ø10 (Lần " &amp; ROUNDUP(P773/20,0) &amp; ")","")</f>
        <v/>
      </c>
      <c r="P773" s="20">
        <f>ROUND(P772+IF(AND(E773&lt;=10,F773&lt;&gt;"ASTM A416"),L773,0),3)</f>
        <v/>
      </c>
      <c r="Q773" s="20">
        <f>ROUND(Q772+IF(AND(E773=12,F773&lt;&gt;"ASTM A416"),L773,0),3)</f>
        <v/>
      </c>
      <c r="R773" s="20">
        <f>ROUND(R772+IF(AND(E773=14,F773&lt;&gt;"ASTM A416"),L773,0),3)</f>
        <v/>
      </c>
      <c r="S773" s="20">
        <f>ROUND(S772+IF(AND(E773=16,F773&lt;&gt;"ASTM A416"),L773,0),3)</f>
        <v/>
      </c>
      <c r="T773" s="20">
        <f>ROUND(T772+IF(AND(E773=18,F773&lt;&gt;"ASTM A416"),L773,0),3)</f>
        <v/>
      </c>
      <c r="U773" s="20">
        <f>ROUND(U772+IF(AND(E773=20,F773&lt;&gt;"ASTM A416"),L773,0),3)</f>
        <v/>
      </c>
      <c r="V773" s="20">
        <f>ROUND(V772+IF(AND(E773=22,F773&lt;&gt;"ASTM A416"),L773,0),3)</f>
        <v/>
      </c>
      <c r="W773" s="20">
        <f>ROUND(W772+IF(AND(E773=25,F773&lt;&gt;"ASTM A416"),L773,0),3)</f>
        <v/>
      </c>
      <c r="X773" s="20">
        <f>ROUND(X772+IF(AND(E773=28,F773&lt;&gt;"ASTM A416"),L773,0),3)</f>
        <v/>
      </c>
      <c r="Y773" s="20">
        <f>ROUND(Y772+IF(AND(E773=32,F773&lt;&gt;"ASTM A416"),L773,0),3)</f>
        <v/>
      </c>
      <c r="Z773" s="20">
        <f>ROUND(Z772+IF(F773="ASTM A416",L773,0),3)</f>
        <v/>
      </c>
      <c r="AA773" s="11">
        <f>IF(ROUNDUP(P773/20,0)&gt;ROUNDUP(P772/20,0),"Lần " &amp; ROUNDUP(P773/20,0),"")</f>
        <v/>
      </c>
      <c r="AB773" s="11">
        <f>IF(ROUNDUP(Q773/20,0)&gt;ROUNDUP(Q772/20,0),"Lần " &amp; ROUNDUP(Q773/20,0),"")</f>
        <v/>
      </c>
      <c r="AC773" s="11">
        <f>IF(ROUNDUP(R773/20,0)&gt;ROUNDUP(R772/20,0),"Lần " &amp; ROUNDUP(R773/20,0),"")</f>
        <v/>
      </c>
      <c r="AD773" s="11">
        <f>IF(ROUNDUP(S773/20,0)&gt;ROUNDUP(S772/20,0),"Lần " &amp; ROUNDUP(S773/20,0),"")</f>
        <v/>
      </c>
      <c r="AE773" s="11">
        <f>IF(ROUNDUP(T773/20,0)&gt;ROUNDUP(T772/20,0),"Lần " &amp; ROUNDUP(T773/20,0),"")</f>
        <v/>
      </c>
      <c r="AF773" s="11">
        <f>IF(ROUNDUP(U773/20,0)&gt;ROUNDUP(U772/20,0),"Lần " &amp; ROUNDUP(U773/20,0),"")</f>
        <v/>
      </c>
      <c r="AG773" s="11">
        <f>IF(ROUNDUP(V773/20,0)&gt;ROUNDUP(V772/20,0),"Lần " &amp; ROUNDUP(V773/20,0),"")</f>
        <v/>
      </c>
      <c r="AH773" s="11">
        <f>IF(ROUNDUP(W773/20,0)&gt;ROUNDUP(W772/20,0),"Lần " &amp; ROUNDUP(W773/20,0),"")</f>
        <v/>
      </c>
      <c r="AI773" s="11">
        <f>IF(ROUNDUP(X773/20,0)&gt;ROUNDUP(X772/20,0),"Lần " &amp; ROUNDUP(X773/20,0),"")</f>
        <v/>
      </c>
      <c r="AJ773" s="11">
        <f>IF(ROUNDUP(Y773/20,0)&gt;ROUNDUP(Y772/20,0),"Lần " &amp; ROUNDUP(Y773/20,0),"")</f>
        <v/>
      </c>
      <c r="AK773" s="11">
        <f>IF(ROUNDUP(Z773/20,0)&gt;ROUNDUP(Z772/20,0),"Lần " &amp; ROUNDUP(Z773/20,0),"")</f>
        <v/>
      </c>
      <c r="AL773" s="6" t="n"/>
      <c r="AN773" t="inlineStr">
        <is>
          <t>Coc</t>
        </is>
      </c>
      <c r="AO773" t="n">
        <v>27</v>
      </c>
    </row>
    <row r="774" ht="19" customHeight="1">
      <c r="A774" s="6" t="n">
        <v>734</v>
      </c>
      <c r="B774" s="7" t="inlineStr">
        <is>
          <t>Cọc khoan nhồi C5 Mố M2 (D1.2m, L=36.0m)</t>
        </is>
      </c>
      <c r="C774" s="7" t="inlineStr">
        <is>
          <t>Cọc mố M2 L=36m (tr.66)</t>
        </is>
      </c>
      <c r="D774" s="18" t="inlineStr">
        <is>
          <t>P1C</t>
        </is>
      </c>
      <c r="E774" s="19" t="n">
        <v>10</v>
      </c>
      <c r="F774" s="6" t="inlineStr">
        <is>
          <t>CB240-T</t>
        </is>
      </c>
      <c r="G774" s="7" t="inlineStr"/>
      <c r="H774" s="20" t="n">
        <v>3.592</v>
      </c>
      <c r="I774" s="21" t="n">
        <v>2</v>
      </c>
      <c r="J774" s="22" t="n">
        <v>0.617</v>
      </c>
      <c r="K774" s="9">
        <f>ROUND(H774*I774*J774, 2)</f>
        <v/>
      </c>
      <c r="L774" s="23">
        <f>ROUND(K774/1000, 3)</f>
        <v/>
      </c>
      <c r="M774" s="8">
        <f>IF(AO774="","",IF(INDEX(Theo_Doi_Tan_Suat_Be_Tong!$C:$C,AO774)="","",INDEX(Theo_Doi_Tan_Suat_Be_Tong!$C:$C,AO774)-VLOOKUP(AN774,$AQ$2:$AR$7,2,FALSE)))</f>
        <v/>
      </c>
      <c r="N774" s="6" t="n"/>
      <c r="O774" s="24">
        <f>IF(ROUNDUP(P774/20,0)&gt;ROUNDUP(P773/20,0),"TN Ø10 (Lần " &amp; ROUNDUP(P774/20,0) &amp; ")","")</f>
        <v/>
      </c>
      <c r="P774" s="20">
        <f>ROUND(P773+IF(AND(E774&lt;=10,F774&lt;&gt;"ASTM A416"),L774,0),3)</f>
        <v/>
      </c>
      <c r="Q774" s="20">
        <f>ROUND(Q773+IF(AND(E774=12,F774&lt;&gt;"ASTM A416"),L774,0),3)</f>
        <v/>
      </c>
      <c r="R774" s="20">
        <f>ROUND(R773+IF(AND(E774=14,F774&lt;&gt;"ASTM A416"),L774,0),3)</f>
        <v/>
      </c>
      <c r="S774" s="20">
        <f>ROUND(S773+IF(AND(E774=16,F774&lt;&gt;"ASTM A416"),L774,0),3)</f>
        <v/>
      </c>
      <c r="T774" s="20">
        <f>ROUND(T773+IF(AND(E774=18,F774&lt;&gt;"ASTM A416"),L774,0),3)</f>
        <v/>
      </c>
      <c r="U774" s="20">
        <f>ROUND(U773+IF(AND(E774=20,F774&lt;&gt;"ASTM A416"),L774,0),3)</f>
        <v/>
      </c>
      <c r="V774" s="20">
        <f>ROUND(V773+IF(AND(E774=22,F774&lt;&gt;"ASTM A416"),L774,0),3)</f>
        <v/>
      </c>
      <c r="W774" s="20">
        <f>ROUND(W773+IF(AND(E774=25,F774&lt;&gt;"ASTM A416"),L774,0),3)</f>
        <v/>
      </c>
      <c r="X774" s="20">
        <f>ROUND(X773+IF(AND(E774=28,F774&lt;&gt;"ASTM A416"),L774,0),3)</f>
        <v/>
      </c>
      <c r="Y774" s="20">
        <f>ROUND(Y773+IF(AND(E774=32,F774&lt;&gt;"ASTM A416"),L774,0),3)</f>
        <v/>
      </c>
      <c r="Z774" s="20">
        <f>ROUND(Z773+IF(F774="ASTM A416",L774,0),3)</f>
        <v/>
      </c>
      <c r="AA774" s="11">
        <f>IF(ROUNDUP(P774/20,0)&gt;ROUNDUP(P773/20,0),"Lần " &amp; ROUNDUP(P774/20,0),"")</f>
        <v/>
      </c>
      <c r="AB774" s="11">
        <f>IF(ROUNDUP(Q774/20,0)&gt;ROUNDUP(Q773/20,0),"Lần " &amp; ROUNDUP(Q774/20,0),"")</f>
        <v/>
      </c>
      <c r="AC774" s="11">
        <f>IF(ROUNDUP(R774/20,0)&gt;ROUNDUP(R773/20,0),"Lần " &amp; ROUNDUP(R774/20,0),"")</f>
        <v/>
      </c>
      <c r="AD774" s="11">
        <f>IF(ROUNDUP(S774/20,0)&gt;ROUNDUP(S773/20,0),"Lần " &amp; ROUNDUP(S774/20,0),"")</f>
        <v/>
      </c>
      <c r="AE774" s="11">
        <f>IF(ROUNDUP(T774/20,0)&gt;ROUNDUP(T773/20,0),"Lần " &amp; ROUNDUP(T774/20,0),"")</f>
        <v/>
      </c>
      <c r="AF774" s="11">
        <f>IF(ROUNDUP(U774/20,0)&gt;ROUNDUP(U773/20,0),"Lần " &amp; ROUNDUP(U774/20,0),"")</f>
        <v/>
      </c>
      <c r="AG774" s="11">
        <f>IF(ROUNDUP(V774/20,0)&gt;ROUNDUP(V773/20,0),"Lần " &amp; ROUNDUP(V774/20,0),"")</f>
        <v/>
      </c>
      <c r="AH774" s="11">
        <f>IF(ROUNDUP(W774/20,0)&gt;ROUNDUP(W773/20,0),"Lần " &amp; ROUNDUP(W774/20,0),"")</f>
        <v/>
      </c>
      <c r="AI774" s="11">
        <f>IF(ROUNDUP(X774/20,0)&gt;ROUNDUP(X773/20,0),"Lần " &amp; ROUNDUP(X774/20,0),"")</f>
        <v/>
      </c>
      <c r="AJ774" s="11">
        <f>IF(ROUNDUP(Y774/20,0)&gt;ROUNDUP(Y773/20,0),"Lần " &amp; ROUNDUP(Y774/20,0),"")</f>
        <v/>
      </c>
      <c r="AK774" s="11">
        <f>IF(ROUNDUP(Z774/20,0)&gt;ROUNDUP(Z773/20,0),"Lần " &amp; ROUNDUP(Z774/20,0),"")</f>
        <v/>
      </c>
      <c r="AL774" s="6" t="n"/>
      <c r="AN774" t="inlineStr">
        <is>
          <t>Coc</t>
        </is>
      </c>
      <c r="AO774" t="n">
        <v>27</v>
      </c>
    </row>
    <row r="775" ht="19" customHeight="1">
      <c r="A775" s="6" t="n">
        <v>735</v>
      </c>
      <c r="B775" s="7" t="inlineStr">
        <is>
          <t>Cọc khoan nhồi C5 Mố M2 (D1.2m, L=36.0m)</t>
        </is>
      </c>
      <c r="C775" s="7" t="inlineStr">
        <is>
          <t>Cọc mố M2 L=36m (tr.66)</t>
        </is>
      </c>
      <c r="D775" s="18" t="inlineStr">
        <is>
          <t>P1D</t>
        </is>
      </c>
      <c r="E775" s="19" t="n">
        <v>10</v>
      </c>
      <c r="F775" s="6" t="inlineStr">
        <is>
          <t>CB240-T</t>
        </is>
      </c>
      <c r="G775" s="7" t="inlineStr"/>
      <c r="H775" s="20" t="n">
        <v>23.007</v>
      </c>
      <c r="I775" s="21" t="n">
        <v>1</v>
      </c>
      <c r="J775" s="22" t="n">
        <v>0.617</v>
      </c>
      <c r="K775" s="9">
        <f>ROUND(H775*I775*J775, 2)</f>
        <v/>
      </c>
      <c r="L775" s="23">
        <f>ROUND(K775/1000, 3)</f>
        <v/>
      </c>
      <c r="M775" s="8">
        <f>IF(AO775="","",IF(INDEX(Theo_Doi_Tan_Suat_Be_Tong!$C:$C,AO775)="","",INDEX(Theo_Doi_Tan_Suat_Be_Tong!$C:$C,AO775)-VLOOKUP(AN775,$AQ$2:$AR$7,2,FALSE)))</f>
        <v/>
      </c>
      <c r="N775" s="6" t="n"/>
      <c r="O775" s="24">
        <f>IF(ROUNDUP(P775/20,0)&gt;ROUNDUP(P774/20,0),"TN Ø10 (Lần " &amp; ROUNDUP(P775/20,0) &amp; ")","")</f>
        <v/>
      </c>
      <c r="P775" s="20">
        <f>ROUND(P774+IF(AND(E775&lt;=10,F775&lt;&gt;"ASTM A416"),L775,0),3)</f>
        <v/>
      </c>
      <c r="Q775" s="20">
        <f>ROUND(Q774+IF(AND(E775=12,F775&lt;&gt;"ASTM A416"),L775,0),3)</f>
        <v/>
      </c>
      <c r="R775" s="20">
        <f>ROUND(R774+IF(AND(E775=14,F775&lt;&gt;"ASTM A416"),L775,0),3)</f>
        <v/>
      </c>
      <c r="S775" s="20">
        <f>ROUND(S774+IF(AND(E775=16,F775&lt;&gt;"ASTM A416"),L775,0),3)</f>
        <v/>
      </c>
      <c r="T775" s="20">
        <f>ROUND(T774+IF(AND(E775=18,F775&lt;&gt;"ASTM A416"),L775,0),3)</f>
        <v/>
      </c>
      <c r="U775" s="20">
        <f>ROUND(U774+IF(AND(E775=20,F775&lt;&gt;"ASTM A416"),L775,0),3)</f>
        <v/>
      </c>
      <c r="V775" s="20">
        <f>ROUND(V774+IF(AND(E775=22,F775&lt;&gt;"ASTM A416"),L775,0),3)</f>
        <v/>
      </c>
      <c r="W775" s="20">
        <f>ROUND(W774+IF(AND(E775=25,F775&lt;&gt;"ASTM A416"),L775,0),3)</f>
        <v/>
      </c>
      <c r="X775" s="20">
        <f>ROUND(X774+IF(AND(E775=28,F775&lt;&gt;"ASTM A416"),L775,0),3)</f>
        <v/>
      </c>
      <c r="Y775" s="20">
        <f>ROUND(Y774+IF(AND(E775=32,F775&lt;&gt;"ASTM A416"),L775,0),3)</f>
        <v/>
      </c>
      <c r="Z775" s="20">
        <f>ROUND(Z774+IF(F775="ASTM A416",L775,0),3)</f>
        <v/>
      </c>
      <c r="AA775" s="11">
        <f>IF(ROUNDUP(P775/20,0)&gt;ROUNDUP(P774/20,0),"Lần " &amp; ROUNDUP(P775/20,0),"")</f>
        <v/>
      </c>
      <c r="AB775" s="11">
        <f>IF(ROUNDUP(Q775/20,0)&gt;ROUNDUP(Q774/20,0),"Lần " &amp; ROUNDUP(Q775/20,0),"")</f>
        <v/>
      </c>
      <c r="AC775" s="11">
        <f>IF(ROUNDUP(R775/20,0)&gt;ROUNDUP(R774/20,0),"Lần " &amp; ROUNDUP(R775/20,0),"")</f>
        <v/>
      </c>
      <c r="AD775" s="11">
        <f>IF(ROUNDUP(S775/20,0)&gt;ROUNDUP(S774/20,0),"Lần " &amp; ROUNDUP(S775/20,0),"")</f>
        <v/>
      </c>
      <c r="AE775" s="11">
        <f>IF(ROUNDUP(T775/20,0)&gt;ROUNDUP(T774/20,0),"Lần " &amp; ROUNDUP(T775/20,0),"")</f>
        <v/>
      </c>
      <c r="AF775" s="11">
        <f>IF(ROUNDUP(U775/20,0)&gt;ROUNDUP(U774/20,0),"Lần " &amp; ROUNDUP(U775/20,0),"")</f>
        <v/>
      </c>
      <c r="AG775" s="11">
        <f>IF(ROUNDUP(V775/20,0)&gt;ROUNDUP(V774/20,0),"Lần " &amp; ROUNDUP(V775/20,0),"")</f>
        <v/>
      </c>
      <c r="AH775" s="11">
        <f>IF(ROUNDUP(W775/20,0)&gt;ROUNDUP(W774/20,0),"Lần " &amp; ROUNDUP(W775/20,0),"")</f>
        <v/>
      </c>
      <c r="AI775" s="11">
        <f>IF(ROUNDUP(X775/20,0)&gt;ROUNDUP(X774/20,0),"Lần " &amp; ROUNDUP(X775/20,0),"")</f>
        <v/>
      </c>
      <c r="AJ775" s="11">
        <f>IF(ROUNDUP(Y775/20,0)&gt;ROUNDUP(Y774/20,0),"Lần " &amp; ROUNDUP(Y775/20,0),"")</f>
        <v/>
      </c>
      <c r="AK775" s="11">
        <f>IF(ROUNDUP(Z775/20,0)&gt;ROUNDUP(Z774/20,0),"Lần " &amp; ROUNDUP(Z775/20,0),"")</f>
        <v/>
      </c>
      <c r="AL775" s="6" t="n"/>
      <c r="AN775" t="inlineStr">
        <is>
          <t>Coc</t>
        </is>
      </c>
      <c r="AO775" t="n">
        <v>27</v>
      </c>
    </row>
    <row r="776" ht="19" customHeight="1">
      <c r="A776" s="6" t="n">
        <v>736</v>
      </c>
      <c r="B776" s="7" t="inlineStr">
        <is>
          <t>Cọc khoan nhồi C5 Mố M2 (D1.2m, L=36.0m)</t>
        </is>
      </c>
      <c r="C776" s="7" t="inlineStr">
        <is>
          <t>Cọc mố M2 L=36m (tr.66)</t>
        </is>
      </c>
      <c r="D776" s="18" t="inlineStr">
        <is>
          <t>P2A</t>
        </is>
      </c>
      <c r="E776" s="19" t="n">
        <v>28</v>
      </c>
      <c r="F776" s="6" t="inlineStr">
        <is>
          <t>CB400-V</t>
        </is>
      </c>
      <c r="G776" s="7" t="inlineStr"/>
      <c r="H776" s="20" t="n">
        <v>2.966</v>
      </c>
      <c r="I776" s="21" t="n">
        <v>5</v>
      </c>
      <c r="J776" s="22" t="n">
        <v>4.834</v>
      </c>
      <c r="K776" s="9">
        <f>ROUND(H776*I776*J776, 2)</f>
        <v/>
      </c>
      <c r="L776" s="23">
        <f>ROUND(K776/1000, 3)</f>
        <v/>
      </c>
      <c r="M776" s="8">
        <f>IF(AO776="","",IF(INDEX(Theo_Doi_Tan_Suat_Be_Tong!$C:$C,AO776)="","",INDEX(Theo_Doi_Tan_Suat_Be_Tong!$C:$C,AO776)-VLOOKUP(AN776,$AQ$2:$AR$7,2,FALSE)))</f>
        <v/>
      </c>
      <c r="N776" s="6" t="n"/>
      <c r="O776" s="24">
        <f>IF(ROUNDUP(X776/20,0)&gt;ROUNDUP(X775/20,0),"TN Ø28 (Lần " &amp; ROUNDUP(X776/20,0) &amp; ")","")</f>
        <v/>
      </c>
      <c r="P776" s="20">
        <f>ROUND(P775+IF(AND(E776&lt;=10,F776&lt;&gt;"ASTM A416"),L776,0),3)</f>
        <v/>
      </c>
      <c r="Q776" s="20">
        <f>ROUND(Q775+IF(AND(E776=12,F776&lt;&gt;"ASTM A416"),L776,0),3)</f>
        <v/>
      </c>
      <c r="R776" s="20">
        <f>ROUND(R775+IF(AND(E776=14,F776&lt;&gt;"ASTM A416"),L776,0),3)</f>
        <v/>
      </c>
      <c r="S776" s="20">
        <f>ROUND(S775+IF(AND(E776=16,F776&lt;&gt;"ASTM A416"),L776,0),3)</f>
        <v/>
      </c>
      <c r="T776" s="20">
        <f>ROUND(T775+IF(AND(E776=18,F776&lt;&gt;"ASTM A416"),L776,0),3)</f>
        <v/>
      </c>
      <c r="U776" s="20">
        <f>ROUND(U775+IF(AND(E776=20,F776&lt;&gt;"ASTM A416"),L776,0),3)</f>
        <v/>
      </c>
      <c r="V776" s="20">
        <f>ROUND(V775+IF(AND(E776=22,F776&lt;&gt;"ASTM A416"),L776,0),3)</f>
        <v/>
      </c>
      <c r="W776" s="20">
        <f>ROUND(W775+IF(AND(E776=25,F776&lt;&gt;"ASTM A416"),L776,0),3)</f>
        <v/>
      </c>
      <c r="X776" s="20">
        <f>ROUND(X775+IF(AND(E776=28,F776&lt;&gt;"ASTM A416"),L776,0),3)</f>
        <v/>
      </c>
      <c r="Y776" s="20">
        <f>ROUND(Y775+IF(AND(E776=32,F776&lt;&gt;"ASTM A416"),L776,0),3)</f>
        <v/>
      </c>
      <c r="Z776" s="20">
        <f>ROUND(Z775+IF(F776="ASTM A416",L776,0),3)</f>
        <v/>
      </c>
      <c r="AA776" s="11">
        <f>IF(ROUNDUP(P776/20,0)&gt;ROUNDUP(P775/20,0),"Lần " &amp; ROUNDUP(P776/20,0),"")</f>
        <v/>
      </c>
      <c r="AB776" s="11">
        <f>IF(ROUNDUP(Q776/20,0)&gt;ROUNDUP(Q775/20,0),"Lần " &amp; ROUNDUP(Q776/20,0),"")</f>
        <v/>
      </c>
      <c r="AC776" s="11">
        <f>IF(ROUNDUP(R776/20,0)&gt;ROUNDUP(R775/20,0),"Lần " &amp; ROUNDUP(R776/20,0),"")</f>
        <v/>
      </c>
      <c r="AD776" s="11">
        <f>IF(ROUNDUP(S776/20,0)&gt;ROUNDUP(S775/20,0),"Lần " &amp; ROUNDUP(S776/20,0),"")</f>
        <v/>
      </c>
      <c r="AE776" s="11">
        <f>IF(ROUNDUP(T776/20,0)&gt;ROUNDUP(T775/20,0),"Lần " &amp; ROUNDUP(T776/20,0),"")</f>
        <v/>
      </c>
      <c r="AF776" s="11">
        <f>IF(ROUNDUP(U776/20,0)&gt;ROUNDUP(U775/20,0),"Lần " &amp; ROUNDUP(U776/20,0),"")</f>
        <v/>
      </c>
      <c r="AG776" s="11">
        <f>IF(ROUNDUP(V776/20,0)&gt;ROUNDUP(V775/20,0),"Lần " &amp; ROUNDUP(V776/20,0),"")</f>
        <v/>
      </c>
      <c r="AH776" s="11">
        <f>IF(ROUNDUP(W776/20,0)&gt;ROUNDUP(W775/20,0),"Lần " &amp; ROUNDUP(W776/20,0),"")</f>
        <v/>
      </c>
      <c r="AI776" s="11">
        <f>IF(ROUNDUP(X776/20,0)&gt;ROUNDUP(X775/20,0),"Lần " &amp; ROUNDUP(X776/20,0),"")</f>
        <v/>
      </c>
      <c r="AJ776" s="11">
        <f>IF(ROUNDUP(Y776/20,0)&gt;ROUNDUP(Y775/20,0),"Lần " &amp; ROUNDUP(Y776/20,0),"")</f>
        <v/>
      </c>
      <c r="AK776" s="11">
        <f>IF(ROUNDUP(Z776/20,0)&gt;ROUNDUP(Z775/20,0),"Lần " &amp; ROUNDUP(Z776/20,0),"")</f>
        <v/>
      </c>
      <c r="AL776" s="6" t="n"/>
      <c r="AN776" t="inlineStr">
        <is>
          <t>Coc</t>
        </is>
      </c>
      <c r="AO776" t="n">
        <v>27</v>
      </c>
    </row>
    <row r="777" ht="19" customHeight="1">
      <c r="A777" s="6" t="n">
        <v>737</v>
      </c>
      <c r="B777" s="7" t="inlineStr">
        <is>
          <t>Cọc khoan nhồi C5 Mố M2 (D1.2m, L=36.0m)</t>
        </is>
      </c>
      <c r="C777" s="7" t="inlineStr">
        <is>
          <t>Cọc mố M2 L=36m (tr.66)</t>
        </is>
      </c>
      <c r="D777" s="18" t="inlineStr">
        <is>
          <t>P2B</t>
        </is>
      </c>
      <c r="E777" s="19" t="n">
        <v>25</v>
      </c>
      <c r="F777" s="6" t="inlineStr">
        <is>
          <t>CB400-V</t>
        </is>
      </c>
      <c r="G777" s="7" t="inlineStr"/>
      <c r="H777" s="20" t="n">
        <v>2.985</v>
      </c>
      <c r="I777" s="21" t="n">
        <v>10</v>
      </c>
      <c r="J777" s="22" t="n">
        <v>3.853</v>
      </c>
      <c r="K777" s="9">
        <f>ROUND(H777*I777*J777, 2)</f>
        <v/>
      </c>
      <c r="L777" s="23">
        <f>ROUND(K777/1000, 3)</f>
        <v/>
      </c>
      <c r="M777" s="8">
        <f>IF(AO777="","",IF(INDEX(Theo_Doi_Tan_Suat_Be_Tong!$C:$C,AO777)="","",INDEX(Theo_Doi_Tan_Suat_Be_Tong!$C:$C,AO777)-VLOOKUP(AN777,$AQ$2:$AR$7,2,FALSE)))</f>
        <v/>
      </c>
      <c r="N777" s="6" t="n"/>
      <c r="O777" s="24">
        <f>IF(ROUNDUP(W777/20,0)&gt;ROUNDUP(W776/20,0),"TN Ø25 (Lần " &amp; ROUNDUP(W777/20,0) &amp; ")","")</f>
        <v/>
      </c>
      <c r="P777" s="20">
        <f>ROUND(P776+IF(AND(E777&lt;=10,F777&lt;&gt;"ASTM A416"),L777,0),3)</f>
        <v/>
      </c>
      <c r="Q777" s="20">
        <f>ROUND(Q776+IF(AND(E777=12,F777&lt;&gt;"ASTM A416"),L777,0),3)</f>
        <v/>
      </c>
      <c r="R777" s="20">
        <f>ROUND(R776+IF(AND(E777=14,F777&lt;&gt;"ASTM A416"),L777,0),3)</f>
        <v/>
      </c>
      <c r="S777" s="20">
        <f>ROUND(S776+IF(AND(E777=16,F777&lt;&gt;"ASTM A416"),L777,0),3)</f>
        <v/>
      </c>
      <c r="T777" s="20">
        <f>ROUND(T776+IF(AND(E777=18,F777&lt;&gt;"ASTM A416"),L777,0),3)</f>
        <v/>
      </c>
      <c r="U777" s="20">
        <f>ROUND(U776+IF(AND(E777=20,F777&lt;&gt;"ASTM A416"),L777,0),3)</f>
        <v/>
      </c>
      <c r="V777" s="20">
        <f>ROUND(V776+IF(AND(E777=22,F777&lt;&gt;"ASTM A416"),L777,0),3)</f>
        <v/>
      </c>
      <c r="W777" s="20">
        <f>ROUND(W776+IF(AND(E777=25,F777&lt;&gt;"ASTM A416"),L777,0),3)</f>
        <v/>
      </c>
      <c r="X777" s="20">
        <f>ROUND(X776+IF(AND(E777=28,F777&lt;&gt;"ASTM A416"),L777,0),3)</f>
        <v/>
      </c>
      <c r="Y777" s="20">
        <f>ROUND(Y776+IF(AND(E777=32,F777&lt;&gt;"ASTM A416"),L777,0),3)</f>
        <v/>
      </c>
      <c r="Z777" s="20">
        <f>ROUND(Z776+IF(F777="ASTM A416",L777,0),3)</f>
        <v/>
      </c>
      <c r="AA777" s="11">
        <f>IF(ROUNDUP(P777/20,0)&gt;ROUNDUP(P776/20,0),"Lần " &amp; ROUNDUP(P777/20,0),"")</f>
        <v/>
      </c>
      <c r="AB777" s="11">
        <f>IF(ROUNDUP(Q777/20,0)&gt;ROUNDUP(Q776/20,0),"Lần " &amp; ROUNDUP(Q777/20,0),"")</f>
        <v/>
      </c>
      <c r="AC777" s="11">
        <f>IF(ROUNDUP(R777/20,0)&gt;ROUNDUP(R776/20,0),"Lần " &amp; ROUNDUP(R777/20,0),"")</f>
        <v/>
      </c>
      <c r="AD777" s="11">
        <f>IF(ROUNDUP(S777/20,0)&gt;ROUNDUP(S776/20,0),"Lần " &amp; ROUNDUP(S777/20,0),"")</f>
        <v/>
      </c>
      <c r="AE777" s="11">
        <f>IF(ROUNDUP(T777/20,0)&gt;ROUNDUP(T776/20,0),"Lần " &amp; ROUNDUP(T777/20,0),"")</f>
        <v/>
      </c>
      <c r="AF777" s="11">
        <f>IF(ROUNDUP(U777/20,0)&gt;ROUNDUP(U776/20,0),"Lần " &amp; ROUNDUP(U777/20,0),"")</f>
        <v/>
      </c>
      <c r="AG777" s="11">
        <f>IF(ROUNDUP(V777/20,0)&gt;ROUNDUP(V776/20,0),"Lần " &amp; ROUNDUP(V777/20,0),"")</f>
        <v/>
      </c>
      <c r="AH777" s="11">
        <f>IF(ROUNDUP(W777/20,0)&gt;ROUNDUP(W776/20,0),"Lần " &amp; ROUNDUP(W777/20,0),"")</f>
        <v/>
      </c>
      <c r="AI777" s="11">
        <f>IF(ROUNDUP(X777/20,0)&gt;ROUNDUP(X776/20,0),"Lần " &amp; ROUNDUP(X777/20,0),"")</f>
        <v/>
      </c>
      <c r="AJ777" s="11">
        <f>IF(ROUNDUP(Y777/20,0)&gt;ROUNDUP(Y776/20,0),"Lần " &amp; ROUNDUP(Y777/20,0),"")</f>
        <v/>
      </c>
      <c r="AK777" s="11">
        <f>IF(ROUNDUP(Z777/20,0)&gt;ROUNDUP(Z776/20,0),"Lần " &amp; ROUNDUP(Z777/20,0),"")</f>
        <v/>
      </c>
      <c r="AL777" s="6" t="n"/>
      <c r="AN777" t="inlineStr">
        <is>
          <t>Coc</t>
        </is>
      </c>
      <c r="AO777" t="n">
        <v>27</v>
      </c>
    </row>
    <row r="778" ht="19" customHeight="1">
      <c r="A778" s="6" t="n">
        <v>738</v>
      </c>
      <c r="B778" s="7" t="inlineStr">
        <is>
          <t>Cọc khoan nhồi C5 Mố M2 (D1.2m, L=36.0m)</t>
        </is>
      </c>
      <c r="C778" s="7" t="inlineStr">
        <is>
          <t>Cọc mố M2 L=36m (tr.66)</t>
        </is>
      </c>
      <c r="D778" s="18" t="inlineStr">
        <is>
          <t>P3</t>
        </is>
      </c>
      <c r="E778" s="19" t="n">
        <v>28</v>
      </c>
      <c r="F778" s="6" t="inlineStr">
        <is>
          <t>CB400-V</t>
        </is>
      </c>
      <c r="G778" s="7" t="inlineStr"/>
      <c r="H778" s="20" t="n">
        <v>10.7</v>
      </c>
      <c r="I778" s="21" t="n">
        <v>12</v>
      </c>
      <c r="J778" s="22" t="n">
        <v>4.834</v>
      </c>
      <c r="K778" s="9">
        <f>ROUND(H778*I778*J778, 2)</f>
        <v/>
      </c>
      <c r="L778" s="23">
        <f>ROUND(K778/1000, 3)</f>
        <v/>
      </c>
      <c r="M778" s="8">
        <f>IF(AO778="","",IF(INDEX(Theo_Doi_Tan_Suat_Be_Tong!$C:$C,AO778)="","",INDEX(Theo_Doi_Tan_Suat_Be_Tong!$C:$C,AO778)-VLOOKUP(AN778,$AQ$2:$AR$7,2,FALSE)))</f>
        <v/>
      </c>
      <c r="N778" s="6" t="n"/>
      <c r="O778" s="24">
        <f>IF(ROUNDUP(X778/20,0)&gt;ROUNDUP(X777/20,0),"TN Ø28 (Lần " &amp; ROUNDUP(X778/20,0) &amp; ")","")</f>
        <v/>
      </c>
      <c r="P778" s="20">
        <f>ROUND(P777+IF(AND(E778&lt;=10,F778&lt;&gt;"ASTM A416"),L778,0),3)</f>
        <v/>
      </c>
      <c r="Q778" s="20">
        <f>ROUND(Q777+IF(AND(E778=12,F778&lt;&gt;"ASTM A416"),L778,0),3)</f>
        <v/>
      </c>
      <c r="R778" s="20">
        <f>ROUND(R777+IF(AND(E778=14,F778&lt;&gt;"ASTM A416"),L778,0),3)</f>
        <v/>
      </c>
      <c r="S778" s="20">
        <f>ROUND(S777+IF(AND(E778=16,F778&lt;&gt;"ASTM A416"),L778,0),3)</f>
        <v/>
      </c>
      <c r="T778" s="20">
        <f>ROUND(T777+IF(AND(E778=18,F778&lt;&gt;"ASTM A416"),L778,0),3)</f>
        <v/>
      </c>
      <c r="U778" s="20">
        <f>ROUND(U777+IF(AND(E778=20,F778&lt;&gt;"ASTM A416"),L778,0),3)</f>
        <v/>
      </c>
      <c r="V778" s="20">
        <f>ROUND(V777+IF(AND(E778=22,F778&lt;&gt;"ASTM A416"),L778,0),3)</f>
        <v/>
      </c>
      <c r="W778" s="20">
        <f>ROUND(W777+IF(AND(E778=25,F778&lt;&gt;"ASTM A416"),L778,0),3)</f>
        <v/>
      </c>
      <c r="X778" s="20">
        <f>ROUND(X777+IF(AND(E778=28,F778&lt;&gt;"ASTM A416"),L778,0),3)</f>
        <v/>
      </c>
      <c r="Y778" s="20">
        <f>ROUND(Y777+IF(AND(E778=32,F778&lt;&gt;"ASTM A416"),L778,0),3)</f>
        <v/>
      </c>
      <c r="Z778" s="20">
        <f>ROUND(Z777+IF(F778="ASTM A416",L778,0),3)</f>
        <v/>
      </c>
      <c r="AA778" s="11">
        <f>IF(ROUNDUP(P778/20,0)&gt;ROUNDUP(P777/20,0),"Lần " &amp; ROUNDUP(P778/20,0),"")</f>
        <v/>
      </c>
      <c r="AB778" s="11">
        <f>IF(ROUNDUP(Q778/20,0)&gt;ROUNDUP(Q777/20,0),"Lần " &amp; ROUNDUP(Q778/20,0),"")</f>
        <v/>
      </c>
      <c r="AC778" s="11">
        <f>IF(ROUNDUP(R778/20,0)&gt;ROUNDUP(R777/20,0),"Lần " &amp; ROUNDUP(R778/20,0),"")</f>
        <v/>
      </c>
      <c r="AD778" s="11">
        <f>IF(ROUNDUP(S778/20,0)&gt;ROUNDUP(S777/20,0),"Lần " &amp; ROUNDUP(S778/20,0),"")</f>
        <v/>
      </c>
      <c r="AE778" s="11">
        <f>IF(ROUNDUP(T778/20,0)&gt;ROUNDUP(T777/20,0),"Lần " &amp; ROUNDUP(T778/20,0),"")</f>
        <v/>
      </c>
      <c r="AF778" s="11">
        <f>IF(ROUNDUP(U778/20,0)&gt;ROUNDUP(U777/20,0),"Lần " &amp; ROUNDUP(U778/20,0),"")</f>
        <v/>
      </c>
      <c r="AG778" s="11">
        <f>IF(ROUNDUP(V778/20,0)&gt;ROUNDUP(V777/20,0),"Lần " &amp; ROUNDUP(V778/20,0),"")</f>
        <v/>
      </c>
      <c r="AH778" s="11">
        <f>IF(ROUNDUP(W778/20,0)&gt;ROUNDUP(W777/20,0),"Lần " &amp; ROUNDUP(W778/20,0),"")</f>
        <v/>
      </c>
      <c r="AI778" s="11">
        <f>IF(ROUNDUP(X778/20,0)&gt;ROUNDUP(X777/20,0),"Lần " &amp; ROUNDUP(X778/20,0),"")</f>
        <v/>
      </c>
      <c r="AJ778" s="11">
        <f>IF(ROUNDUP(Y778/20,0)&gt;ROUNDUP(Y777/20,0),"Lần " &amp; ROUNDUP(Y778/20,0),"")</f>
        <v/>
      </c>
      <c r="AK778" s="11">
        <f>IF(ROUNDUP(Z778/20,0)&gt;ROUNDUP(Z777/20,0),"Lần " &amp; ROUNDUP(Z778/20,0),"")</f>
        <v/>
      </c>
      <c r="AL778" s="6" t="n"/>
      <c r="AN778" t="inlineStr">
        <is>
          <t>Coc</t>
        </is>
      </c>
      <c r="AO778" t="n">
        <v>27</v>
      </c>
    </row>
    <row r="779" ht="19" customHeight="1">
      <c r="A779" s="6" t="n">
        <v>739</v>
      </c>
      <c r="B779" s="7" t="inlineStr">
        <is>
          <t>Cọc khoan nhồi C5 Mố M2 (D1.2m, L=36.0m)</t>
        </is>
      </c>
      <c r="C779" s="7" t="inlineStr">
        <is>
          <t>Cọc mố M2 L=36m (tr.66)</t>
        </is>
      </c>
      <c r="D779" s="18" t="inlineStr">
        <is>
          <t>P4</t>
        </is>
      </c>
      <c r="E779" s="19" t="n">
        <v>28</v>
      </c>
      <c r="F779" s="6" t="inlineStr">
        <is>
          <t>CB400-V</t>
        </is>
      </c>
      <c r="G779" s="7" t="inlineStr"/>
      <c r="H779" s="20" t="n">
        <v>11.7</v>
      </c>
      <c r="I779" s="21" t="n">
        <v>12</v>
      </c>
      <c r="J779" s="22" t="n">
        <v>4.834</v>
      </c>
      <c r="K779" s="9">
        <f>ROUND(H779*I779*J779, 2)</f>
        <v/>
      </c>
      <c r="L779" s="23">
        <f>ROUND(K779/1000, 3)</f>
        <v/>
      </c>
      <c r="M779" s="8">
        <f>IF(AO779="","",IF(INDEX(Theo_Doi_Tan_Suat_Be_Tong!$C:$C,AO779)="","",INDEX(Theo_Doi_Tan_Suat_Be_Tong!$C:$C,AO779)-VLOOKUP(AN779,$AQ$2:$AR$7,2,FALSE)))</f>
        <v/>
      </c>
      <c r="N779" s="6" t="n"/>
      <c r="O779" s="24">
        <f>IF(ROUNDUP(X779/20,0)&gt;ROUNDUP(X778/20,0),"TN Ø28 (Lần " &amp; ROUNDUP(X779/20,0) &amp; ")","")</f>
        <v/>
      </c>
      <c r="P779" s="20">
        <f>ROUND(P778+IF(AND(E779&lt;=10,F779&lt;&gt;"ASTM A416"),L779,0),3)</f>
        <v/>
      </c>
      <c r="Q779" s="20">
        <f>ROUND(Q778+IF(AND(E779=12,F779&lt;&gt;"ASTM A416"),L779,0),3)</f>
        <v/>
      </c>
      <c r="R779" s="20">
        <f>ROUND(R778+IF(AND(E779=14,F779&lt;&gt;"ASTM A416"),L779,0),3)</f>
        <v/>
      </c>
      <c r="S779" s="20">
        <f>ROUND(S778+IF(AND(E779=16,F779&lt;&gt;"ASTM A416"),L779,0),3)</f>
        <v/>
      </c>
      <c r="T779" s="20">
        <f>ROUND(T778+IF(AND(E779=18,F779&lt;&gt;"ASTM A416"),L779,0),3)</f>
        <v/>
      </c>
      <c r="U779" s="20">
        <f>ROUND(U778+IF(AND(E779=20,F779&lt;&gt;"ASTM A416"),L779,0),3)</f>
        <v/>
      </c>
      <c r="V779" s="20">
        <f>ROUND(V778+IF(AND(E779=22,F779&lt;&gt;"ASTM A416"),L779,0),3)</f>
        <v/>
      </c>
      <c r="W779" s="20">
        <f>ROUND(W778+IF(AND(E779=25,F779&lt;&gt;"ASTM A416"),L779,0),3)</f>
        <v/>
      </c>
      <c r="X779" s="20">
        <f>ROUND(X778+IF(AND(E779=28,F779&lt;&gt;"ASTM A416"),L779,0),3)</f>
        <v/>
      </c>
      <c r="Y779" s="20">
        <f>ROUND(Y778+IF(AND(E779=32,F779&lt;&gt;"ASTM A416"),L779,0),3)</f>
        <v/>
      </c>
      <c r="Z779" s="20">
        <f>ROUND(Z778+IF(F779="ASTM A416",L779,0),3)</f>
        <v/>
      </c>
      <c r="AA779" s="11">
        <f>IF(ROUNDUP(P779/20,0)&gt;ROUNDUP(P778/20,0),"Lần " &amp; ROUNDUP(P779/20,0),"")</f>
        <v/>
      </c>
      <c r="AB779" s="11">
        <f>IF(ROUNDUP(Q779/20,0)&gt;ROUNDUP(Q778/20,0),"Lần " &amp; ROUNDUP(Q779/20,0),"")</f>
        <v/>
      </c>
      <c r="AC779" s="11">
        <f>IF(ROUNDUP(R779/20,0)&gt;ROUNDUP(R778/20,0),"Lần " &amp; ROUNDUP(R779/20,0),"")</f>
        <v/>
      </c>
      <c r="AD779" s="11">
        <f>IF(ROUNDUP(S779/20,0)&gt;ROUNDUP(S778/20,0),"Lần " &amp; ROUNDUP(S779/20,0),"")</f>
        <v/>
      </c>
      <c r="AE779" s="11">
        <f>IF(ROUNDUP(T779/20,0)&gt;ROUNDUP(T778/20,0),"Lần " &amp; ROUNDUP(T779/20,0),"")</f>
        <v/>
      </c>
      <c r="AF779" s="11">
        <f>IF(ROUNDUP(U779/20,0)&gt;ROUNDUP(U778/20,0),"Lần " &amp; ROUNDUP(U779/20,0),"")</f>
        <v/>
      </c>
      <c r="AG779" s="11">
        <f>IF(ROUNDUP(V779/20,0)&gt;ROUNDUP(V778/20,0),"Lần " &amp; ROUNDUP(V779/20,0),"")</f>
        <v/>
      </c>
      <c r="AH779" s="11">
        <f>IF(ROUNDUP(W779/20,0)&gt;ROUNDUP(W778/20,0),"Lần " &amp; ROUNDUP(W779/20,0),"")</f>
        <v/>
      </c>
      <c r="AI779" s="11">
        <f>IF(ROUNDUP(X779/20,0)&gt;ROUNDUP(X778/20,0),"Lần " &amp; ROUNDUP(X779/20,0),"")</f>
        <v/>
      </c>
      <c r="AJ779" s="11">
        <f>IF(ROUNDUP(Y779/20,0)&gt;ROUNDUP(Y778/20,0),"Lần " &amp; ROUNDUP(Y779/20,0),"")</f>
        <v/>
      </c>
      <c r="AK779" s="11">
        <f>IF(ROUNDUP(Z779/20,0)&gt;ROUNDUP(Z778/20,0),"Lần " &amp; ROUNDUP(Z779/20,0),"")</f>
        <v/>
      </c>
      <c r="AL779" s="6" t="n"/>
      <c r="AN779" t="inlineStr">
        <is>
          <t>Coc</t>
        </is>
      </c>
      <c r="AO779" t="n">
        <v>27</v>
      </c>
    </row>
    <row r="780" ht="19" customHeight="1">
      <c r="A780" s="6" t="n">
        <v>740</v>
      </c>
      <c r="B780" s="7" t="inlineStr">
        <is>
          <t>Cọc khoan nhồi C5 Mố M2 (D1.2m, L=36.0m)</t>
        </is>
      </c>
      <c r="C780" s="7" t="inlineStr">
        <is>
          <t>Cọc mố M2 L=36m (tr.66)</t>
        </is>
      </c>
      <c r="D780" s="18" t="inlineStr">
        <is>
          <t>P5</t>
        </is>
      </c>
      <c r="E780" s="19" t="n">
        <v>25</v>
      </c>
      <c r="F780" s="6" t="inlineStr">
        <is>
          <t>CB400-V</t>
        </is>
      </c>
      <c r="G780" s="7" t="inlineStr"/>
      <c r="H780" s="20" t="n">
        <v>11.7</v>
      </c>
      <c r="I780" s="21" t="n">
        <v>48</v>
      </c>
      <c r="J780" s="22" t="n">
        <v>3.853</v>
      </c>
      <c r="K780" s="9">
        <f>ROUND(H780*I780*J780, 2)</f>
        <v/>
      </c>
      <c r="L780" s="23">
        <f>ROUND(K780/1000, 3)</f>
        <v/>
      </c>
      <c r="M780" s="8">
        <f>IF(AO780="","",IF(INDEX(Theo_Doi_Tan_Suat_Be_Tong!$C:$C,AO780)="","",INDEX(Theo_Doi_Tan_Suat_Be_Tong!$C:$C,AO780)-VLOOKUP(AN780,$AQ$2:$AR$7,2,FALSE)))</f>
        <v/>
      </c>
      <c r="N780" s="6" t="n"/>
      <c r="O780" s="24">
        <f>IF(ROUNDUP(W780/20,0)&gt;ROUNDUP(W779/20,0),"TN Ø25 (Lần " &amp; ROUNDUP(W780/20,0) &amp; ")","")</f>
        <v/>
      </c>
      <c r="P780" s="20">
        <f>ROUND(P779+IF(AND(E780&lt;=10,F780&lt;&gt;"ASTM A416"),L780,0),3)</f>
        <v/>
      </c>
      <c r="Q780" s="20">
        <f>ROUND(Q779+IF(AND(E780=12,F780&lt;&gt;"ASTM A416"),L780,0),3)</f>
        <v/>
      </c>
      <c r="R780" s="20">
        <f>ROUND(R779+IF(AND(E780=14,F780&lt;&gt;"ASTM A416"),L780,0),3)</f>
        <v/>
      </c>
      <c r="S780" s="20">
        <f>ROUND(S779+IF(AND(E780=16,F780&lt;&gt;"ASTM A416"),L780,0),3)</f>
        <v/>
      </c>
      <c r="T780" s="20">
        <f>ROUND(T779+IF(AND(E780=18,F780&lt;&gt;"ASTM A416"),L780,0),3)</f>
        <v/>
      </c>
      <c r="U780" s="20">
        <f>ROUND(U779+IF(AND(E780=20,F780&lt;&gt;"ASTM A416"),L780,0),3)</f>
        <v/>
      </c>
      <c r="V780" s="20">
        <f>ROUND(V779+IF(AND(E780=22,F780&lt;&gt;"ASTM A416"),L780,0),3)</f>
        <v/>
      </c>
      <c r="W780" s="20">
        <f>ROUND(W779+IF(AND(E780=25,F780&lt;&gt;"ASTM A416"),L780,0),3)</f>
        <v/>
      </c>
      <c r="X780" s="20">
        <f>ROUND(X779+IF(AND(E780=28,F780&lt;&gt;"ASTM A416"),L780,0),3)</f>
        <v/>
      </c>
      <c r="Y780" s="20">
        <f>ROUND(Y779+IF(AND(E780=32,F780&lt;&gt;"ASTM A416"),L780,0),3)</f>
        <v/>
      </c>
      <c r="Z780" s="20">
        <f>ROUND(Z779+IF(F780="ASTM A416",L780,0),3)</f>
        <v/>
      </c>
      <c r="AA780" s="11">
        <f>IF(ROUNDUP(P780/20,0)&gt;ROUNDUP(P779/20,0),"Lần " &amp; ROUNDUP(P780/20,0),"")</f>
        <v/>
      </c>
      <c r="AB780" s="11">
        <f>IF(ROUNDUP(Q780/20,0)&gt;ROUNDUP(Q779/20,0),"Lần " &amp; ROUNDUP(Q780/20,0),"")</f>
        <v/>
      </c>
      <c r="AC780" s="11">
        <f>IF(ROUNDUP(R780/20,0)&gt;ROUNDUP(R779/20,0),"Lần " &amp; ROUNDUP(R780/20,0),"")</f>
        <v/>
      </c>
      <c r="AD780" s="11">
        <f>IF(ROUNDUP(S780/20,0)&gt;ROUNDUP(S779/20,0),"Lần " &amp; ROUNDUP(S780/20,0),"")</f>
        <v/>
      </c>
      <c r="AE780" s="11">
        <f>IF(ROUNDUP(T780/20,0)&gt;ROUNDUP(T779/20,0),"Lần " &amp; ROUNDUP(T780/20,0),"")</f>
        <v/>
      </c>
      <c r="AF780" s="11">
        <f>IF(ROUNDUP(U780/20,0)&gt;ROUNDUP(U779/20,0),"Lần " &amp; ROUNDUP(U780/20,0),"")</f>
        <v/>
      </c>
      <c r="AG780" s="11">
        <f>IF(ROUNDUP(V780/20,0)&gt;ROUNDUP(V779/20,0),"Lần " &amp; ROUNDUP(V780/20,0),"")</f>
        <v/>
      </c>
      <c r="AH780" s="11">
        <f>IF(ROUNDUP(W780/20,0)&gt;ROUNDUP(W779/20,0),"Lần " &amp; ROUNDUP(W780/20,0),"")</f>
        <v/>
      </c>
      <c r="AI780" s="11">
        <f>IF(ROUNDUP(X780/20,0)&gt;ROUNDUP(X779/20,0),"Lần " &amp; ROUNDUP(X780/20,0),"")</f>
        <v/>
      </c>
      <c r="AJ780" s="11">
        <f>IF(ROUNDUP(Y780/20,0)&gt;ROUNDUP(Y779/20,0),"Lần " &amp; ROUNDUP(Y780/20,0),"")</f>
        <v/>
      </c>
      <c r="AK780" s="11">
        <f>IF(ROUNDUP(Z780/20,0)&gt;ROUNDUP(Z779/20,0),"Lần " &amp; ROUNDUP(Z780/20,0),"")</f>
        <v/>
      </c>
      <c r="AL780" s="6" t="n"/>
      <c r="AN780" t="inlineStr">
        <is>
          <t>Coc</t>
        </is>
      </c>
      <c r="AO780" t="n">
        <v>27</v>
      </c>
    </row>
    <row r="781" ht="19" customHeight="1">
      <c r="A781" s="6" t="n">
        <v>741</v>
      </c>
      <c r="B781" s="7" t="inlineStr">
        <is>
          <t>Cọc khoan nhồi C5 Mố M2 (D1.2m, L=36.0m)</t>
        </is>
      </c>
      <c r="C781" s="7" t="inlineStr">
        <is>
          <t>Cọc mố M2 L=36m (tr.66)</t>
        </is>
      </c>
      <c r="D781" s="18" t="inlineStr">
        <is>
          <t>P6</t>
        </is>
      </c>
      <c r="E781" s="19" t="n">
        <v>25</v>
      </c>
      <c r="F781" s="6" t="inlineStr">
        <is>
          <t>CB400-V</t>
        </is>
      </c>
      <c r="G781" s="7" t="inlineStr"/>
      <c r="H781" s="20" t="n">
        <v>5.153</v>
      </c>
      <c r="I781" s="21" t="n">
        <v>12</v>
      </c>
      <c r="J781" s="22" t="n">
        <v>3.853</v>
      </c>
      <c r="K781" s="9">
        <f>ROUND(H781*I781*J781, 2)</f>
        <v/>
      </c>
      <c r="L781" s="23">
        <f>ROUND(K781/1000, 3)</f>
        <v/>
      </c>
      <c r="M781" s="8">
        <f>IF(AO781="","",IF(INDEX(Theo_Doi_Tan_Suat_Be_Tong!$C:$C,AO781)="","",INDEX(Theo_Doi_Tan_Suat_Be_Tong!$C:$C,AO781)-VLOOKUP(AN781,$AQ$2:$AR$7,2,FALSE)))</f>
        <v/>
      </c>
      <c r="N781" s="6" t="n"/>
      <c r="O781" s="24">
        <f>IF(ROUNDUP(W781/20,0)&gt;ROUNDUP(W780/20,0),"TN Ø25 (Lần " &amp; ROUNDUP(W781/20,0) &amp; ")","")</f>
        <v/>
      </c>
      <c r="P781" s="20">
        <f>ROUND(P780+IF(AND(E781&lt;=10,F781&lt;&gt;"ASTM A416"),L781,0),3)</f>
        <v/>
      </c>
      <c r="Q781" s="20">
        <f>ROUND(Q780+IF(AND(E781=12,F781&lt;&gt;"ASTM A416"),L781,0),3)</f>
        <v/>
      </c>
      <c r="R781" s="20">
        <f>ROUND(R780+IF(AND(E781=14,F781&lt;&gt;"ASTM A416"),L781,0),3)</f>
        <v/>
      </c>
      <c r="S781" s="20">
        <f>ROUND(S780+IF(AND(E781=16,F781&lt;&gt;"ASTM A416"),L781,0),3)</f>
        <v/>
      </c>
      <c r="T781" s="20">
        <f>ROUND(T780+IF(AND(E781=18,F781&lt;&gt;"ASTM A416"),L781,0),3)</f>
        <v/>
      </c>
      <c r="U781" s="20">
        <f>ROUND(U780+IF(AND(E781=20,F781&lt;&gt;"ASTM A416"),L781,0),3)</f>
        <v/>
      </c>
      <c r="V781" s="20">
        <f>ROUND(V780+IF(AND(E781=22,F781&lt;&gt;"ASTM A416"),L781,0),3)</f>
        <v/>
      </c>
      <c r="W781" s="20">
        <f>ROUND(W780+IF(AND(E781=25,F781&lt;&gt;"ASTM A416"),L781,0),3)</f>
        <v/>
      </c>
      <c r="X781" s="20">
        <f>ROUND(X780+IF(AND(E781=28,F781&lt;&gt;"ASTM A416"),L781,0),3)</f>
        <v/>
      </c>
      <c r="Y781" s="20">
        <f>ROUND(Y780+IF(AND(E781=32,F781&lt;&gt;"ASTM A416"),L781,0),3)</f>
        <v/>
      </c>
      <c r="Z781" s="20">
        <f>ROUND(Z780+IF(F781="ASTM A416",L781,0),3)</f>
        <v/>
      </c>
      <c r="AA781" s="11">
        <f>IF(ROUNDUP(P781/20,0)&gt;ROUNDUP(P780/20,0),"Lần " &amp; ROUNDUP(P781/20,0),"")</f>
        <v/>
      </c>
      <c r="AB781" s="11">
        <f>IF(ROUNDUP(Q781/20,0)&gt;ROUNDUP(Q780/20,0),"Lần " &amp; ROUNDUP(Q781/20,0),"")</f>
        <v/>
      </c>
      <c r="AC781" s="11">
        <f>IF(ROUNDUP(R781/20,0)&gt;ROUNDUP(R780/20,0),"Lần " &amp; ROUNDUP(R781/20,0),"")</f>
        <v/>
      </c>
      <c r="AD781" s="11">
        <f>IF(ROUNDUP(S781/20,0)&gt;ROUNDUP(S780/20,0),"Lần " &amp; ROUNDUP(S781/20,0),"")</f>
        <v/>
      </c>
      <c r="AE781" s="11">
        <f>IF(ROUNDUP(T781/20,0)&gt;ROUNDUP(T780/20,0),"Lần " &amp; ROUNDUP(T781/20,0),"")</f>
        <v/>
      </c>
      <c r="AF781" s="11">
        <f>IF(ROUNDUP(U781/20,0)&gt;ROUNDUP(U780/20,0),"Lần " &amp; ROUNDUP(U781/20,0),"")</f>
        <v/>
      </c>
      <c r="AG781" s="11">
        <f>IF(ROUNDUP(V781/20,0)&gt;ROUNDUP(V780/20,0),"Lần " &amp; ROUNDUP(V781/20,0),"")</f>
        <v/>
      </c>
      <c r="AH781" s="11">
        <f>IF(ROUNDUP(W781/20,0)&gt;ROUNDUP(W780/20,0),"Lần " &amp; ROUNDUP(W781/20,0),"")</f>
        <v/>
      </c>
      <c r="AI781" s="11">
        <f>IF(ROUNDUP(X781/20,0)&gt;ROUNDUP(X780/20,0),"Lần " &amp; ROUNDUP(X781/20,0),"")</f>
        <v/>
      </c>
      <c r="AJ781" s="11">
        <f>IF(ROUNDUP(Y781/20,0)&gt;ROUNDUP(Y780/20,0),"Lần " &amp; ROUNDUP(Y781/20,0),"")</f>
        <v/>
      </c>
      <c r="AK781" s="11">
        <f>IF(ROUNDUP(Z781/20,0)&gt;ROUNDUP(Z780/20,0),"Lần " &amp; ROUNDUP(Z781/20,0),"")</f>
        <v/>
      </c>
      <c r="AL781" s="6" t="n"/>
      <c r="AN781" t="inlineStr">
        <is>
          <t>Coc</t>
        </is>
      </c>
      <c r="AO781" t="n">
        <v>27</v>
      </c>
    </row>
    <row r="782" ht="19" customHeight="1">
      <c r="A782" s="6" t="n">
        <v>742</v>
      </c>
      <c r="B782" s="7" t="inlineStr">
        <is>
          <t>Cọc khoan nhồi C5 Mố M2 (D1.2m, L=36.0m)</t>
        </is>
      </c>
      <c r="C782" s="7" t="inlineStr">
        <is>
          <t>Cọc mố M2 L=36m (tr.66)</t>
        </is>
      </c>
      <c r="D782" s="18" t="inlineStr">
        <is>
          <t>P7</t>
        </is>
      </c>
      <c r="E782" s="19" t="n">
        <v>25</v>
      </c>
      <c r="F782" s="6" t="inlineStr">
        <is>
          <t>CB400-V</t>
        </is>
      </c>
      <c r="G782" s="7" t="inlineStr"/>
      <c r="H782" s="20" t="n">
        <v>6.153</v>
      </c>
      <c r="I782" s="21" t="n">
        <v>12</v>
      </c>
      <c r="J782" s="22" t="n">
        <v>3.853</v>
      </c>
      <c r="K782" s="9">
        <f>ROUND(H782*I782*J782, 2)</f>
        <v/>
      </c>
      <c r="L782" s="23">
        <f>ROUND(K782/1000, 3)</f>
        <v/>
      </c>
      <c r="M782" s="8">
        <f>IF(AO782="","",IF(INDEX(Theo_Doi_Tan_Suat_Be_Tong!$C:$C,AO782)="","",INDEX(Theo_Doi_Tan_Suat_Be_Tong!$C:$C,AO782)-VLOOKUP(AN782,$AQ$2:$AR$7,2,FALSE)))</f>
        <v/>
      </c>
      <c r="N782" s="6" t="n"/>
      <c r="O782" s="24">
        <f>IF(ROUNDUP(W782/20,0)&gt;ROUNDUP(W781/20,0),"TN Ø25 (Lần " &amp; ROUNDUP(W782/20,0) &amp; ")","")</f>
        <v/>
      </c>
      <c r="P782" s="20">
        <f>ROUND(P781+IF(AND(E782&lt;=10,F782&lt;&gt;"ASTM A416"),L782,0),3)</f>
        <v/>
      </c>
      <c r="Q782" s="20">
        <f>ROUND(Q781+IF(AND(E782=12,F782&lt;&gt;"ASTM A416"),L782,0),3)</f>
        <v/>
      </c>
      <c r="R782" s="20">
        <f>ROUND(R781+IF(AND(E782=14,F782&lt;&gt;"ASTM A416"),L782,0),3)</f>
        <v/>
      </c>
      <c r="S782" s="20">
        <f>ROUND(S781+IF(AND(E782=16,F782&lt;&gt;"ASTM A416"),L782,0),3)</f>
        <v/>
      </c>
      <c r="T782" s="20">
        <f>ROUND(T781+IF(AND(E782=18,F782&lt;&gt;"ASTM A416"),L782,0),3)</f>
        <v/>
      </c>
      <c r="U782" s="20">
        <f>ROUND(U781+IF(AND(E782=20,F782&lt;&gt;"ASTM A416"),L782,0),3)</f>
        <v/>
      </c>
      <c r="V782" s="20">
        <f>ROUND(V781+IF(AND(E782=22,F782&lt;&gt;"ASTM A416"),L782,0),3)</f>
        <v/>
      </c>
      <c r="W782" s="20">
        <f>ROUND(W781+IF(AND(E782=25,F782&lt;&gt;"ASTM A416"),L782,0),3)</f>
        <v/>
      </c>
      <c r="X782" s="20">
        <f>ROUND(X781+IF(AND(E782=28,F782&lt;&gt;"ASTM A416"),L782,0),3)</f>
        <v/>
      </c>
      <c r="Y782" s="20">
        <f>ROUND(Y781+IF(AND(E782=32,F782&lt;&gt;"ASTM A416"),L782,0),3)</f>
        <v/>
      </c>
      <c r="Z782" s="20">
        <f>ROUND(Z781+IF(F782="ASTM A416",L782,0),3)</f>
        <v/>
      </c>
      <c r="AA782" s="11">
        <f>IF(ROUNDUP(P782/20,0)&gt;ROUNDUP(P781/20,0),"Lần " &amp; ROUNDUP(P782/20,0),"")</f>
        <v/>
      </c>
      <c r="AB782" s="11">
        <f>IF(ROUNDUP(Q782/20,0)&gt;ROUNDUP(Q781/20,0),"Lần " &amp; ROUNDUP(Q782/20,0),"")</f>
        <v/>
      </c>
      <c r="AC782" s="11">
        <f>IF(ROUNDUP(R782/20,0)&gt;ROUNDUP(R781/20,0),"Lần " &amp; ROUNDUP(R782/20,0),"")</f>
        <v/>
      </c>
      <c r="AD782" s="11">
        <f>IF(ROUNDUP(S782/20,0)&gt;ROUNDUP(S781/20,0),"Lần " &amp; ROUNDUP(S782/20,0),"")</f>
        <v/>
      </c>
      <c r="AE782" s="11">
        <f>IF(ROUNDUP(T782/20,0)&gt;ROUNDUP(T781/20,0),"Lần " &amp; ROUNDUP(T782/20,0),"")</f>
        <v/>
      </c>
      <c r="AF782" s="11">
        <f>IF(ROUNDUP(U782/20,0)&gt;ROUNDUP(U781/20,0),"Lần " &amp; ROUNDUP(U782/20,0),"")</f>
        <v/>
      </c>
      <c r="AG782" s="11">
        <f>IF(ROUNDUP(V782/20,0)&gt;ROUNDUP(V781/20,0),"Lần " &amp; ROUNDUP(V782/20,0),"")</f>
        <v/>
      </c>
      <c r="AH782" s="11">
        <f>IF(ROUNDUP(W782/20,0)&gt;ROUNDUP(W781/20,0),"Lần " &amp; ROUNDUP(W782/20,0),"")</f>
        <v/>
      </c>
      <c r="AI782" s="11">
        <f>IF(ROUNDUP(X782/20,0)&gt;ROUNDUP(X781/20,0),"Lần " &amp; ROUNDUP(X782/20,0),"")</f>
        <v/>
      </c>
      <c r="AJ782" s="11">
        <f>IF(ROUNDUP(Y782/20,0)&gt;ROUNDUP(Y781/20,0),"Lần " &amp; ROUNDUP(Y782/20,0),"")</f>
        <v/>
      </c>
      <c r="AK782" s="11">
        <f>IF(ROUNDUP(Z782/20,0)&gt;ROUNDUP(Z781/20,0),"Lần " &amp; ROUNDUP(Z782/20,0),"")</f>
        <v/>
      </c>
      <c r="AL782" s="6" t="n"/>
      <c r="AN782" t="inlineStr">
        <is>
          <t>Coc</t>
        </is>
      </c>
      <c r="AO782" t="n">
        <v>27</v>
      </c>
    </row>
    <row r="783" ht="19" customHeight="1">
      <c r="A783" s="6" t="n">
        <v>743</v>
      </c>
      <c r="B783" s="7" t="inlineStr">
        <is>
          <t>Cọc khoan nhồi C5 Mố M2 (D1.2m, L=36.0m)</t>
        </is>
      </c>
      <c r="C783" s="7" t="inlineStr">
        <is>
          <t>Cọc mố M2 L=36m (tr.66)</t>
        </is>
      </c>
      <c r="D783" s="18" t="inlineStr">
        <is>
          <t>P8</t>
        </is>
      </c>
      <c r="E783" s="19" t="n">
        <v>12</v>
      </c>
      <c r="F783" s="6" t="inlineStr">
        <is>
          <t>CB400-V</t>
        </is>
      </c>
      <c r="G783" s="7" t="inlineStr"/>
      <c r="H783" s="20" t="n">
        <v>0.647</v>
      </c>
      <c r="I783" s="21" t="n">
        <v>15</v>
      </c>
      <c r="J783" s="22" t="n">
        <v>0.888</v>
      </c>
      <c r="K783" s="9">
        <f>ROUND(H783*I783*J783, 2)</f>
        <v/>
      </c>
      <c r="L783" s="23">
        <f>ROUND(K783/1000, 3)</f>
        <v/>
      </c>
      <c r="M783" s="8">
        <f>IF(AO783="","",IF(INDEX(Theo_Doi_Tan_Suat_Be_Tong!$C:$C,AO783)="","",INDEX(Theo_Doi_Tan_Suat_Be_Tong!$C:$C,AO783)-VLOOKUP(AN783,$AQ$2:$AR$7,2,FALSE)))</f>
        <v/>
      </c>
      <c r="N783" s="6" t="n"/>
      <c r="O783" s="24">
        <f>IF(ROUNDUP(Q783/20,0)&gt;ROUNDUP(Q782/20,0),"TN Ø12 (Lần " &amp; ROUNDUP(Q783/20,0) &amp; ")","")</f>
        <v/>
      </c>
      <c r="P783" s="20">
        <f>ROUND(P782+IF(AND(E783&lt;=10,F783&lt;&gt;"ASTM A416"),L783,0),3)</f>
        <v/>
      </c>
      <c r="Q783" s="20">
        <f>ROUND(Q782+IF(AND(E783=12,F783&lt;&gt;"ASTM A416"),L783,0),3)</f>
        <v/>
      </c>
      <c r="R783" s="20">
        <f>ROUND(R782+IF(AND(E783=14,F783&lt;&gt;"ASTM A416"),L783,0),3)</f>
        <v/>
      </c>
      <c r="S783" s="20">
        <f>ROUND(S782+IF(AND(E783=16,F783&lt;&gt;"ASTM A416"),L783,0),3)</f>
        <v/>
      </c>
      <c r="T783" s="20">
        <f>ROUND(T782+IF(AND(E783=18,F783&lt;&gt;"ASTM A416"),L783,0),3)</f>
        <v/>
      </c>
      <c r="U783" s="20">
        <f>ROUND(U782+IF(AND(E783=20,F783&lt;&gt;"ASTM A416"),L783,0),3)</f>
        <v/>
      </c>
      <c r="V783" s="20">
        <f>ROUND(V782+IF(AND(E783=22,F783&lt;&gt;"ASTM A416"),L783,0),3)</f>
        <v/>
      </c>
      <c r="W783" s="20">
        <f>ROUND(W782+IF(AND(E783=25,F783&lt;&gt;"ASTM A416"),L783,0),3)</f>
        <v/>
      </c>
      <c r="X783" s="20">
        <f>ROUND(X782+IF(AND(E783=28,F783&lt;&gt;"ASTM A416"),L783,0),3)</f>
        <v/>
      </c>
      <c r="Y783" s="20">
        <f>ROUND(Y782+IF(AND(E783=32,F783&lt;&gt;"ASTM A416"),L783,0),3)</f>
        <v/>
      </c>
      <c r="Z783" s="20">
        <f>ROUND(Z782+IF(F783="ASTM A416",L783,0),3)</f>
        <v/>
      </c>
      <c r="AA783" s="11">
        <f>IF(ROUNDUP(P783/20,0)&gt;ROUNDUP(P782/20,0),"Lần " &amp; ROUNDUP(P783/20,0),"")</f>
        <v/>
      </c>
      <c r="AB783" s="11">
        <f>IF(ROUNDUP(Q783/20,0)&gt;ROUNDUP(Q782/20,0),"Lần " &amp; ROUNDUP(Q783/20,0),"")</f>
        <v/>
      </c>
      <c r="AC783" s="11">
        <f>IF(ROUNDUP(R783/20,0)&gt;ROUNDUP(R782/20,0),"Lần " &amp; ROUNDUP(R783/20,0),"")</f>
        <v/>
      </c>
      <c r="AD783" s="11">
        <f>IF(ROUNDUP(S783/20,0)&gt;ROUNDUP(S782/20,0),"Lần " &amp; ROUNDUP(S783/20,0),"")</f>
        <v/>
      </c>
      <c r="AE783" s="11">
        <f>IF(ROUNDUP(T783/20,0)&gt;ROUNDUP(T782/20,0),"Lần " &amp; ROUNDUP(T783/20,0),"")</f>
        <v/>
      </c>
      <c r="AF783" s="11">
        <f>IF(ROUNDUP(U783/20,0)&gt;ROUNDUP(U782/20,0),"Lần " &amp; ROUNDUP(U783/20,0),"")</f>
        <v/>
      </c>
      <c r="AG783" s="11">
        <f>IF(ROUNDUP(V783/20,0)&gt;ROUNDUP(V782/20,0),"Lần " &amp; ROUNDUP(V783/20,0),"")</f>
        <v/>
      </c>
      <c r="AH783" s="11">
        <f>IF(ROUNDUP(W783/20,0)&gt;ROUNDUP(W782/20,0),"Lần " &amp; ROUNDUP(W783/20,0),"")</f>
        <v/>
      </c>
      <c r="AI783" s="11">
        <f>IF(ROUNDUP(X783/20,0)&gt;ROUNDUP(X782/20,0),"Lần " &amp; ROUNDUP(X783/20,0),"")</f>
        <v/>
      </c>
      <c r="AJ783" s="11">
        <f>IF(ROUNDUP(Y783/20,0)&gt;ROUNDUP(Y782/20,0),"Lần " &amp; ROUNDUP(Y783/20,0),"")</f>
        <v/>
      </c>
      <c r="AK783" s="11">
        <f>IF(ROUNDUP(Z783/20,0)&gt;ROUNDUP(Z782/20,0),"Lần " &amp; ROUNDUP(Z783/20,0),"")</f>
        <v/>
      </c>
      <c r="AL783" s="6" t="n"/>
      <c r="AN783" t="inlineStr">
        <is>
          <t>Coc</t>
        </is>
      </c>
      <c r="AO783" t="n">
        <v>27</v>
      </c>
    </row>
    <row r="784" ht="19" customHeight="1">
      <c r="A784" s="6" t="n">
        <v>744</v>
      </c>
      <c r="B784" s="7" t="inlineStr">
        <is>
          <t>Cọc khoan nhồi C5 Mố M2 (D1.2m, L=36.0m)</t>
        </is>
      </c>
      <c r="C784" s="7" t="inlineStr">
        <is>
          <t>Cọc mố M2 L=36m (tr.66)</t>
        </is>
      </c>
      <c r="D784" s="18" t="inlineStr">
        <is>
          <t>P9</t>
        </is>
      </c>
      <c r="E784" s="19" t="n">
        <v>12</v>
      </c>
      <c r="F784" s="6" t="inlineStr">
        <is>
          <t>CB400-V</t>
        </is>
      </c>
      <c r="G784" s="7" t="inlineStr"/>
      <c r="H784" s="20" t="n">
        <v>0.379</v>
      </c>
      <c r="I784" s="21" t="n">
        <v>45</v>
      </c>
      <c r="J784" s="22" t="n">
        <v>0.888</v>
      </c>
      <c r="K784" s="9">
        <f>ROUND(H784*I784*J784, 2)</f>
        <v/>
      </c>
      <c r="L784" s="23">
        <f>ROUND(K784/1000, 3)</f>
        <v/>
      </c>
      <c r="M784" s="8">
        <f>IF(AO784="","",IF(INDEX(Theo_Doi_Tan_Suat_Be_Tong!$C:$C,AO784)="","",INDEX(Theo_Doi_Tan_Suat_Be_Tong!$C:$C,AO784)-VLOOKUP(AN784,$AQ$2:$AR$7,2,FALSE)))</f>
        <v/>
      </c>
      <c r="N784" s="6" t="n"/>
      <c r="O784" s="24">
        <f>IF(ROUNDUP(Q784/20,0)&gt;ROUNDUP(Q783/20,0),"TN Ø12 (Lần " &amp; ROUNDUP(Q784/20,0) &amp; ")","")</f>
        <v/>
      </c>
      <c r="P784" s="20">
        <f>ROUND(P783+IF(AND(E784&lt;=10,F784&lt;&gt;"ASTM A416"),L784,0),3)</f>
        <v/>
      </c>
      <c r="Q784" s="20">
        <f>ROUND(Q783+IF(AND(E784=12,F784&lt;&gt;"ASTM A416"),L784,0),3)</f>
        <v/>
      </c>
      <c r="R784" s="20">
        <f>ROUND(R783+IF(AND(E784=14,F784&lt;&gt;"ASTM A416"),L784,0),3)</f>
        <v/>
      </c>
      <c r="S784" s="20">
        <f>ROUND(S783+IF(AND(E784=16,F784&lt;&gt;"ASTM A416"),L784,0),3)</f>
        <v/>
      </c>
      <c r="T784" s="20">
        <f>ROUND(T783+IF(AND(E784=18,F784&lt;&gt;"ASTM A416"),L784,0),3)</f>
        <v/>
      </c>
      <c r="U784" s="20">
        <f>ROUND(U783+IF(AND(E784=20,F784&lt;&gt;"ASTM A416"),L784,0),3)</f>
        <v/>
      </c>
      <c r="V784" s="20">
        <f>ROUND(V783+IF(AND(E784=22,F784&lt;&gt;"ASTM A416"),L784,0),3)</f>
        <v/>
      </c>
      <c r="W784" s="20">
        <f>ROUND(W783+IF(AND(E784=25,F784&lt;&gt;"ASTM A416"),L784,0),3)</f>
        <v/>
      </c>
      <c r="X784" s="20">
        <f>ROUND(X783+IF(AND(E784=28,F784&lt;&gt;"ASTM A416"),L784,0),3)</f>
        <v/>
      </c>
      <c r="Y784" s="20">
        <f>ROUND(Y783+IF(AND(E784=32,F784&lt;&gt;"ASTM A416"),L784,0),3)</f>
        <v/>
      </c>
      <c r="Z784" s="20">
        <f>ROUND(Z783+IF(F784="ASTM A416",L784,0),3)</f>
        <v/>
      </c>
      <c r="AA784" s="11">
        <f>IF(ROUNDUP(P784/20,0)&gt;ROUNDUP(P783/20,0),"Lần " &amp; ROUNDUP(P784/20,0),"")</f>
        <v/>
      </c>
      <c r="AB784" s="11">
        <f>IF(ROUNDUP(Q784/20,0)&gt;ROUNDUP(Q783/20,0),"Lần " &amp; ROUNDUP(Q784/20,0),"")</f>
        <v/>
      </c>
      <c r="AC784" s="11">
        <f>IF(ROUNDUP(R784/20,0)&gt;ROUNDUP(R783/20,0),"Lần " &amp; ROUNDUP(R784/20,0),"")</f>
        <v/>
      </c>
      <c r="AD784" s="11">
        <f>IF(ROUNDUP(S784/20,0)&gt;ROUNDUP(S783/20,0),"Lần " &amp; ROUNDUP(S784/20,0),"")</f>
        <v/>
      </c>
      <c r="AE784" s="11">
        <f>IF(ROUNDUP(T784/20,0)&gt;ROUNDUP(T783/20,0),"Lần " &amp; ROUNDUP(T784/20,0),"")</f>
        <v/>
      </c>
      <c r="AF784" s="11">
        <f>IF(ROUNDUP(U784/20,0)&gt;ROUNDUP(U783/20,0),"Lần " &amp; ROUNDUP(U784/20,0),"")</f>
        <v/>
      </c>
      <c r="AG784" s="11">
        <f>IF(ROUNDUP(V784/20,0)&gt;ROUNDUP(V783/20,0),"Lần " &amp; ROUNDUP(V784/20,0),"")</f>
        <v/>
      </c>
      <c r="AH784" s="11">
        <f>IF(ROUNDUP(W784/20,0)&gt;ROUNDUP(W783/20,0),"Lần " &amp; ROUNDUP(W784/20,0),"")</f>
        <v/>
      </c>
      <c r="AI784" s="11">
        <f>IF(ROUNDUP(X784/20,0)&gt;ROUNDUP(X783/20,0),"Lần " &amp; ROUNDUP(X784/20,0),"")</f>
        <v/>
      </c>
      <c r="AJ784" s="11">
        <f>IF(ROUNDUP(Y784/20,0)&gt;ROUNDUP(Y783/20,0),"Lần " &amp; ROUNDUP(Y784/20,0),"")</f>
        <v/>
      </c>
      <c r="AK784" s="11">
        <f>IF(ROUNDUP(Z784/20,0)&gt;ROUNDUP(Z783/20,0),"Lần " &amp; ROUNDUP(Z784/20,0),"")</f>
        <v/>
      </c>
      <c r="AL784" s="6" t="n"/>
      <c r="AN784" t="inlineStr">
        <is>
          <t>Coc</t>
        </is>
      </c>
      <c r="AO784" t="n">
        <v>27</v>
      </c>
    </row>
    <row r="785" ht="19" customHeight="1">
      <c r="A785" s="6" t="n">
        <v>745</v>
      </c>
      <c r="B785" s="7" t="inlineStr">
        <is>
          <t>Cọc khoan nhồi C5 Mố M2 (D1.2m, L=36.0m)</t>
        </is>
      </c>
      <c r="C785" s="7" t="inlineStr">
        <is>
          <t>Cọc mố M2 L=36m (tr.66)</t>
        </is>
      </c>
      <c r="D785" s="18" t="inlineStr">
        <is>
          <t>P10</t>
        </is>
      </c>
      <c r="E785" s="19" t="n">
        <v>20</v>
      </c>
      <c r="F785" s="6" t="inlineStr">
        <is>
          <t>CB400-V</t>
        </is>
      </c>
      <c r="G785" s="7" t="inlineStr"/>
      <c r="H785" s="20" t="n">
        <v>2.057</v>
      </c>
      <c r="I785" s="21" t="n">
        <v>1</v>
      </c>
      <c r="J785" s="22" t="n">
        <v>2.466</v>
      </c>
      <c r="K785" s="9">
        <f>ROUND(H785*I785*J785, 2)</f>
        <v/>
      </c>
      <c r="L785" s="23">
        <f>ROUND(K785/1000, 3)</f>
        <v/>
      </c>
      <c r="M785" s="8">
        <f>IF(AO785="","",IF(INDEX(Theo_Doi_Tan_Suat_Be_Tong!$C:$C,AO785)="","",INDEX(Theo_Doi_Tan_Suat_Be_Tong!$C:$C,AO785)-VLOOKUP(AN785,$AQ$2:$AR$7,2,FALSE)))</f>
        <v/>
      </c>
      <c r="N785" s="6" t="n"/>
      <c r="O785" s="24">
        <f>IF(ROUNDUP(U785/20,0)&gt;ROUNDUP(U784/20,0),"TN Ø20 (Lần " &amp; ROUNDUP(U785/20,0) &amp; ")","")</f>
        <v/>
      </c>
      <c r="P785" s="20">
        <f>ROUND(P784+IF(AND(E785&lt;=10,F785&lt;&gt;"ASTM A416"),L785,0),3)</f>
        <v/>
      </c>
      <c r="Q785" s="20">
        <f>ROUND(Q784+IF(AND(E785=12,F785&lt;&gt;"ASTM A416"),L785,0),3)</f>
        <v/>
      </c>
      <c r="R785" s="20">
        <f>ROUND(R784+IF(AND(E785=14,F785&lt;&gt;"ASTM A416"),L785,0),3)</f>
        <v/>
      </c>
      <c r="S785" s="20">
        <f>ROUND(S784+IF(AND(E785=16,F785&lt;&gt;"ASTM A416"),L785,0),3)</f>
        <v/>
      </c>
      <c r="T785" s="20">
        <f>ROUND(T784+IF(AND(E785=18,F785&lt;&gt;"ASTM A416"),L785,0),3)</f>
        <v/>
      </c>
      <c r="U785" s="20">
        <f>ROUND(U784+IF(AND(E785=20,F785&lt;&gt;"ASTM A416"),L785,0),3)</f>
        <v/>
      </c>
      <c r="V785" s="20">
        <f>ROUND(V784+IF(AND(E785=22,F785&lt;&gt;"ASTM A416"),L785,0),3)</f>
        <v/>
      </c>
      <c r="W785" s="20">
        <f>ROUND(W784+IF(AND(E785=25,F785&lt;&gt;"ASTM A416"),L785,0),3)</f>
        <v/>
      </c>
      <c r="X785" s="20">
        <f>ROUND(X784+IF(AND(E785=28,F785&lt;&gt;"ASTM A416"),L785,0),3)</f>
        <v/>
      </c>
      <c r="Y785" s="20">
        <f>ROUND(Y784+IF(AND(E785=32,F785&lt;&gt;"ASTM A416"),L785,0),3)</f>
        <v/>
      </c>
      <c r="Z785" s="20">
        <f>ROUND(Z784+IF(F785="ASTM A416",L785,0),3)</f>
        <v/>
      </c>
      <c r="AA785" s="11">
        <f>IF(ROUNDUP(P785/20,0)&gt;ROUNDUP(P784/20,0),"Lần " &amp; ROUNDUP(P785/20,0),"")</f>
        <v/>
      </c>
      <c r="AB785" s="11">
        <f>IF(ROUNDUP(Q785/20,0)&gt;ROUNDUP(Q784/20,0),"Lần " &amp; ROUNDUP(Q785/20,0),"")</f>
        <v/>
      </c>
      <c r="AC785" s="11">
        <f>IF(ROUNDUP(R785/20,0)&gt;ROUNDUP(R784/20,0),"Lần " &amp; ROUNDUP(R785/20,0),"")</f>
        <v/>
      </c>
      <c r="AD785" s="11">
        <f>IF(ROUNDUP(S785/20,0)&gt;ROUNDUP(S784/20,0),"Lần " &amp; ROUNDUP(S785/20,0),"")</f>
        <v/>
      </c>
      <c r="AE785" s="11">
        <f>IF(ROUNDUP(T785/20,0)&gt;ROUNDUP(T784/20,0),"Lần " &amp; ROUNDUP(T785/20,0),"")</f>
        <v/>
      </c>
      <c r="AF785" s="11">
        <f>IF(ROUNDUP(U785/20,0)&gt;ROUNDUP(U784/20,0),"Lần " &amp; ROUNDUP(U785/20,0),"")</f>
        <v/>
      </c>
      <c r="AG785" s="11">
        <f>IF(ROUNDUP(V785/20,0)&gt;ROUNDUP(V784/20,0),"Lần " &amp; ROUNDUP(V785/20,0),"")</f>
        <v/>
      </c>
      <c r="AH785" s="11">
        <f>IF(ROUNDUP(W785/20,0)&gt;ROUNDUP(W784/20,0),"Lần " &amp; ROUNDUP(W785/20,0),"")</f>
        <v/>
      </c>
      <c r="AI785" s="11">
        <f>IF(ROUNDUP(X785/20,0)&gt;ROUNDUP(X784/20,0),"Lần " &amp; ROUNDUP(X785/20,0),"")</f>
        <v/>
      </c>
      <c r="AJ785" s="11">
        <f>IF(ROUNDUP(Y785/20,0)&gt;ROUNDUP(Y784/20,0),"Lần " &amp; ROUNDUP(Y785/20,0),"")</f>
        <v/>
      </c>
      <c r="AK785" s="11">
        <f>IF(ROUNDUP(Z785/20,0)&gt;ROUNDUP(Z784/20,0),"Lần " &amp; ROUNDUP(Z785/20,0),"")</f>
        <v/>
      </c>
      <c r="AL785" s="6" t="n"/>
      <c r="AN785" t="inlineStr">
        <is>
          <t>Coc</t>
        </is>
      </c>
      <c r="AO785" t="n">
        <v>27</v>
      </c>
    </row>
    <row r="786" ht="19" customHeight="1">
      <c r="A786" s="6" t="n">
        <v>746</v>
      </c>
      <c r="B786" s="7" t="inlineStr">
        <is>
          <t>Cọc khoan nhồi C5 Mố M2 (D1.2m, L=36.0m)</t>
        </is>
      </c>
      <c r="C786" s="7" t="inlineStr">
        <is>
          <t>Cọc mố M2 L=36m (tr.66)</t>
        </is>
      </c>
      <c r="D786" s="18" t="inlineStr">
        <is>
          <t>P12</t>
        </is>
      </c>
      <c r="E786" s="19" t="n">
        <v>20</v>
      </c>
      <c r="F786" s="6" t="inlineStr">
        <is>
          <t>CB400-V</t>
        </is>
      </c>
      <c r="G786" s="7" t="inlineStr"/>
      <c r="H786" s="20" t="n">
        <v>0.583</v>
      </c>
      <c r="I786" s="21" t="n">
        <v>60</v>
      </c>
      <c r="J786" s="22" t="n">
        <v>2.466</v>
      </c>
      <c r="K786" s="9">
        <f>ROUND(H786*I786*J786, 2)</f>
        <v/>
      </c>
      <c r="L786" s="23">
        <f>ROUND(K786/1000, 3)</f>
        <v/>
      </c>
      <c r="M786" s="8">
        <f>IF(AO786="","",IF(INDEX(Theo_Doi_Tan_Suat_Be_Tong!$C:$C,AO786)="","",INDEX(Theo_Doi_Tan_Suat_Be_Tong!$C:$C,AO786)-VLOOKUP(AN786,$AQ$2:$AR$7,2,FALSE)))</f>
        <v/>
      </c>
      <c r="N786" s="6" t="n"/>
      <c r="O786" s="24">
        <f>IF(ROUNDUP(U786/20,0)&gt;ROUNDUP(U785/20,0),"TN Ø20 (Lần " &amp; ROUNDUP(U786/20,0) &amp; ")","")</f>
        <v/>
      </c>
      <c r="P786" s="20">
        <f>ROUND(P785+IF(AND(E786&lt;=10,F786&lt;&gt;"ASTM A416"),L786,0),3)</f>
        <v/>
      </c>
      <c r="Q786" s="20">
        <f>ROUND(Q785+IF(AND(E786=12,F786&lt;&gt;"ASTM A416"),L786,0),3)</f>
        <v/>
      </c>
      <c r="R786" s="20">
        <f>ROUND(R785+IF(AND(E786=14,F786&lt;&gt;"ASTM A416"),L786,0),3)</f>
        <v/>
      </c>
      <c r="S786" s="20">
        <f>ROUND(S785+IF(AND(E786=16,F786&lt;&gt;"ASTM A416"),L786,0),3)</f>
        <v/>
      </c>
      <c r="T786" s="20">
        <f>ROUND(T785+IF(AND(E786=18,F786&lt;&gt;"ASTM A416"),L786,0),3)</f>
        <v/>
      </c>
      <c r="U786" s="20">
        <f>ROUND(U785+IF(AND(E786=20,F786&lt;&gt;"ASTM A416"),L786,0),3)</f>
        <v/>
      </c>
      <c r="V786" s="20">
        <f>ROUND(V785+IF(AND(E786=22,F786&lt;&gt;"ASTM A416"),L786,0),3)</f>
        <v/>
      </c>
      <c r="W786" s="20">
        <f>ROUND(W785+IF(AND(E786=25,F786&lt;&gt;"ASTM A416"),L786,0),3)</f>
        <v/>
      </c>
      <c r="X786" s="20">
        <f>ROUND(X785+IF(AND(E786=28,F786&lt;&gt;"ASTM A416"),L786,0),3)</f>
        <v/>
      </c>
      <c r="Y786" s="20">
        <f>ROUND(Y785+IF(AND(E786=32,F786&lt;&gt;"ASTM A416"),L786,0),3)</f>
        <v/>
      </c>
      <c r="Z786" s="20">
        <f>ROUND(Z785+IF(F786="ASTM A416",L786,0),3)</f>
        <v/>
      </c>
      <c r="AA786" s="11">
        <f>IF(ROUNDUP(P786/20,0)&gt;ROUNDUP(P785/20,0),"Lần " &amp; ROUNDUP(P786/20,0),"")</f>
        <v/>
      </c>
      <c r="AB786" s="11">
        <f>IF(ROUNDUP(Q786/20,0)&gt;ROUNDUP(Q785/20,0),"Lần " &amp; ROUNDUP(Q786/20,0),"")</f>
        <v/>
      </c>
      <c r="AC786" s="11">
        <f>IF(ROUNDUP(R786/20,0)&gt;ROUNDUP(R785/20,0),"Lần " &amp; ROUNDUP(R786/20,0),"")</f>
        <v/>
      </c>
      <c r="AD786" s="11">
        <f>IF(ROUNDUP(S786/20,0)&gt;ROUNDUP(S785/20,0),"Lần " &amp; ROUNDUP(S786/20,0),"")</f>
        <v/>
      </c>
      <c r="AE786" s="11">
        <f>IF(ROUNDUP(T786/20,0)&gt;ROUNDUP(T785/20,0),"Lần " &amp; ROUNDUP(T786/20,0),"")</f>
        <v/>
      </c>
      <c r="AF786" s="11">
        <f>IF(ROUNDUP(U786/20,0)&gt;ROUNDUP(U785/20,0),"Lần " &amp; ROUNDUP(U786/20,0),"")</f>
        <v/>
      </c>
      <c r="AG786" s="11">
        <f>IF(ROUNDUP(V786/20,0)&gt;ROUNDUP(V785/20,0),"Lần " &amp; ROUNDUP(V786/20,0),"")</f>
        <v/>
      </c>
      <c r="AH786" s="11">
        <f>IF(ROUNDUP(W786/20,0)&gt;ROUNDUP(W785/20,0),"Lần " &amp; ROUNDUP(W786/20,0),"")</f>
        <v/>
      </c>
      <c r="AI786" s="11">
        <f>IF(ROUNDUP(X786/20,0)&gt;ROUNDUP(X785/20,0),"Lần " &amp; ROUNDUP(X786/20,0),"")</f>
        <v/>
      </c>
      <c r="AJ786" s="11">
        <f>IF(ROUNDUP(Y786/20,0)&gt;ROUNDUP(Y785/20,0),"Lần " &amp; ROUNDUP(Y786/20,0),"")</f>
        <v/>
      </c>
      <c r="AK786" s="11">
        <f>IF(ROUNDUP(Z786/20,0)&gt;ROUNDUP(Z785/20,0),"Lần " &amp; ROUNDUP(Z786/20,0),"")</f>
        <v/>
      </c>
      <c r="AL786" s="6" t="n"/>
      <c r="AN786" t="inlineStr">
        <is>
          <t>Coc</t>
        </is>
      </c>
      <c r="AO786" t="n">
        <v>27</v>
      </c>
    </row>
    <row r="787" ht="23" customHeight="1">
      <c r="A787" s="6" t="n">
        <v>747</v>
      </c>
      <c r="B787" s="7" t="inlineStr">
        <is>
          <t>Cọc khoan nhồi C5 Mố M2 (D1.2m, L=36.0m)</t>
        </is>
      </c>
      <c r="C787" s="7" t="inlineStr">
        <is>
          <t>Cọc mố M2 L=36m (tr.66)</t>
        </is>
      </c>
      <c r="D787" s="18" t="inlineStr">
        <is>
          <t>P11</t>
        </is>
      </c>
      <c r="E787" s="19" t="n">
        <v>16</v>
      </c>
      <c r="F787" s="6" t="inlineStr">
        <is>
          <t>CB400-V</t>
        </is>
      </c>
      <c r="G787" s="7" t="inlineStr"/>
      <c r="H787" s="20" t="n">
        <v>2.484</v>
      </c>
      <c r="I787" s="21" t="n">
        <v>4</v>
      </c>
      <c r="J787" s="22" t="n">
        <v>1.578</v>
      </c>
      <c r="K787" s="9">
        <f>ROUND(H787*I787*J787, 2)</f>
        <v/>
      </c>
      <c r="L787" s="23">
        <f>ROUND(K787/1000, 3)</f>
        <v/>
      </c>
      <c r="M787" s="8">
        <f>IF(AO787="","",IF(INDEX(Theo_Doi_Tan_Suat_Be_Tong!$C:$C,AO787)="","",INDEX(Theo_Doi_Tan_Suat_Be_Tong!$C:$C,AO787)-VLOOKUP(AN787,$AQ$2:$AR$7,2,FALSE)))</f>
        <v/>
      </c>
      <c r="N787" s="6" t="n"/>
      <c r="O787" s="24">
        <f>IF(ROUNDUP(S787/20,0)&gt;ROUNDUP(S786/20,0),"TN Ø16 (Lần " &amp; ROUNDUP(S787/20,0) &amp; ")","")</f>
        <v/>
      </c>
      <c r="P787" s="20">
        <f>ROUND(P786+IF(AND(E787&lt;=10,F787&lt;&gt;"ASTM A416"),L787,0),3)</f>
        <v/>
      </c>
      <c r="Q787" s="20">
        <f>ROUND(Q786+IF(AND(E787=12,F787&lt;&gt;"ASTM A416"),L787,0),3)</f>
        <v/>
      </c>
      <c r="R787" s="20">
        <f>ROUND(R786+IF(AND(E787=14,F787&lt;&gt;"ASTM A416"),L787,0),3)</f>
        <v/>
      </c>
      <c r="S787" s="20">
        <f>ROUND(S786+IF(AND(E787=16,F787&lt;&gt;"ASTM A416"),L787,0),3)</f>
        <v/>
      </c>
      <c r="T787" s="20">
        <f>ROUND(T786+IF(AND(E787=18,F787&lt;&gt;"ASTM A416"),L787,0),3)</f>
        <v/>
      </c>
      <c r="U787" s="20">
        <f>ROUND(U786+IF(AND(E787=20,F787&lt;&gt;"ASTM A416"),L787,0),3)</f>
        <v/>
      </c>
      <c r="V787" s="20">
        <f>ROUND(V786+IF(AND(E787=22,F787&lt;&gt;"ASTM A416"),L787,0),3)</f>
        <v/>
      </c>
      <c r="W787" s="20">
        <f>ROUND(W786+IF(AND(E787=25,F787&lt;&gt;"ASTM A416"),L787,0),3)</f>
        <v/>
      </c>
      <c r="X787" s="20">
        <f>ROUND(X786+IF(AND(E787=28,F787&lt;&gt;"ASTM A416"),L787,0),3)</f>
        <v/>
      </c>
      <c r="Y787" s="20">
        <f>ROUND(Y786+IF(AND(E787=32,F787&lt;&gt;"ASTM A416"),L787,0),3)</f>
        <v/>
      </c>
      <c r="Z787" s="20">
        <f>ROUND(Z786+IF(F787="ASTM A416",L787,0),3)</f>
        <v/>
      </c>
      <c r="AA787" s="11">
        <f>IF(ROUNDUP(P787/20,0)&gt;ROUNDUP(P786/20,0),"Lần " &amp; ROUNDUP(P787/20,0),"")</f>
        <v/>
      </c>
      <c r="AB787" s="11">
        <f>IF(ROUNDUP(Q787/20,0)&gt;ROUNDUP(Q786/20,0),"Lần " &amp; ROUNDUP(Q787/20,0),"")</f>
        <v/>
      </c>
      <c r="AC787" s="11">
        <f>IF(ROUNDUP(R787/20,0)&gt;ROUNDUP(R786/20,0),"Lần " &amp; ROUNDUP(R787/20,0),"")</f>
        <v/>
      </c>
      <c r="AD787" s="11">
        <f>IF(ROUNDUP(S787/20,0)&gt;ROUNDUP(S786/20,0),"Lần " &amp; ROUNDUP(S787/20,0),"")</f>
        <v/>
      </c>
      <c r="AE787" s="11">
        <f>IF(ROUNDUP(T787/20,0)&gt;ROUNDUP(T786/20,0),"Lần " &amp; ROUNDUP(T787/20,0),"")</f>
        <v/>
      </c>
      <c r="AF787" s="11">
        <f>IF(ROUNDUP(U787/20,0)&gt;ROUNDUP(U786/20,0),"Lần " &amp; ROUNDUP(U787/20,0),"")</f>
        <v/>
      </c>
      <c r="AG787" s="11">
        <f>IF(ROUNDUP(V787/20,0)&gt;ROUNDUP(V786/20,0),"Lần " &amp; ROUNDUP(V787/20,0),"")</f>
        <v/>
      </c>
      <c r="AH787" s="11">
        <f>IF(ROUNDUP(W787/20,0)&gt;ROUNDUP(W786/20,0),"Lần " &amp; ROUNDUP(W787/20,0),"")</f>
        <v/>
      </c>
      <c r="AI787" s="11">
        <f>IF(ROUNDUP(X787/20,0)&gt;ROUNDUP(X786/20,0),"Lần " &amp; ROUNDUP(X787/20,0),"")</f>
        <v/>
      </c>
      <c r="AJ787" s="11">
        <f>IF(ROUNDUP(Y787/20,0)&gt;ROUNDUP(Y786/20,0),"Lần " &amp; ROUNDUP(Y787/20,0),"")</f>
        <v/>
      </c>
      <c r="AK787" s="11">
        <f>IF(ROUNDUP(Z787/20,0)&gt;ROUNDUP(Z786/20,0),"Lần " &amp; ROUNDUP(Z787/20,0),"")</f>
        <v/>
      </c>
      <c r="AL787" s="6" t="n"/>
      <c r="AN787" t="inlineStr">
        <is>
          <t>Coc</t>
        </is>
      </c>
      <c r="AO787" t="n">
        <v>27</v>
      </c>
    </row>
    <row r="788" ht="19" customHeight="1">
      <c r="A788" s="17" t="inlineStr">
        <is>
          <t>--- CỌC KHOAN NHỒI C6 MỐ M2 (D1.2M, L=36.0M) ---</t>
        </is>
      </c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  <c r="AG788" s="35" t="n"/>
      <c r="AH788" s="35" t="n"/>
      <c r="AI788" s="35" t="n"/>
      <c r="AJ788" s="35" t="n"/>
      <c r="AK788" s="35" t="n"/>
      <c r="AL788" s="34" t="n"/>
    </row>
    <row r="789" ht="19" customHeight="1">
      <c r="A789" s="6" t="n">
        <v>748</v>
      </c>
      <c r="B789" s="7" t="inlineStr">
        <is>
          <t>Cọc khoan nhồi C6 Mố M2 (D1.2m, L=36.0m)</t>
        </is>
      </c>
      <c r="C789" s="7" t="inlineStr">
        <is>
          <t>Cọc mố M2 L=36m (tr.66)</t>
        </is>
      </c>
      <c r="D789" s="18" t="inlineStr">
        <is>
          <t>P1</t>
        </is>
      </c>
      <c r="E789" s="19" t="n">
        <v>10</v>
      </c>
      <c r="F789" s="6" t="inlineStr">
        <is>
          <t>CB240-T</t>
        </is>
      </c>
      <c r="G789" s="7" t="inlineStr"/>
      <c r="H789" s="20" t="n">
        <v>96.887</v>
      </c>
      <c r="I789" s="21" t="n">
        <v>1</v>
      </c>
      <c r="J789" s="22" t="n">
        <v>0.617</v>
      </c>
      <c r="K789" s="9">
        <f>ROUND(H789*I789*J789, 2)</f>
        <v/>
      </c>
      <c r="L789" s="23">
        <f>ROUND(K789/1000, 3)</f>
        <v/>
      </c>
      <c r="M789" s="8">
        <f>IF(AO789="","",IF(INDEX(Theo_Doi_Tan_Suat_Be_Tong!$C:$C,AO789)="","",INDEX(Theo_Doi_Tan_Suat_Be_Tong!$C:$C,AO789)-VLOOKUP(AN789,$AQ$2:$AR$7,2,FALSE)))</f>
        <v/>
      </c>
      <c r="N789" s="6" t="n"/>
      <c r="O789" s="24">
        <f>IF(ROUNDUP(P789/20,0)&gt;ROUNDUP(P787/20,0),"TN Ø10 (Lần " &amp; ROUNDUP(P789/20,0) &amp; ")","")</f>
        <v/>
      </c>
      <c r="P789" s="20">
        <f>ROUND(P787+IF(AND(E789&lt;=10,F789&lt;&gt;"ASTM A416"),L789,0),3)</f>
        <v/>
      </c>
      <c r="Q789" s="20">
        <f>ROUND(Q787+IF(AND(E789=12,F789&lt;&gt;"ASTM A416"),L789,0),3)</f>
        <v/>
      </c>
      <c r="R789" s="20">
        <f>ROUND(R787+IF(AND(E789=14,F789&lt;&gt;"ASTM A416"),L789,0),3)</f>
        <v/>
      </c>
      <c r="S789" s="20">
        <f>ROUND(S787+IF(AND(E789=16,F789&lt;&gt;"ASTM A416"),L789,0),3)</f>
        <v/>
      </c>
      <c r="T789" s="20">
        <f>ROUND(T787+IF(AND(E789=18,F789&lt;&gt;"ASTM A416"),L789,0),3)</f>
        <v/>
      </c>
      <c r="U789" s="20">
        <f>ROUND(U787+IF(AND(E789=20,F789&lt;&gt;"ASTM A416"),L789,0),3)</f>
        <v/>
      </c>
      <c r="V789" s="20">
        <f>ROUND(V787+IF(AND(E789=22,F789&lt;&gt;"ASTM A416"),L789,0),3)</f>
        <v/>
      </c>
      <c r="W789" s="20">
        <f>ROUND(W787+IF(AND(E789=25,F789&lt;&gt;"ASTM A416"),L789,0),3)</f>
        <v/>
      </c>
      <c r="X789" s="20">
        <f>ROUND(X787+IF(AND(E789=28,F789&lt;&gt;"ASTM A416"),L789,0),3)</f>
        <v/>
      </c>
      <c r="Y789" s="20">
        <f>ROUND(Y787+IF(AND(E789=32,F789&lt;&gt;"ASTM A416"),L789,0),3)</f>
        <v/>
      </c>
      <c r="Z789" s="20">
        <f>ROUND(Z787+IF(F789="ASTM A416",L789,0),3)</f>
        <v/>
      </c>
      <c r="AA789" s="11">
        <f>IF(ROUNDUP(P789/20,0)&gt;ROUNDUP(P787/20,0),"Lần " &amp; ROUNDUP(P789/20,0),"")</f>
        <v/>
      </c>
      <c r="AB789" s="11">
        <f>IF(ROUNDUP(Q789/20,0)&gt;ROUNDUP(Q787/20,0),"Lần " &amp; ROUNDUP(Q789/20,0),"")</f>
        <v/>
      </c>
      <c r="AC789" s="11">
        <f>IF(ROUNDUP(R789/20,0)&gt;ROUNDUP(R787/20,0),"Lần " &amp; ROUNDUP(R789/20,0),"")</f>
        <v/>
      </c>
      <c r="AD789" s="11">
        <f>IF(ROUNDUP(S789/20,0)&gt;ROUNDUP(S787/20,0),"Lần " &amp; ROUNDUP(S789/20,0),"")</f>
        <v/>
      </c>
      <c r="AE789" s="11">
        <f>IF(ROUNDUP(T789/20,0)&gt;ROUNDUP(T787/20,0),"Lần " &amp; ROUNDUP(T789/20,0),"")</f>
        <v/>
      </c>
      <c r="AF789" s="11">
        <f>IF(ROUNDUP(U789/20,0)&gt;ROUNDUP(U787/20,0),"Lần " &amp; ROUNDUP(U789/20,0),"")</f>
        <v/>
      </c>
      <c r="AG789" s="11">
        <f>IF(ROUNDUP(V789/20,0)&gt;ROUNDUP(V787/20,0),"Lần " &amp; ROUNDUP(V789/20,0),"")</f>
        <v/>
      </c>
      <c r="AH789" s="11">
        <f>IF(ROUNDUP(W789/20,0)&gt;ROUNDUP(W787/20,0),"Lần " &amp; ROUNDUP(W789/20,0),"")</f>
        <v/>
      </c>
      <c r="AI789" s="11">
        <f>IF(ROUNDUP(X789/20,0)&gt;ROUNDUP(X787/20,0),"Lần " &amp; ROUNDUP(X789/20,0),"")</f>
        <v/>
      </c>
      <c r="AJ789" s="11">
        <f>IF(ROUNDUP(Y789/20,0)&gt;ROUNDUP(Y787/20,0),"Lần " &amp; ROUNDUP(Y789/20,0),"")</f>
        <v/>
      </c>
      <c r="AK789" s="11">
        <f>IF(ROUNDUP(Z789/20,0)&gt;ROUNDUP(Z787/20,0),"Lần " &amp; ROUNDUP(Z789/20,0),"")</f>
        <v/>
      </c>
      <c r="AL789" s="6" t="n"/>
      <c r="AN789" t="inlineStr">
        <is>
          <t>Coc</t>
        </is>
      </c>
      <c r="AO789" t="n">
        <v>28</v>
      </c>
    </row>
    <row r="790" ht="19" customHeight="1">
      <c r="A790" s="6" t="n">
        <v>749</v>
      </c>
      <c r="B790" s="7" t="inlineStr">
        <is>
          <t>Cọc khoan nhồi C6 Mố M2 (D1.2m, L=36.0m)</t>
        </is>
      </c>
      <c r="C790" s="7" t="inlineStr">
        <is>
          <t>Cọc mố M2 L=36m (tr.66)</t>
        </is>
      </c>
      <c r="D790" s="18" t="inlineStr">
        <is>
          <t>P1A</t>
        </is>
      </c>
      <c r="E790" s="19" t="n">
        <v>10</v>
      </c>
      <c r="F790" s="6" t="inlineStr">
        <is>
          <t>CB240-T</t>
        </is>
      </c>
      <c r="G790" s="7" t="inlineStr"/>
      <c r="H790" s="20" t="n">
        <v>390.776</v>
      </c>
      <c r="I790" s="21" t="n">
        <v>1</v>
      </c>
      <c r="J790" s="22" t="n">
        <v>0.617</v>
      </c>
      <c r="K790" s="9">
        <f>ROUND(H790*I790*J790, 2)</f>
        <v/>
      </c>
      <c r="L790" s="23">
        <f>ROUND(K790/1000, 3)</f>
        <v/>
      </c>
      <c r="M790" s="8">
        <f>IF(AO790="","",IF(INDEX(Theo_Doi_Tan_Suat_Be_Tong!$C:$C,AO790)="","",INDEX(Theo_Doi_Tan_Suat_Be_Tong!$C:$C,AO790)-VLOOKUP(AN790,$AQ$2:$AR$7,2,FALSE)))</f>
        <v/>
      </c>
      <c r="N790" s="6" t="n"/>
      <c r="O790" s="24">
        <f>IF(ROUNDUP(P790/20,0)&gt;ROUNDUP(P789/20,0),"TN Ø10 (Lần " &amp; ROUNDUP(P790/20,0) &amp; ")","")</f>
        <v/>
      </c>
      <c r="P790" s="20">
        <f>ROUND(P789+IF(AND(E790&lt;=10,F790&lt;&gt;"ASTM A416"),L790,0),3)</f>
        <v/>
      </c>
      <c r="Q790" s="20">
        <f>ROUND(Q789+IF(AND(E790=12,F790&lt;&gt;"ASTM A416"),L790,0),3)</f>
        <v/>
      </c>
      <c r="R790" s="20">
        <f>ROUND(R789+IF(AND(E790=14,F790&lt;&gt;"ASTM A416"),L790,0),3)</f>
        <v/>
      </c>
      <c r="S790" s="20">
        <f>ROUND(S789+IF(AND(E790=16,F790&lt;&gt;"ASTM A416"),L790,0),3)</f>
        <v/>
      </c>
      <c r="T790" s="20">
        <f>ROUND(T789+IF(AND(E790=18,F790&lt;&gt;"ASTM A416"),L790,0),3)</f>
        <v/>
      </c>
      <c r="U790" s="20">
        <f>ROUND(U789+IF(AND(E790=20,F790&lt;&gt;"ASTM A416"),L790,0),3)</f>
        <v/>
      </c>
      <c r="V790" s="20">
        <f>ROUND(V789+IF(AND(E790=22,F790&lt;&gt;"ASTM A416"),L790,0),3)</f>
        <v/>
      </c>
      <c r="W790" s="20">
        <f>ROUND(W789+IF(AND(E790=25,F790&lt;&gt;"ASTM A416"),L790,0),3)</f>
        <v/>
      </c>
      <c r="X790" s="20">
        <f>ROUND(X789+IF(AND(E790=28,F790&lt;&gt;"ASTM A416"),L790,0),3)</f>
        <v/>
      </c>
      <c r="Y790" s="20">
        <f>ROUND(Y789+IF(AND(E790=32,F790&lt;&gt;"ASTM A416"),L790,0),3)</f>
        <v/>
      </c>
      <c r="Z790" s="20">
        <f>ROUND(Z789+IF(F790="ASTM A416",L790,0),3)</f>
        <v/>
      </c>
      <c r="AA790" s="11">
        <f>IF(ROUNDUP(P790/20,0)&gt;ROUNDUP(P789/20,0),"Lần " &amp; ROUNDUP(P790/20,0),"")</f>
        <v/>
      </c>
      <c r="AB790" s="11">
        <f>IF(ROUNDUP(Q790/20,0)&gt;ROUNDUP(Q789/20,0),"Lần " &amp; ROUNDUP(Q790/20,0),"")</f>
        <v/>
      </c>
      <c r="AC790" s="11">
        <f>IF(ROUNDUP(R790/20,0)&gt;ROUNDUP(R789/20,0),"Lần " &amp; ROUNDUP(R790/20,0),"")</f>
        <v/>
      </c>
      <c r="AD790" s="11">
        <f>IF(ROUNDUP(S790/20,0)&gt;ROUNDUP(S789/20,0),"Lần " &amp; ROUNDUP(S790/20,0),"")</f>
        <v/>
      </c>
      <c r="AE790" s="11">
        <f>IF(ROUNDUP(T790/20,0)&gt;ROUNDUP(T789/20,0),"Lần " &amp; ROUNDUP(T790/20,0),"")</f>
        <v/>
      </c>
      <c r="AF790" s="11">
        <f>IF(ROUNDUP(U790/20,0)&gt;ROUNDUP(U789/20,0),"Lần " &amp; ROUNDUP(U790/20,0),"")</f>
        <v/>
      </c>
      <c r="AG790" s="11">
        <f>IF(ROUNDUP(V790/20,0)&gt;ROUNDUP(V789/20,0),"Lần " &amp; ROUNDUP(V790/20,0),"")</f>
        <v/>
      </c>
      <c r="AH790" s="11">
        <f>IF(ROUNDUP(W790/20,0)&gt;ROUNDUP(W789/20,0),"Lần " &amp; ROUNDUP(W790/20,0),"")</f>
        <v/>
      </c>
      <c r="AI790" s="11">
        <f>IF(ROUNDUP(X790/20,0)&gt;ROUNDUP(X789/20,0),"Lần " &amp; ROUNDUP(X790/20,0),"")</f>
        <v/>
      </c>
      <c r="AJ790" s="11">
        <f>IF(ROUNDUP(Y790/20,0)&gt;ROUNDUP(Y789/20,0),"Lần " &amp; ROUNDUP(Y790/20,0),"")</f>
        <v/>
      </c>
      <c r="AK790" s="11">
        <f>IF(ROUNDUP(Z790/20,0)&gt;ROUNDUP(Z789/20,0),"Lần " &amp; ROUNDUP(Z790/20,0),"")</f>
        <v/>
      </c>
      <c r="AL790" s="6" t="n"/>
      <c r="AN790" t="inlineStr">
        <is>
          <t>Coc</t>
        </is>
      </c>
      <c r="AO790" t="n">
        <v>28</v>
      </c>
    </row>
    <row r="791" ht="19" customHeight="1">
      <c r="A791" s="6" t="n">
        <v>750</v>
      </c>
      <c r="B791" s="7" t="inlineStr">
        <is>
          <t>Cọc khoan nhồi C6 Mố M2 (D1.2m, L=36.0m)</t>
        </is>
      </c>
      <c r="C791" s="7" t="inlineStr">
        <is>
          <t>Cọc mố M2 L=36m (tr.66)</t>
        </is>
      </c>
      <c r="D791" s="18" t="inlineStr">
        <is>
          <t>P1B</t>
        </is>
      </c>
      <c r="E791" s="19" t="n">
        <v>10</v>
      </c>
      <c r="F791" s="6" t="inlineStr">
        <is>
          <t>CB240-T</t>
        </is>
      </c>
      <c r="G791" s="7" t="inlineStr"/>
      <c r="H791" s="20" t="n">
        <v>164.938</v>
      </c>
      <c r="I791" s="21" t="n">
        <v>1</v>
      </c>
      <c r="J791" s="22" t="n">
        <v>0.617</v>
      </c>
      <c r="K791" s="9">
        <f>ROUND(H791*I791*J791, 2)</f>
        <v/>
      </c>
      <c r="L791" s="23">
        <f>ROUND(K791/1000, 3)</f>
        <v/>
      </c>
      <c r="M791" s="8">
        <f>IF(AO791="","",IF(INDEX(Theo_Doi_Tan_Suat_Be_Tong!$C:$C,AO791)="","",INDEX(Theo_Doi_Tan_Suat_Be_Tong!$C:$C,AO791)-VLOOKUP(AN791,$AQ$2:$AR$7,2,FALSE)))</f>
        <v/>
      </c>
      <c r="N791" s="6" t="n"/>
      <c r="O791" s="24">
        <f>IF(ROUNDUP(P791/20,0)&gt;ROUNDUP(P790/20,0),"TN Ø10 (Lần " &amp; ROUNDUP(P791/20,0) &amp; ")","")</f>
        <v/>
      </c>
      <c r="P791" s="20">
        <f>ROUND(P790+IF(AND(E791&lt;=10,F791&lt;&gt;"ASTM A416"),L791,0),3)</f>
        <v/>
      </c>
      <c r="Q791" s="20">
        <f>ROUND(Q790+IF(AND(E791=12,F791&lt;&gt;"ASTM A416"),L791,0),3)</f>
        <v/>
      </c>
      <c r="R791" s="20">
        <f>ROUND(R790+IF(AND(E791=14,F791&lt;&gt;"ASTM A416"),L791,0),3)</f>
        <v/>
      </c>
      <c r="S791" s="20">
        <f>ROUND(S790+IF(AND(E791=16,F791&lt;&gt;"ASTM A416"),L791,0),3)</f>
        <v/>
      </c>
      <c r="T791" s="20">
        <f>ROUND(T790+IF(AND(E791=18,F791&lt;&gt;"ASTM A416"),L791,0),3)</f>
        <v/>
      </c>
      <c r="U791" s="20">
        <f>ROUND(U790+IF(AND(E791=20,F791&lt;&gt;"ASTM A416"),L791,0),3)</f>
        <v/>
      </c>
      <c r="V791" s="20">
        <f>ROUND(V790+IF(AND(E791=22,F791&lt;&gt;"ASTM A416"),L791,0),3)</f>
        <v/>
      </c>
      <c r="W791" s="20">
        <f>ROUND(W790+IF(AND(E791=25,F791&lt;&gt;"ASTM A416"),L791,0),3)</f>
        <v/>
      </c>
      <c r="X791" s="20">
        <f>ROUND(X790+IF(AND(E791=28,F791&lt;&gt;"ASTM A416"),L791,0),3)</f>
        <v/>
      </c>
      <c r="Y791" s="20">
        <f>ROUND(Y790+IF(AND(E791=32,F791&lt;&gt;"ASTM A416"),L791,0),3)</f>
        <v/>
      </c>
      <c r="Z791" s="20">
        <f>ROUND(Z790+IF(F791="ASTM A416",L791,0),3)</f>
        <v/>
      </c>
      <c r="AA791" s="11">
        <f>IF(ROUNDUP(P791/20,0)&gt;ROUNDUP(P790/20,0),"Lần " &amp; ROUNDUP(P791/20,0),"")</f>
        <v/>
      </c>
      <c r="AB791" s="11">
        <f>IF(ROUNDUP(Q791/20,0)&gt;ROUNDUP(Q790/20,0),"Lần " &amp; ROUNDUP(Q791/20,0),"")</f>
        <v/>
      </c>
      <c r="AC791" s="11">
        <f>IF(ROUNDUP(R791/20,0)&gt;ROUNDUP(R790/20,0),"Lần " &amp; ROUNDUP(R791/20,0),"")</f>
        <v/>
      </c>
      <c r="AD791" s="11">
        <f>IF(ROUNDUP(S791/20,0)&gt;ROUNDUP(S790/20,0),"Lần " &amp; ROUNDUP(S791/20,0),"")</f>
        <v/>
      </c>
      <c r="AE791" s="11">
        <f>IF(ROUNDUP(T791/20,0)&gt;ROUNDUP(T790/20,0),"Lần " &amp; ROUNDUP(T791/20,0),"")</f>
        <v/>
      </c>
      <c r="AF791" s="11">
        <f>IF(ROUNDUP(U791/20,0)&gt;ROUNDUP(U790/20,0),"Lần " &amp; ROUNDUP(U791/20,0),"")</f>
        <v/>
      </c>
      <c r="AG791" s="11">
        <f>IF(ROUNDUP(V791/20,0)&gt;ROUNDUP(V790/20,0),"Lần " &amp; ROUNDUP(V791/20,0),"")</f>
        <v/>
      </c>
      <c r="AH791" s="11">
        <f>IF(ROUNDUP(W791/20,0)&gt;ROUNDUP(W790/20,0),"Lần " &amp; ROUNDUP(W791/20,0),"")</f>
        <v/>
      </c>
      <c r="AI791" s="11">
        <f>IF(ROUNDUP(X791/20,0)&gt;ROUNDUP(X790/20,0),"Lần " &amp; ROUNDUP(X791/20,0),"")</f>
        <v/>
      </c>
      <c r="AJ791" s="11">
        <f>IF(ROUNDUP(Y791/20,0)&gt;ROUNDUP(Y790/20,0),"Lần " &amp; ROUNDUP(Y791/20,0),"")</f>
        <v/>
      </c>
      <c r="AK791" s="11">
        <f>IF(ROUNDUP(Z791/20,0)&gt;ROUNDUP(Z790/20,0),"Lần " &amp; ROUNDUP(Z791/20,0),"")</f>
        <v/>
      </c>
      <c r="AL791" s="6" t="n"/>
      <c r="AN791" t="inlineStr">
        <is>
          <t>Coc</t>
        </is>
      </c>
      <c r="AO791" t="n">
        <v>28</v>
      </c>
    </row>
    <row r="792" ht="19" customHeight="1">
      <c r="A792" s="6" t="n">
        <v>751</v>
      </c>
      <c r="B792" s="7" t="inlineStr">
        <is>
          <t>Cọc khoan nhồi C6 Mố M2 (D1.2m, L=36.0m)</t>
        </is>
      </c>
      <c r="C792" s="7" t="inlineStr">
        <is>
          <t>Cọc mố M2 L=36m (tr.66)</t>
        </is>
      </c>
      <c r="D792" s="18" t="inlineStr">
        <is>
          <t>P1C</t>
        </is>
      </c>
      <c r="E792" s="19" t="n">
        <v>10</v>
      </c>
      <c r="F792" s="6" t="inlineStr">
        <is>
          <t>CB240-T</t>
        </is>
      </c>
      <c r="G792" s="7" t="inlineStr"/>
      <c r="H792" s="20" t="n">
        <v>3.592</v>
      </c>
      <c r="I792" s="21" t="n">
        <v>2</v>
      </c>
      <c r="J792" s="22" t="n">
        <v>0.617</v>
      </c>
      <c r="K792" s="9">
        <f>ROUND(H792*I792*J792, 2)</f>
        <v/>
      </c>
      <c r="L792" s="23">
        <f>ROUND(K792/1000, 3)</f>
        <v/>
      </c>
      <c r="M792" s="8">
        <f>IF(AO792="","",IF(INDEX(Theo_Doi_Tan_Suat_Be_Tong!$C:$C,AO792)="","",INDEX(Theo_Doi_Tan_Suat_Be_Tong!$C:$C,AO792)-VLOOKUP(AN792,$AQ$2:$AR$7,2,FALSE)))</f>
        <v/>
      </c>
      <c r="N792" s="6" t="n"/>
      <c r="O792" s="24">
        <f>IF(ROUNDUP(P792/20,0)&gt;ROUNDUP(P791/20,0),"TN Ø10 (Lần " &amp; ROUNDUP(P792/20,0) &amp; ")","")</f>
        <v/>
      </c>
      <c r="P792" s="20">
        <f>ROUND(P791+IF(AND(E792&lt;=10,F792&lt;&gt;"ASTM A416"),L792,0),3)</f>
        <v/>
      </c>
      <c r="Q792" s="20">
        <f>ROUND(Q791+IF(AND(E792=12,F792&lt;&gt;"ASTM A416"),L792,0),3)</f>
        <v/>
      </c>
      <c r="R792" s="20">
        <f>ROUND(R791+IF(AND(E792=14,F792&lt;&gt;"ASTM A416"),L792,0),3)</f>
        <v/>
      </c>
      <c r="S792" s="20">
        <f>ROUND(S791+IF(AND(E792=16,F792&lt;&gt;"ASTM A416"),L792,0),3)</f>
        <v/>
      </c>
      <c r="T792" s="20">
        <f>ROUND(T791+IF(AND(E792=18,F792&lt;&gt;"ASTM A416"),L792,0),3)</f>
        <v/>
      </c>
      <c r="U792" s="20">
        <f>ROUND(U791+IF(AND(E792=20,F792&lt;&gt;"ASTM A416"),L792,0),3)</f>
        <v/>
      </c>
      <c r="V792" s="20">
        <f>ROUND(V791+IF(AND(E792=22,F792&lt;&gt;"ASTM A416"),L792,0),3)</f>
        <v/>
      </c>
      <c r="W792" s="20">
        <f>ROUND(W791+IF(AND(E792=25,F792&lt;&gt;"ASTM A416"),L792,0),3)</f>
        <v/>
      </c>
      <c r="X792" s="20">
        <f>ROUND(X791+IF(AND(E792=28,F792&lt;&gt;"ASTM A416"),L792,0),3)</f>
        <v/>
      </c>
      <c r="Y792" s="20">
        <f>ROUND(Y791+IF(AND(E792=32,F792&lt;&gt;"ASTM A416"),L792,0),3)</f>
        <v/>
      </c>
      <c r="Z792" s="20">
        <f>ROUND(Z791+IF(F792="ASTM A416",L792,0),3)</f>
        <v/>
      </c>
      <c r="AA792" s="11">
        <f>IF(ROUNDUP(P792/20,0)&gt;ROUNDUP(P791/20,0),"Lần " &amp; ROUNDUP(P792/20,0),"")</f>
        <v/>
      </c>
      <c r="AB792" s="11">
        <f>IF(ROUNDUP(Q792/20,0)&gt;ROUNDUP(Q791/20,0),"Lần " &amp; ROUNDUP(Q792/20,0),"")</f>
        <v/>
      </c>
      <c r="AC792" s="11">
        <f>IF(ROUNDUP(R792/20,0)&gt;ROUNDUP(R791/20,0),"Lần " &amp; ROUNDUP(R792/20,0),"")</f>
        <v/>
      </c>
      <c r="AD792" s="11">
        <f>IF(ROUNDUP(S792/20,0)&gt;ROUNDUP(S791/20,0),"Lần " &amp; ROUNDUP(S792/20,0),"")</f>
        <v/>
      </c>
      <c r="AE792" s="11">
        <f>IF(ROUNDUP(T792/20,0)&gt;ROUNDUP(T791/20,0),"Lần " &amp; ROUNDUP(T792/20,0),"")</f>
        <v/>
      </c>
      <c r="AF792" s="11">
        <f>IF(ROUNDUP(U792/20,0)&gt;ROUNDUP(U791/20,0),"Lần " &amp; ROUNDUP(U792/20,0),"")</f>
        <v/>
      </c>
      <c r="AG792" s="11">
        <f>IF(ROUNDUP(V792/20,0)&gt;ROUNDUP(V791/20,0),"Lần " &amp; ROUNDUP(V792/20,0),"")</f>
        <v/>
      </c>
      <c r="AH792" s="11">
        <f>IF(ROUNDUP(W792/20,0)&gt;ROUNDUP(W791/20,0),"Lần " &amp; ROUNDUP(W792/20,0),"")</f>
        <v/>
      </c>
      <c r="AI792" s="11">
        <f>IF(ROUNDUP(X792/20,0)&gt;ROUNDUP(X791/20,0),"Lần " &amp; ROUNDUP(X792/20,0),"")</f>
        <v/>
      </c>
      <c r="AJ792" s="11">
        <f>IF(ROUNDUP(Y792/20,0)&gt;ROUNDUP(Y791/20,0),"Lần " &amp; ROUNDUP(Y792/20,0),"")</f>
        <v/>
      </c>
      <c r="AK792" s="11">
        <f>IF(ROUNDUP(Z792/20,0)&gt;ROUNDUP(Z791/20,0),"Lần " &amp; ROUNDUP(Z792/20,0),"")</f>
        <v/>
      </c>
      <c r="AL792" s="6" t="n"/>
      <c r="AN792" t="inlineStr">
        <is>
          <t>Coc</t>
        </is>
      </c>
      <c r="AO792" t="n">
        <v>28</v>
      </c>
    </row>
    <row r="793" ht="19" customHeight="1">
      <c r="A793" s="6" t="n">
        <v>752</v>
      </c>
      <c r="B793" s="7" t="inlineStr">
        <is>
          <t>Cọc khoan nhồi C6 Mố M2 (D1.2m, L=36.0m)</t>
        </is>
      </c>
      <c r="C793" s="7" t="inlineStr">
        <is>
          <t>Cọc mố M2 L=36m (tr.66)</t>
        </is>
      </c>
      <c r="D793" s="18" t="inlineStr">
        <is>
          <t>P1D</t>
        </is>
      </c>
      <c r="E793" s="19" t="n">
        <v>10</v>
      </c>
      <c r="F793" s="6" t="inlineStr">
        <is>
          <t>CB240-T</t>
        </is>
      </c>
      <c r="G793" s="7" t="inlineStr"/>
      <c r="H793" s="20" t="n">
        <v>23.007</v>
      </c>
      <c r="I793" s="21" t="n">
        <v>1</v>
      </c>
      <c r="J793" s="22" t="n">
        <v>0.617</v>
      </c>
      <c r="K793" s="9">
        <f>ROUND(H793*I793*J793, 2)</f>
        <v/>
      </c>
      <c r="L793" s="23">
        <f>ROUND(K793/1000, 3)</f>
        <v/>
      </c>
      <c r="M793" s="8">
        <f>IF(AO793="","",IF(INDEX(Theo_Doi_Tan_Suat_Be_Tong!$C:$C,AO793)="","",INDEX(Theo_Doi_Tan_Suat_Be_Tong!$C:$C,AO793)-VLOOKUP(AN793,$AQ$2:$AR$7,2,FALSE)))</f>
        <v/>
      </c>
      <c r="N793" s="6" t="n"/>
      <c r="O793" s="24">
        <f>IF(ROUNDUP(P793/20,0)&gt;ROUNDUP(P792/20,0),"TN Ø10 (Lần " &amp; ROUNDUP(P793/20,0) &amp; ")","")</f>
        <v/>
      </c>
      <c r="P793" s="20">
        <f>ROUND(P792+IF(AND(E793&lt;=10,F793&lt;&gt;"ASTM A416"),L793,0),3)</f>
        <v/>
      </c>
      <c r="Q793" s="20">
        <f>ROUND(Q792+IF(AND(E793=12,F793&lt;&gt;"ASTM A416"),L793,0),3)</f>
        <v/>
      </c>
      <c r="R793" s="20">
        <f>ROUND(R792+IF(AND(E793=14,F793&lt;&gt;"ASTM A416"),L793,0),3)</f>
        <v/>
      </c>
      <c r="S793" s="20">
        <f>ROUND(S792+IF(AND(E793=16,F793&lt;&gt;"ASTM A416"),L793,0),3)</f>
        <v/>
      </c>
      <c r="T793" s="20">
        <f>ROUND(T792+IF(AND(E793=18,F793&lt;&gt;"ASTM A416"),L793,0),3)</f>
        <v/>
      </c>
      <c r="U793" s="20">
        <f>ROUND(U792+IF(AND(E793=20,F793&lt;&gt;"ASTM A416"),L793,0),3)</f>
        <v/>
      </c>
      <c r="V793" s="20">
        <f>ROUND(V792+IF(AND(E793=22,F793&lt;&gt;"ASTM A416"),L793,0),3)</f>
        <v/>
      </c>
      <c r="W793" s="20">
        <f>ROUND(W792+IF(AND(E793=25,F793&lt;&gt;"ASTM A416"),L793,0),3)</f>
        <v/>
      </c>
      <c r="X793" s="20">
        <f>ROUND(X792+IF(AND(E793=28,F793&lt;&gt;"ASTM A416"),L793,0),3)</f>
        <v/>
      </c>
      <c r="Y793" s="20">
        <f>ROUND(Y792+IF(AND(E793=32,F793&lt;&gt;"ASTM A416"),L793,0),3)</f>
        <v/>
      </c>
      <c r="Z793" s="20">
        <f>ROUND(Z792+IF(F793="ASTM A416",L793,0),3)</f>
        <v/>
      </c>
      <c r="AA793" s="11">
        <f>IF(ROUNDUP(P793/20,0)&gt;ROUNDUP(P792/20,0),"Lần " &amp; ROUNDUP(P793/20,0),"")</f>
        <v/>
      </c>
      <c r="AB793" s="11">
        <f>IF(ROUNDUP(Q793/20,0)&gt;ROUNDUP(Q792/20,0),"Lần " &amp; ROUNDUP(Q793/20,0),"")</f>
        <v/>
      </c>
      <c r="AC793" s="11">
        <f>IF(ROUNDUP(R793/20,0)&gt;ROUNDUP(R792/20,0),"Lần " &amp; ROUNDUP(R793/20,0),"")</f>
        <v/>
      </c>
      <c r="AD793" s="11">
        <f>IF(ROUNDUP(S793/20,0)&gt;ROUNDUP(S792/20,0),"Lần " &amp; ROUNDUP(S793/20,0),"")</f>
        <v/>
      </c>
      <c r="AE793" s="11">
        <f>IF(ROUNDUP(T793/20,0)&gt;ROUNDUP(T792/20,0),"Lần " &amp; ROUNDUP(T793/20,0),"")</f>
        <v/>
      </c>
      <c r="AF793" s="11">
        <f>IF(ROUNDUP(U793/20,0)&gt;ROUNDUP(U792/20,0),"Lần " &amp; ROUNDUP(U793/20,0),"")</f>
        <v/>
      </c>
      <c r="AG793" s="11">
        <f>IF(ROUNDUP(V793/20,0)&gt;ROUNDUP(V792/20,0),"Lần " &amp; ROUNDUP(V793/20,0),"")</f>
        <v/>
      </c>
      <c r="AH793" s="11">
        <f>IF(ROUNDUP(W793/20,0)&gt;ROUNDUP(W792/20,0),"Lần " &amp; ROUNDUP(W793/20,0),"")</f>
        <v/>
      </c>
      <c r="AI793" s="11">
        <f>IF(ROUNDUP(X793/20,0)&gt;ROUNDUP(X792/20,0),"Lần " &amp; ROUNDUP(X793/20,0),"")</f>
        <v/>
      </c>
      <c r="AJ793" s="11">
        <f>IF(ROUNDUP(Y793/20,0)&gt;ROUNDUP(Y792/20,0),"Lần " &amp; ROUNDUP(Y793/20,0),"")</f>
        <v/>
      </c>
      <c r="AK793" s="11">
        <f>IF(ROUNDUP(Z793/20,0)&gt;ROUNDUP(Z792/20,0),"Lần " &amp; ROUNDUP(Z793/20,0),"")</f>
        <v/>
      </c>
      <c r="AL793" s="6" t="n"/>
      <c r="AN793" t="inlineStr">
        <is>
          <t>Coc</t>
        </is>
      </c>
      <c r="AO793" t="n">
        <v>28</v>
      </c>
    </row>
    <row r="794" ht="19" customHeight="1">
      <c r="A794" s="6" t="n">
        <v>753</v>
      </c>
      <c r="B794" s="7" t="inlineStr">
        <is>
          <t>Cọc khoan nhồi C6 Mố M2 (D1.2m, L=36.0m)</t>
        </is>
      </c>
      <c r="C794" s="7" t="inlineStr">
        <is>
          <t>Cọc mố M2 L=36m (tr.66)</t>
        </is>
      </c>
      <c r="D794" s="18" t="inlineStr">
        <is>
          <t>P2A</t>
        </is>
      </c>
      <c r="E794" s="19" t="n">
        <v>28</v>
      </c>
      <c r="F794" s="6" t="inlineStr">
        <is>
          <t>CB400-V</t>
        </is>
      </c>
      <c r="G794" s="7" t="inlineStr"/>
      <c r="H794" s="20" t="n">
        <v>2.966</v>
      </c>
      <c r="I794" s="21" t="n">
        <v>5</v>
      </c>
      <c r="J794" s="22" t="n">
        <v>4.834</v>
      </c>
      <c r="K794" s="9">
        <f>ROUND(H794*I794*J794, 2)</f>
        <v/>
      </c>
      <c r="L794" s="23">
        <f>ROUND(K794/1000, 3)</f>
        <v/>
      </c>
      <c r="M794" s="8">
        <f>IF(AO794="","",IF(INDEX(Theo_Doi_Tan_Suat_Be_Tong!$C:$C,AO794)="","",INDEX(Theo_Doi_Tan_Suat_Be_Tong!$C:$C,AO794)-VLOOKUP(AN794,$AQ$2:$AR$7,2,FALSE)))</f>
        <v/>
      </c>
      <c r="N794" s="6" t="n"/>
      <c r="O794" s="24">
        <f>IF(ROUNDUP(X794/20,0)&gt;ROUNDUP(X793/20,0),"TN Ø28 (Lần " &amp; ROUNDUP(X794/20,0) &amp; ")","")</f>
        <v/>
      </c>
      <c r="P794" s="20">
        <f>ROUND(P793+IF(AND(E794&lt;=10,F794&lt;&gt;"ASTM A416"),L794,0),3)</f>
        <v/>
      </c>
      <c r="Q794" s="20">
        <f>ROUND(Q793+IF(AND(E794=12,F794&lt;&gt;"ASTM A416"),L794,0),3)</f>
        <v/>
      </c>
      <c r="R794" s="20">
        <f>ROUND(R793+IF(AND(E794=14,F794&lt;&gt;"ASTM A416"),L794,0),3)</f>
        <v/>
      </c>
      <c r="S794" s="20">
        <f>ROUND(S793+IF(AND(E794=16,F794&lt;&gt;"ASTM A416"),L794,0),3)</f>
        <v/>
      </c>
      <c r="T794" s="20">
        <f>ROUND(T793+IF(AND(E794=18,F794&lt;&gt;"ASTM A416"),L794,0),3)</f>
        <v/>
      </c>
      <c r="U794" s="20">
        <f>ROUND(U793+IF(AND(E794=20,F794&lt;&gt;"ASTM A416"),L794,0),3)</f>
        <v/>
      </c>
      <c r="V794" s="20">
        <f>ROUND(V793+IF(AND(E794=22,F794&lt;&gt;"ASTM A416"),L794,0),3)</f>
        <v/>
      </c>
      <c r="W794" s="20">
        <f>ROUND(W793+IF(AND(E794=25,F794&lt;&gt;"ASTM A416"),L794,0),3)</f>
        <v/>
      </c>
      <c r="X794" s="20">
        <f>ROUND(X793+IF(AND(E794=28,F794&lt;&gt;"ASTM A416"),L794,0),3)</f>
        <v/>
      </c>
      <c r="Y794" s="20">
        <f>ROUND(Y793+IF(AND(E794=32,F794&lt;&gt;"ASTM A416"),L794,0),3)</f>
        <v/>
      </c>
      <c r="Z794" s="20">
        <f>ROUND(Z793+IF(F794="ASTM A416",L794,0),3)</f>
        <v/>
      </c>
      <c r="AA794" s="11">
        <f>IF(ROUNDUP(P794/20,0)&gt;ROUNDUP(P793/20,0),"Lần " &amp; ROUNDUP(P794/20,0),"")</f>
        <v/>
      </c>
      <c r="AB794" s="11">
        <f>IF(ROUNDUP(Q794/20,0)&gt;ROUNDUP(Q793/20,0),"Lần " &amp; ROUNDUP(Q794/20,0),"")</f>
        <v/>
      </c>
      <c r="AC794" s="11">
        <f>IF(ROUNDUP(R794/20,0)&gt;ROUNDUP(R793/20,0),"Lần " &amp; ROUNDUP(R794/20,0),"")</f>
        <v/>
      </c>
      <c r="AD794" s="11">
        <f>IF(ROUNDUP(S794/20,0)&gt;ROUNDUP(S793/20,0),"Lần " &amp; ROUNDUP(S794/20,0),"")</f>
        <v/>
      </c>
      <c r="AE794" s="11">
        <f>IF(ROUNDUP(T794/20,0)&gt;ROUNDUP(T793/20,0),"Lần " &amp; ROUNDUP(T794/20,0),"")</f>
        <v/>
      </c>
      <c r="AF794" s="11">
        <f>IF(ROUNDUP(U794/20,0)&gt;ROUNDUP(U793/20,0),"Lần " &amp; ROUNDUP(U794/20,0),"")</f>
        <v/>
      </c>
      <c r="AG794" s="11">
        <f>IF(ROUNDUP(V794/20,0)&gt;ROUNDUP(V793/20,0),"Lần " &amp; ROUNDUP(V794/20,0),"")</f>
        <v/>
      </c>
      <c r="AH794" s="11">
        <f>IF(ROUNDUP(W794/20,0)&gt;ROUNDUP(W793/20,0),"Lần " &amp; ROUNDUP(W794/20,0),"")</f>
        <v/>
      </c>
      <c r="AI794" s="11">
        <f>IF(ROUNDUP(X794/20,0)&gt;ROUNDUP(X793/20,0),"Lần " &amp; ROUNDUP(X794/20,0),"")</f>
        <v/>
      </c>
      <c r="AJ794" s="11">
        <f>IF(ROUNDUP(Y794/20,0)&gt;ROUNDUP(Y793/20,0),"Lần " &amp; ROUNDUP(Y794/20,0),"")</f>
        <v/>
      </c>
      <c r="AK794" s="11">
        <f>IF(ROUNDUP(Z794/20,0)&gt;ROUNDUP(Z793/20,0),"Lần " &amp; ROUNDUP(Z794/20,0),"")</f>
        <v/>
      </c>
      <c r="AL794" s="6" t="n"/>
      <c r="AN794" t="inlineStr">
        <is>
          <t>Coc</t>
        </is>
      </c>
      <c r="AO794" t="n">
        <v>28</v>
      </c>
    </row>
    <row r="795" ht="19" customHeight="1">
      <c r="A795" s="6" t="n">
        <v>754</v>
      </c>
      <c r="B795" s="7" t="inlineStr">
        <is>
          <t>Cọc khoan nhồi C6 Mố M2 (D1.2m, L=36.0m)</t>
        </is>
      </c>
      <c r="C795" s="7" t="inlineStr">
        <is>
          <t>Cọc mố M2 L=36m (tr.66)</t>
        </is>
      </c>
      <c r="D795" s="18" t="inlineStr">
        <is>
          <t>P2B</t>
        </is>
      </c>
      <c r="E795" s="19" t="n">
        <v>25</v>
      </c>
      <c r="F795" s="6" t="inlineStr">
        <is>
          <t>CB400-V</t>
        </is>
      </c>
      <c r="G795" s="7" t="inlineStr"/>
      <c r="H795" s="20" t="n">
        <v>2.985</v>
      </c>
      <c r="I795" s="21" t="n">
        <v>10</v>
      </c>
      <c r="J795" s="22" t="n">
        <v>3.853</v>
      </c>
      <c r="K795" s="9">
        <f>ROUND(H795*I795*J795, 2)</f>
        <v/>
      </c>
      <c r="L795" s="23">
        <f>ROUND(K795/1000, 3)</f>
        <v/>
      </c>
      <c r="M795" s="8">
        <f>IF(AO795="","",IF(INDEX(Theo_Doi_Tan_Suat_Be_Tong!$C:$C,AO795)="","",INDEX(Theo_Doi_Tan_Suat_Be_Tong!$C:$C,AO795)-VLOOKUP(AN795,$AQ$2:$AR$7,2,FALSE)))</f>
        <v/>
      </c>
      <c r="N795" s="6" t="n"/>
      <c r="O795" s="24">
        <f>IF(ROUNDUP(W795/20,0)&gt;ROUNDUP(W794/20,0),"TN Ø25 (Lần " &amp; ROUNDUP(W795/20,0) &amp; ")","")</f>
        <v/>
      </c>
      <c r="P795" s="20">
        <f>ROUND(P794+IF(AND(E795&lt;=10,F795&lt;&gt;"ASTM A416"),L795,0),3)</f>
        <v/>
      </c>
      <c r="Q795" s="20">
        <f>ROUND(Q794+IF(AND(E795=12,F795&lt;&gt;"ASTM A416"),L795,0),3)</f>
        <v/>
      </c>
      <c r="R795" s="20">
        <f>ROUND(R794+IF(AND(E795=14,F795&lt;&gt;"ASTM A416"),L795,0),3)</f>
        <v/>
      </c>
      <c r="S795" s="20">
        <f>ROUND(S794+IF(AND(E795=16,F795&lt;&gt;"ASTM A416"),L795,0),3)</f>
        <v/>
      </c>
      <c r="T795" s="20">
        <f>ROUND(T794+IF(AND(E795=18,F795&lt;&gt;"ASTM A416"),L795,0),3)</f>
        <v/>
      </c>
      <c r="U795" s="20">
        <f>ROUND(U794+IF(AND(E795=20,F795&lt;&gt;"ASTM A416"),L795,0),3)</f>
        <v/>
      </c>
      <c r="V795" s="20">
        <f>ROUND(V794+IF(AND(E795=22,F795&lt;&gt;"ASTM A416"),L795,0),3)</f>
        <v/>
      </c>
      <c r="W795" s="20">
        <f>ROUND(W794+IF(AND(E795=25,F795&lt;&gt;"ASTM A416"),L795,0),3)</f>
        <v/>
      </c>
      <c r="X795" s="20">
        <f>ROUND(X794+IF(AND(E795=28,F795&lt;&gt;"ASTM A416"),L795,0),3)</f>
        <v/>
      </c>
      <c r="Y795" s="20">
        <f>ROUND(Y794+IF(AND(E795=32,F795&lt;&gt;"ASTM A416"),L795,0),3)</f>
        <v/>
      </c>
      <c r="Z795" s="20">
        <f>ROUND(Z794+IF(F795="ASTM A416",L795,0),3)</f>
        <v/>
      </c>
      <c r="AA795" s="11">
        <f>IF(ROUNDUP(P795/20,0)&gt;ROUNDUP(P794/20,0),"Lần " &amp; ROUNDUP(P795/20,0),"")</f>
        <v/>
      </c>
      <c r="AB795" s="11">
        <f>IF(ROUNDUP(Q795/20,0)&gt;ROUNDUP(Q794/20,0),"Lần " &amp; ROUNDUP(Q795/20,0),"")</f>
        <v/>
      </c>
      <c r="AC795" s="11">
        <f>IF(ROUNDUP(R795/20,0)&gt;ROUNDUP(R794/20,0),"Lần " &amp; ROUNDUP(R795/20,0),"")</f>
        <v/>
      </c>
      <c r="AD795" s="11">
        <f>IF(ROUNDUP(S795/20,0)&gt;ROUNDUP(S794/20,0),"Lần " &amp; ROUNDUP(S795/20,0),"")</f>
        <v/>
      </c>
      <c r="AE795" s="11">
        <f>IF(ROUNDUP(T795/20,0)&gt;ROUNDUP(T794/20,0),"Lần " &amp; ROUNDUP(T795/20,0),"")</f>
        <v/>
      </c>
      <c r="AF795" s="11">
        <f>IF(ROUNDUP(U795/20,0)&gt;ROUNDUP(U794/20,0),"Lần " &amp; ROUNDUP(U795/20,0),"")</f>
        <v/>
      </c>
      <c r="AG795" s="11">
        <f>IF(ROUNDUP(V795/20,0)&gt;ROUNDUP(V794/20,0),"Lần " &amp; ROUNDUP(V795/20,0),"")</f>
        <v/>
      </c>
      <c r="AH795" s="11">
        <f>IF(ROUNDUP(W795/20,0)&gt;ROUNDUP(W794/20,0),"Lần " &amp; ROUNDUP(W795/20,0),"")</f>
        <v/>
      </c>
      <c r="AI795" s="11">
        <f>IF(ROUNDUP(X795/20,0)&gt;ROUNDUP(X794/20,0),"Lần " &amp; ROUNDUP(X795/20,0),"")</f>
        <v/>
      </c>
      <c r="AJ795" s="11">
        <f>IF(ROUNDUP(Y795/20,0)&gt;ROUNDUP(Y794/20,0),"Lần " &amp; ROUNDUP(Y795/20,0),"")</f>
        <v/>
      </c>
      <c r="AK795" s="11">
        <f>IF(ROUNDUP(Z795/20,0)&gt;ROUNDUP(Z794/20,0),"Lần " &amp; ROUNDUP(Z795/20,0),"")</f>
        <v/>
      </c>
      <c r="AL795" s="6" t="n"/>
      <c r="AN795" t="inlineStr">
        <is>
          <t>Coc</t>
        </is>
      </c>
      <c r="AO795" t="n">
        <v>28</v>
      </c>
    </row>
    <row r="796" ht="19" customHeight="1">
      <c r="A796" s="6" t="n">
        <v>755</v>
      </c>
      <c r="B796" s="7" t="inlineStr">
        <is>
          <t>Cọc khoan nhồi C6 Mố M2 (D1.2m, L=36.0m)</t>
        </is>
      </c>
      <c r="C796" s="7" t="inlineStr">
        <is>
          <t>Cọc mố M2 L=36m (tr.66)</t>
        </is>
      </c>
      <c r="D796" s="18" t="inlineStr">
        <is>
          <t>P3</t>
        </is>
      </c>
      <c r="E796" s="19" t="n">
        <v>28</v>
      </c>
      <c r="F796" s="6" t="inlineStr">
        <is>
          <t>CB400-V</t>
        </is>
      </c>
      <c r="G796" s="7" t="inlineStr"/>
      <c r="H796" s="20" t="n">
        <v>10.7</v>
      </c>
      <c r="I796" s="21" t="n">
        <v>12</v>
      </c>
      <c r="J796" s="22" t="n">
        <v>4.834</v>
      </c>
      <c r="K796" s="9">
        <f>ROUND(H796*I796*J796, 2)</f>
        <v/>
      </c>
      <c r="L796" s="23">
        <f>ROUND(K796/1000, 3)</f>
        <v/>
      </c>
      <c r="M796" s="8">
        <f>IF(AO796="","",IF(INDEX(Theo_Doi_Tan_Suat_Be_Tong!$C:$C,AO796)="","",INDEX(Theo_Doi_Tan_Suat_Be_Tong!$C:$C,AO796)-VLOOKUP(AN796,$AQ$2:$AR$7,2,FALSE)))</f>
        <v/>
      </c>
      <c r="N796" s="6" t="n"/>
      <c r="O796" s="24">
        <f>IF(ROUNDUP(X796/20,0)&gt;ROUNDUP(X795/20,0),"TN Ø28 (Lần " &amp; ROUNDUP(X796/20,0) &amp; ")","")</f>
        <v/>
      </c>
      <c r="P796" s="20">
        <f>ROUND(P795+IF(AND(E796&lt;=10,F796&lt;&gt;"ASTM A416"),L796,0),3)</f>
        <v/>
      </c>
      <c r="Q796" s="20">
        <f>ROUND(Q795+IF(AND(E796=12,F796&lt;&gt;"ASTM A416"),L796,0),3)</f>
        <v/>
      </c>
      <c r="R796" s="20">
        <f>ROUND(R795+IF(AND(E796=14,F796&lt;&gt;"ASTM A416"),L796,0),3)</f>
        <v/>
      </c>
      <c r="S796" s="20">
        <f>ROUND(S795+IF(AND(E796=16,F796&lt;&gt;"ASTM A416"),L796,0),3)</f>
        <v/>
      </c>
      <c r="T796" s="20">
        <f>ROUND(T795+IF(AND(E796=18,F796&lt;&gt;"ASTM A416"),L796,0),3)</f>
        <v/>
      </c>
      <c r="U796" s="20">
        <f>ROUND(U795+IF(AND(E796=20,F796&lt;&gt;"ASTM A416"),L796,0),3)</f>
        <v/>
      </c>
      <c r="V796" s="20">
        <f>ROUND(V795+IF(AND(E796=22,F796&lt;&gt;"ASTM A416"),L796,0),3)</f>
        <v/>
      </c>
      <c r="W796" s="20">
        <f>ROUND(W795+IF(AND(E796=25,F796&lt;&gt;"ASTM A416"),L796,0),3)</f>
        <v/>
      </c>
      <c r="X796" s="20">
        <f>ROUND(X795+IF(AND(E796=28,F796&lt;&gt;"ASTM A416"),L796,0),3)</f>
        <v/>
      </c>
      <c r="Y796" s="20">
        <f>ROUND(Y795+IF(AND(E796=32,F796&lt;&gt;"ASTM A416"),L796,0),3)</f>
        <v/>
      </c>
      <c r="Z796" s="20">
        <f>ROUND(Z795+IF(F796="ASTM A416",L796,0),3)</f>
        <v/>
      </c>
      <c r="AA796" s="11">
        <f>IF(ROUNDUP(P796/20,0)&gt;ROUNDUP(P795/20,0),"Lần " &amp; ROUNDUP(P796/20,0),"")</f>
        <v/>
      </c>
      <c r="AB796" s="11">
        <f>IF(ROUNDUP(Q796/20,0)&gt;ROUNDUP(Q795/20,0),"Lần " &amp; ROUNDUP(Q796/20,0),"")</f>
        <v/>
      </c>
      <c r="AC796" s="11">
        <f>IF(ROUNDUP(R796/20,0)&gt;ROUNDUP(R795/20,0),"Lần " &amp; ROUNDUP(R796/20,0),"")</f>
        <v/>
      </c>
      <c r="AD796" s="11">
        <f>IF(ROUNDUP(S796/20,0)&gt;ROUNDUP(S795/20,0),"Lần " &amp; ROUNDUP(S796/20,0),"")</f>
        <v/>
      </c>
      <c r="AE796" s="11">
        <f>IF(ROUNDUP(T796/20,0)&gt;ROUNDUP(T795/20,0),"Lần " &amp; ROUNDUP(T796/20,0),"")</f>
        <v/>
      </c>
      <c r="AF796" s="11">
        <f>IF(ROUNDUP(U796/20,0)&gt;ROUNDUP(U795/20,0),"Lần " &amp; ROUNDUP(U796/20,0),"")</f>
        <v/>
      </c>
      <c r="AG796" s="11">
        <f>IF(ROUNDUP(V796/20,0)&gt;ROUNDUP(V795/20,0),"Lần " &amp; ROUNDUP(V796/20,0),"")</f>
        <v/>
      </c>
      <c r="AH796" s="11">
        <f>IF(ROUNDUP(W796/20,0)&gt;ROUNDUP(W795/20,0),"Lần " &amp; ROUNDUP(W796/20,0),"")</f>
        <v/>
      </c>
      <c r="AI796" s="11">
        <f>IF(ROUNDUP(X796/20,0)&gt;ROUNDUP(X795/20,0),"Lần " &amp; ROUNDUP(X796/20,0),"")</f>
        <v/>
      </c>
      <c r="AJ796" s="11">
        <f>IF(ROUNDUP(Y796/20,0)&gt;ROUNDUP(Y795/20,0),"Lần " &amp; ROUNDUP(Y796/20,0),"")</f>
        <v/>
      </c>
      <c r="AK796" s="11">
        <f>IF(ROUNDUP(Z796/20,0)&gt;ROUNDUP(Z795/20,0),"Lần " &amp; ROUNDUP(Z796/20,0),"")</f>
        <v/>
      </c>
      <c r="AL796" s="6" t="n"/>
      <c r="AN796" t="inlineStr">
        <is>
          <t>Coc</t>
        </is>
      </c>
      <c r="AO796" t="n">
        <v>28</v>
      </c>
    </row>
    <row r="797" ht="19" customHeight="1">
      <c r="A797" s="6" t="n">
        <v>756</v>
      </c>
      <c r="B797" s="7" t="inlineStr">
        <is>
          <t>Cọc khoan nhồi C6 Mố M2 (D1.2m, L=36.0m)</t>
        </is>
      </c>
      <c r="C797" s="7" t="inlineStr">
        <is>
          <t>Cọc mố M2 L=36m (tr.66)</t>
        </is>
      </c>
      <c r="D797" s="18" t="inlineStr">
        <is>
          <t>P4</t>
        </is>
      </c>
      <c r="E797" s="19" t="n">
        <v>28</v>
      </c>
      <c r="F797" s="6" t="inlineStr">
        <is>
          <t>CB400-V</t>
        </is>
      </c>
      <c r="G797" s="7" t="inlineStr"/>
      <c r="H797" s="20" t="n">
        <v>11.7</v>
      </c>
      <c r="I797" s="21" t="n">
        <v>12</v>
      </c>
      <c r="J797" s="22" t="n">
        <v>4.834</v>
      </c>
      <c r="K797" s="9">
        <f>ROUND(H797*I797*J797, 2)</f>
        <v/>
      </c>
      <c r="L797" s="23">
        <f>ROUND(K797/1000, 3)</f>
        <v/>
      </c>
      <c r="M797" s="8">
        <f>IF(AO797="","",IF(INDEX(Theo_Doi_Tan_Suat_Be_Tong!$C:$C,AO797)="","",INDEX(Theo_Doi_Tan_Suat_Be_Tong!$C:$C,AO797)-VLOOKUP(AN797,$AQ$2:$AR$7,2,FALSE)))</f>
        <v/>
      </c>
      <c r="N797" s="6" t="n"/>
      <c r="O797" s="24">
        <f>IF(ROUNDUP(X797/20,0)&gt;ROUNDUP(X796/20,0),"TN Ø28 (Lần " &amp; ROUNDUP(X797/20,0) &amp; ")","")</f>
        <v/>
      </c>
      <c r="P797" s="20">
        <f>ROUND(P796+IF(AND(E797&lt;=10,F797&lt;&gt;"ASTM A416"),L797,0),3)</f>
        <v/>
      </c>
      <c r="Q797" s="20">
        <f>ROUND(Q796+IF(AND(E797=12,F797&lt;&gt;"ASTM A416"),L797,0),3)</f>
        <v/>
      </c>
      <c r="R797" s="20">
        <f>ROUND(R796+IF(AND(E797=14,F797&lt;&gt;"ASTM A416"),L797,0),3)</f>
        <v/>
      </c>
      <c r="S797" s="20">
        <f>ROUND(S796+IF(AND(E797=16,F797&lt;&gt;"ASTM A416"),L797,0),3)</f>
        <v/>
      </c>
      <c r="T797" s="20">
        <f>ROUND(T796+IF(AND(E797=18,F797&lt;&gt;"ASTM A416"),L797,0),3)</f>
        <v/>
      </c>
      <c r="U797" s="20">
        <f>ROUND(U796+IF(AND(E797=20,F797&lt;&gt;"ASTM A416"),L797,0),3)</f>
        <v/>
      </c>
      <c r="V797" s="20">
        <f>ROUND(V796+IF(AND(E797=22,F797&lt;&gt;"ASTM A416"),L797,0),3)</f>
        <v/>
      </c>
      <c r="W797" s="20">
        <f>ROUND(W796+IF(AND(E797=25,F797&lt;&gt;"ASTM A416"),L797,0),3)</f>
        <v/>
      </c>
      <c r="X797" s="20">
        <f>ROUND(X796+IF(AND(E797=28,F797&lt;&gt;"ASTM A416"),L797,0),3)</f>
        <v/>
      </c>
      <c r="Y797" s="20">
        <f>ROUND(Y796+IF(AND(E797=32,F797&lt;&gt;"ASTM A416"),L797,0),3)</f>
        <v/>
      </c>
      <c r="Z797" s="20">
        <f>ROUND(Z796+IF(F797="ASTM A416",L797,0),3)</f>
        <v/>
      </c>
      <c r="AA797" s="11">
        <f>IF(ROUNDUP(P797/20,0)&gt;ROUNDUP(P796/20,0),"Lần " &amp; ROUNDUP(P797/20,0),"")</f>
        <v/>
      </c>
      <c r="AB797" s="11">
        <f>IF(ROUNDUP(Q797/20,0)&gt;ROUNDUP(Q796/20,0),"Lần " &amp; ROUNDUP(Q797/20,0),"")</f>
        <v/>
      </c>
      <c r="AC797" s="11">
        <f>IF(ROUNDUP(R797/20,0)&gt;ROUNDUP(R796/20,0),"Lần " &amp; ROUNDUP(R797/20,0),"")</f>
        <v/>
      </c>
      <c r="AD797" s="11">
        <f>IF(ROUNDUP(S797/20,0)&gt;ROUNDUP(S796/20,0),"Lần " &amp; ROUNDUP(S797/20,0),"")</f>
        <v/>
      </c>
      <c r="AE797" s="11">
        <f>IF(ROUNDUP(T797/20,0)&gt;ROUNDUP(T796/20,0),"Lần " &amp; ROUNDUP(T797/20,0),"")</f>
        <v/>
      </c>
      <c r="AF797" s="11">
        <f>IF(ROUNDUP(U797/20,0)&gt;ROUNDUP(U796/20,0),"Lần " &amp; ROUNDUP(U797/20,0),"")</f>
        <v/>
      </c>
      <c r="AG797" s="11">
        <f>IF(ROUNDUP(V797/20,0)&gt;ROUNDUP(V796/20,0),"Lần " &amp; ROUNDUP(V797/20,0),"")</f>
        <v/>
      </c>
      <c r="AH797" s="11">
        <f>IF(ROUNDUP(W797/20,0)&gt;ROUNDUP(W796/20,0),"Lần " &amp; ROUNDUP(W797/20,0),"")</f>
        <v/>
      </c>
      <c r="AI797" s="11">
        <f>IF(ROUNDUP(X797/20,0)&gt;ROUNDUP(X796/20,0),"Lần " &amp; ROUNDUP(X797/20,0),"")</f>
        <v/>
      </c>
      <c r="AJ797" s="11">
        <f>IF(ROUNDUP(Y797/20,0)&gt;ROUNDUP(Y796/20,0),"Lần " &amp; ROUNDUP(Y797/20,0),"")</f>
        <v/>
      </c>
      <c r="AK797" s="11">
        <f>IF(ROUNDUP(Z797/20,0)&gt;ROUNDUP(Z796/20,0),"Lần " &amp; ROUNDUP(Z797/20,0),"")</f>
        <v/>
      </c>
      <c r="AL797" s="6" t="n"/>
      <c r="AN797" t="inlineStr">
        <is>
          <t>Coc</t>
        </is>
      </c>
      <c r="AO797" t="n">
        <v>28</v>
      </c>
    </row>
    <row r="798" ht="19" customHeight="1">
      <c r="A798" s="6" t="n">
        <v>757</v>
      </c>
      <c r="B798" s="7" t="inlineStr">
        <is>
          <t>Cọc khoan nhồi C6 Mố M2 (D1.2m, L=36.0m)</t>
        </is>
      </c>
      <c r="C798" s="7" t="inlineStr">
        <is>
          <t>Cọc mố M2 L=36m (tr.66)</t>
        </is>
      </c>
      <c r="D798" s="18" t="inlineStr">
        <is>
          <t>P5</t>
        </is>
      </c>
      <c r="E798" s="19" t="n">
        <v>25</v>
      </c>
      <c r="F798" s="6" t="inlineStr">
        <is>
          <t>CB400-V</t>
        </is>
      </c>
      <c r="G798" s="7" t="inlineStr"/>
      <c r="H798" s="20" t="n">
        <v>11.7</v>
      </c>
      <c r="I798" s="21" t="n">
        <v>48</v>
      </c>
      <c r="J798" s="22" t="n">
        <v>3.853</v>
      </c>
      <c r="K798" s="9">
        <f>ROUND(H798*I798*J798, 2)</f>
        <v/>
      </c>
      <c r="L798" s="23">
        <f>ROUND(K798/1000, 3)</f>
        <v/>
      </c>
      <c r="M798" s="8">
        <f>IF(AO798="","",IF(INDEX(Theo_Doi_Tan_Suat_Be_Tong!$C:$C,AO798)="","",INDEX(Theo_Doi_Tan_Suat_Be_Tong!$C:$C,AO798)-VLOOKUP(AN798,$AQ$2:$AR$7,2,FALSE)))</f>
        <v/>
      </c>
      <c r="N798" s="6" t="n"/>
      <c r="O798" s="24">
        <f>IF(ROUNDUP(W798/20,0)&gt;ROUNDUP(W797/20,0),"TN Ø25 (Lần " &amp; ROUNDUP(W798/20,0) &amp; ")","")</f>
        <v/>
      </c>
      <c r="P798" s="20">
        <f>ROUND(P797+IF(AND(E798&lt;=10,F798&lt;&gt;"ASTM A416"),L798,0),3)</f>
        <v/>
      </c>
      <c r="Q798" s="20">
        <f>ROUND(Q797+IF(AND(E798=12,F798&lt;&gt;"ASTM A416"),L798,0),3)</f>
        <v/>
      </c>
      <c r="R798" s="20">
        <f>ROUND(R797+IF(AND(E798=14,F798&lt;&gt;"ASTM A416"),L798,0),3)</f>
        <v/>
      </c>
      <c r="S798" s="20">
        <f>ROUND(S797+IF(AND(E798=16,F798&lt;&gt;"ASTM A416"),L798,0),3)</f>
        <v/>
      </c>
      <c r="T798" s="20">
        <f>ROUND(T797+IF(AND(E798=18,F798&lt;&gt;"ASTM A416"),L798,0),3)</f>
        <v/>
      </c>
      <c r="U798" s="20">
        <f>ROUND(U797+IF(AND(E798=20,F798&lt;&gt;"ASTM A416"),L798,0),3)</f>
        <v/>
      </c>
      <c r="V798" s="20">
        <f>ROUND(V797+IF(AND(E798=22,F798&lt;&gt;"ASTM A416"),L798,0),3)</f>
        <v/>
      </c>
      <c r="W798" s="20">
        <f>ROUND(W797+IF(AND(E798=25,F798&lt;&gt;"ASTM A416"),L798,0),3)</f>
        <v/>
      </c>
      <c r="X798" s="20">
        <f>ROUND(X797+IF(AND(E798=28,F798&lt;&gt;"ASTM A416"),L798,0),3)</f>
        <v/>
      </c>
      <c r="Y798" s="20">
        <f>ROUND(Y797+IF(AND(E798=32,F798&lt;&gt;"ASTM A416"),L798,0),3)</f>
        <v/>
      </c>
      <c r="Z798" s="20">
        <f>ROUND(Z797+IF(F798="ASTM A416",L798,0),3)</f>
        <v/>
      </c>
      <c r="AA798" s="11">
        <f>IF(ROUNDUP(P798/20,0)&gt;ROUNDUP(P797/20,0),"Lần " &amp; ROUNDUP(P798/20,0),"")</f>
        <v/>
      </c>
      <c r="AB798" s="11">
        <f>IF(ROUNDUP(Q798/20,0)&gt;ROUNDUP(Q797/20,0),"Lần " &amp; ROUNDUP(Q798/20,0),"")</f>
        <v/>
      </c>
      <c r="AC798" s="11">
        <f>IF(ROUNDUP(R798/20,0)&gt;ROUNDUP(R797/20,0),"Lần " &amp; ROUNDUP(R798/20,0),"")</f>
        <v/>
      </c>
      <c r="AD798" s="11">
        <f>IF(ROUNDUP(S798/20,0)&gt;ROUNDUP(S797/20,0),"Lần " &amp; ROUNDUP(S798/20,0),"")</f>
        <v/>
      </c>
      <c r="AE798" s="11">
        <f>IF(ROUNDUP(T798/20,0)&gt;ROUNDUP(T797/20,0),"Lần " &amp; ROUNDUP(T798/20,0),"")</f>
        <v/>
      </c>
      <c r="AF798" s="11">
        <f>IF(ROUNDUP(U798/20,0)&gt;ROUNDUP(U797/20,0),"Lần " &amp; ROUNDUP(U798/20,0),"")</f>
        <v/>
      </c>
      <c r="AG798" s="11">
        <f>IF(ROUNDUP(V798/20,0)&gt;ROUNDUP(V797/20,0),"Lần " &amp; ROUNDUP(V798/20,0),"")</f>
        <v/>
      </c>
      <c r="AH798" s="11">
        <f>IF(ROUNDUP(W798/20,0)&gt;ROUNDUP(W797/20,0),"Lần " &amp; ROUNDUP(W798/20,0),"")</f>
        <v/>
      </c>
      <c r="AI798" s="11">
        <f>IF(ROUNDUP(X798/20,0)&gt;ROUNDUP(X797/20,0),"Lần " &amp; ROUNDUP(X798/20,0),"")</f>
        <v/>
      </c>
      <c r="AJ798" s="11">
        <f>IF(ROUNDUP(Y798/20,0)&gt;ROUNDUP(Y797/20,0),"Lần " &amp; ROUNDUP(Y798/20,0),"")</f>
        <v/>
      </c>
      <c r="AK798" s="11">
        <f>IF(ROUNDUP(Z798/20,0)&gt;ROUNDUP(Z797/20,0),"Lần " &amp; ROUNDUP(Z798/20,0),"")</f>
        <v/>
      </c>
      <c r="AL798" s="6" t="n"/>
      <c r="AN798" t="inlineStr">
        <is>
          <t>Coc</t>
        </is>
      </c>
      <c r="AO798" t="n">
        <v>28</v>
      </c>
    </row>
    <row r="799" ht="19" customHeight="1">
      <c r="A799" s="6" t="n">
        <v>758</v>
      </c>
      <c r="B799" s="7" t="inlineStr">
        <is>
          <t>Cọc khoan nhồi C6 Mố M2 (D1.2m, L=36.0m)</t>
        </is>
      </c>
      <c r="C799" s="7" t="inlineStr">
        <is>
          <t>Cọc mố M2 L=36m (tr.66)</t>
        </is>
      </c>
      <c r="D799" s="18" t="inlineStr">
        <is>
          <t>P6</t>
        </is>
      </c>
      <c r="E799" s="19" t="n">
        <v>25</v>
      </c>
      <c r="F799" s="6" t="inlineStr">
        <is>
          <t>CB400-V</t>
        </is>
      </c>
      <c r="G799" s="7" t="inlineStr"/>
      <c r="H799" s="20" t="n">
        <v>5.153</v>
      </c>
      <c r="I799" s="21" t="n">
        <v>12</v>
      </c>
      <c r="J799" s="22" t="n">
        <v>3.853</v>
      </c>
      <c r="K799" s="9">
        <f>ROUND(H799*I799*J799, 2)</f>
        <v/>
      </c>
      <c r="L799" s="23">
        <f>ROUND(K799/1000, 3)</f>
        <v/>
      </c>
      <c r="M799" s="8">
        <f>IF(AO799="","",IF(INDEX(Theo_Doi_Tan_Suat_Be_Tong!$C:$C,AO799)="","",INDEX(Theo_Doi_Tan_Suat_Be_Tong!$C:$C,AO799)-VLOOKUP(AN799,$AQ$2:$AR$7,2,FALSE)))</f>
        <v/>
      </c>
      <c r="N799" s="6" t="n"/>
      <c r="O799" s="24">
        <f>IF(ROUNDUP(W799/20,0)&gt;ROUNDUP(W798/20,0),"TN Ø25 (Lần " &amp; ROUNDUP(W799/20,0) &amp; ")","")</f>
        <v/>
      </c>
      <c r="P799" s="20">
        <f>ROUND(P798+IF(AND(E799&lt;=10,F799&lt;&gt;"ASTM A416"),L799,0),3)</f>
        <v/>
      </c>
      <c r="Q799" s="20">
        <f>ROUND(Q798+IF(AND(E799=12,F799&lt;&gt;"ASTM A416"),L799,0),3)</f>
        <v/>
      </c>
      <c r="R799" s="20">
        <f>ROUND(R798+IF(AND(E799=14,F799&lt;&gt;"ASTM A416"),L799,0),3)</f>
        <v/>
      </c>
      <c r="S799" s="20">
        <f>ROUND(S798+IF(AND(E799=16,F799&lt;&gt;"ASTM A416"),L799,0),3)</f>
        <v/>
      </c>
      <c r="T799" s="20">
        <f>ROUND(T798+IF(AND(E799=18,F799&lt;&gt;"ASTM A416"),L799,0),3)</f>
        <v/>
      </c>
      <c r="U799" s="20">
        <f>ROUND(U798+IF(AND(E799=20,F799&lt;&gt;"ASTM A416"),L799,0),3)</f>
        <v/>
      </c>
      <c r="V799" s="20">
        <f>ROUND(V798+IF(AND(E799=22,F799&lt;&gt;"ASTM A416"),L799,0),3)</f>
        <v/>
      </c>
      <c r="W799" s="20">
        <f>ROUND(W798+IF(AND(E799=25,F799&lt;&gt;"ASTM A416"),L799,0),3)</f>
        <v/>
      </c>
      <c r="X799" s="20">
        <f>ROUND(X798+IF(AND(E799=28,F799&lt;&gt;"ASTM A416"),L799,0),3)</f>
        <v/>
      </c>
      <c r="Y799" s="20">
        <f>ROUND(Y798+IF(AND(E799=32,F799&lt;&gt;"ASTM A416"),L799,0),3)</f>
        <v/>
      </c>
      <c r="Z799" s="20">
        <f>ROUND(Z798+IF(F799="ASTM A416",L799,0),3)</f>
        <v/>
      </c>
      <c r="AA799" s="11">
        <f>IF(ROUNDUP(P799/20,0)&gt;ROUNDUP(P798/20,0),"Lần " &amp; ROUNDUP(P799/20,0),"")</f>
        <v/>
      </c>
      <c r="AB799" s="11">
        <f>IF(ROUNDUP(Q799/20,0)&gt;ROUNDUP(Q798/20,0),"Lần " &amp; ROUNDUP(Q799/20,0),"")</f>
        <v/>
      </c>
      <c r="AC799" s="11">
        <f>IF(ROUNDUP(R799/20,0)&gt;ROUNDUP(R798/20,0),"Lần " &amp; ROUNDUP(R799/20,0),"")</f>
        <v/>
      </c>
      <c r="AD799" s="11">
        <f>IF(ROUNDUP(S799/20,0)&gt;ROUNDUP(S798/20,0),"Lần " &amp; ROUNDUP(S799/20,0),"")</f>
        <v/>
      </c>
      <c r="AE799" s="11">
        <f>IF(ROUNDUP(T799/20,0)&gt;ROUNDUP(T798/20,0),"Lần " &amp; ROUNDUP(T799/20,0),"")</f>
        <v/>
      </c>
      <c r="AF799" s="11">
        <f>IF(ROUNDUP(U799/20,0)&gt;ROUNDUP(U798/20,0),"Lần " &amp; ROUNDUP(U799/20,0),"")</f>
        <v/>
      </c>
      <c r="AG799" s="11">
        <f>IF(ROUNDUP(V799/20,0)&gt;ROUNDUP(V798/20,0),"Lần " &amp; ROUNDUP(V799/20,0),"")</f>
        <v/>
      </c>
      <c r="AH799" s="11">
        <f>IF(ROUNDUP(W799/20,0)&gt;ROUNDUP(W798/20,0),"Lần " &amp; ROUNDUP(W799/20,0),"")</f>
        <v/>
      </c>
      <c r="AI799" s="11">
        <f>IF(ROUNDUP(X799/20,0)&gt;ROUNDUP(X798/20,0),"Lần " &amp; ROUNDUP(X799/20,0),"")</f>
        <v/>
      </c>
      <c r="AJ799" s="11">
        <f>IF(ROUNDUP(Y799/20,0)&gt;ROUNDUP(Y798/20,0),"Lần " &amp; ROUNDUP(Y799/20,0),"")</f>
        <v/>
      </c>
      <c r="AK799" s="11">
        <f>IF(ROUNDUP(Z799/20,0)&gt;ROUNDUP(Z798/20,0),"Lần " &amp; ROUNDUP(Z799/20,0),"")</f>
        <v/>
      </c>
      <c r="AL799" s="6" t="n"/>
      <c r="AN799" t="inlineStr">
        <is>
          <t>Coc</t>
        </is>
      </c>
      <c r="AO799" t="n">
        <v>28</v>
      </c>
    </row>
    <row r="800" ht="19" customHeight="1">
      <c r="A800" s="6" t="n">
        <v>759</v>
      </c>
      <c r="B800" s="7" t="inlineStr">
        <is>
          <t>Cọc khoan nhồi C6 Mố M2 (D1.2m, L=36.0m)</t>
        </is>
      </c>
      <c r="C800" s="7" t="inlineStr">
        <is>
          <t>Cọc mố M2 L=36m (tr.66)</t>
        </is>
      </c>
      <c r="D800" s="18" t="inlineStr">
        <is>
          <t>P7</t>
        </is>
      </c>
      <c r="E800" s="19" t="n">
        <v>25</v>
      </c>
      <c r="F800" s="6" t="inlineStr">
        <is>
          <t>CB400-V</t>
        </is>
      </c>
      <c r="G800" s="7" t="inlineStr"/>
      <c r="H800" s="20" t="n">
        <v>6.153</v>
      </c>
      <c r="I800" s="21" t="n">
        <v>12</v>
      </c>
      <c r="J800" s="22" t="n">
        <v>3.853</v>
      </c>
      <c r="K800" s="9">
        <f>ROUND(H800*I800*J800, 2)</f>
        <v/>
      </c>
      <c r="L800" s="23">
        <f>ROUND(K800/1000, 3)</f>
        <v/>
      </c>
      <c r="M800" s="8">
        <f>IF(AO800="","",IF(INDEX(Theo_Doi_Tan_Suat_Be_Tong!$C:$C,AO800)="","",INDEX(Theo_Doi_Tan_Suat_Be_Tong!$C:$C,AO800)-VLOOKUP(AN800,$AQ$2:$AR$7,2,FALSE)))</f>
        <v/>
      </c>
      <c r="N800" s="6" t="n"/>
      <c r="O800" s="24">
        <f>IF(ROUNDUP(W800/20,0)&gt;ROUNDUP(W799/20,0),"TN Ø25 (Lần " &amp; ROUNDUP(W800/20,0) &amp; ")","")</f>
        <v/>
      </c>
      <c r="P800" s="20">
        <f>ROUND(P799+IF(AND(E800&lt;=10,F800&lt;&gt;"ASTM A416"),L800,0),3)</f>
        <v/>
      </c>
      <c r="Q800" s="20">
        <f>ROUND(Q799+IF(AND(E800=12,F800&lt;&gt;"ASTM A416"),L800,0),3)</f>
        <v/>
      </c>
      <c r="R800" s="20">
        <f>ROUND(R799+IF(AND(E800=14,F800&lt;&gt;"ASTM A416"),L800,0),3)</f>
        <v/>
      </c>
      <c r="S800" s="20">
        <f>ROUND(S799+IF(AND(E800=16,F800&lt;&gt;"ASTM A416"),L800,0),3)</f>
        <v/>
      </c>
      <c r="T800" s="20">
        <f>ROUND(T799+IF(AND(E800=18,F800&lt;&gt;"ASTM A416"),L800,0),3)</f>
        <v/>
      </c>
      <c r="U800" s="20">
        <f>ROUND(U799+IF(AND(E800=20,F800&lt;&gt;"ASTM A416"),L800,0),3)</f>
        <v/>
      </c>
      <c r="V800" s="20">
        <f>ROUND(V799+IF(AND(E800=22,F800&lt;&gt;"ASTM A416"),L800,0),3)</f>
        <v/>
      </c>
      <c r="W800" s="20">
        <f>ROUND(W799+IF(AND(E800=25,F800&lt;&gt;"ASTM A416"),L800,0),3)</f>
        <v/>
      </c>
      <c r="X800" s="20">
        <f>ROUND(X799+IF(AND(E800=28,F800&lt;&gt;"ASTM A416"),L800,0),3)</f>
        <v/>
      </c>
      <c r="Y800" s="20">
        <f>ROUND(Y799+IF(AND(E800=32,F800&lt;&gt;"ASTM A416"),L800,0),3)</f>
        <v/>
      </c>
      <c r="Z800" s="20">
        <f>ROUND(Z799+IF(F800="ASTM A416",L800,0),3)</f>
        <v/>
      </c>
      <c r="AA800" s="11">
        <f>IF(ROUNDUP(P800/20,0)&gt;ROUNDUP(P799/20,0),"Lần " &amp; ROUNDUP(P800/20,0),"")</f>
        <v/>
      </c>
      <c r="AB800" s="11">
        <f>IF(ROUNDUP(Q800/20,0)&gt;ROUNDUP(Q799/20,0),"Lần " &amp; ROUNDUP(Q800/20,0),"")</f>
        <v/>
      </c>
      <c r="AC800" s="11">
        <f>IF(ROUNDUP(R800/20,0)&gt;ROUNDUP(R799/20,0),"Lần " &amp; ROUNDUP(R800/20,0),"")</f>
        <v/>
      </c>
      <c r="AD800" s="11">
        <f>IF(ROUNDUP(S800/20,0)&gt;ROUNDUP(S799/20,0),"Lần " &amp; ROUNDUP(S800/20,0),"")</f>
        <v/>
      </c>
      <c r="AE800" s="11">
        <f>IF(ROUNDUP(T800/20,0)&gt;ROUNDUP(T799/20,0),"Lần " &amp; ROUNDUP(T800/20,0),"")</f>
        <v/>
      </c>
      <c r="AF800" s="11">
        <f>IF(ROUNDUP(U800/20,0)&gt;ROUNDUP(U799/20,0),"Lần " &amp; ROUNDUP(U800/20,0),"")</f>
        <v/>
      </c>
      <c r="AG800" s="11">
        <f>IF(ROUNDUP(V800/20,0)&gt;ROUNDUP(V799/20,0),"Lần " &amp; ROUNDUP(V800/20,0),"")</f>
        <v/>
      </c>
      <c r="AH800" s="11">
        <f>IF(ROUNDUP(W800/20,0)&gt;ROUNDUP(W799/20,0),"Lần " &amp; ROUNDUP(W800/20,0),"")</f>
        <v/>
      </c>
      <c r="AI800" s="11">
        <f>IF(ROUNDUP(X800/20,0)&gt;ROUNDUP(X799/20,0),"Lần " &amp; ROUNDUP(X800/20,0),"")</f>
        <v/>
      </c>
      <c r="AJ800" s="11">
        <f>IF(ROUNDUP(Y800/20,0)&gt;ROUNDUP(Y799/20,0),"Lần " &amp; ROUNDUP(Y800/20,0),"")</f>
        <v/>
      </c>
      <c r="AK800" s="11">
        <f>IF(ROUNDUP(Z800/20,0)&gt;ROUNDUP(Z799/20,0),"Lần " &amp; ROUNDUP(Z800/20,0),"")</f>
        <v/>
      </c>
      <c r="AL800" s="6" t="n"/>
      <c r="AN800" t="inlineStr">
        <is>
          <t>Coc</t>
        </is>
      </c>
      <c r="AO800" t="n">
        <v>28</v>
      </c>
    </row>
    <row r="801" ht="19" customHeight="1">
      <c r="A801" s="6" t="n">
        <v>760</v>
      </c>
      <c r="B801" s="7" t="inlineStr">
        <is>
          <t>Cọc khoan nhồi C6 Mố M2 (D1.2m, L=36.0m)</t>
        </is>
      </c>
      <c r="C801" s="7" t="inlineStr">
        <is>
          <t>Cọc mố M2 L=36m (tr.66)</t>
        </is>
      </c>
      <c r="D801" s="18" t="inlineStr">
        <is>
          <t>P8</t>
        </is>
      </c>
      <c r="E801" s="19" t="n">
        <v>12</v>
      </c>
      <c r="F801" s="6" t="inlineStr">
        <is>
          <t>CB400-V</t>
        </is>
      </c>
      <c r="G801" s="7" t="inlineStr"/>
      <c r="H801" s="20" t="n">
        <v>0.647</v>
      </c>
      <c r="I801" s="21" t="n">
        <v>15</v>
      </c>
      <c r="J801" s="22" t="n">
        <v>0.888</v>
      </c>
      <c r="K801" s="9">
        <f>ROUND(H801*I801*J801, 2)</f>
        <v/>
      </c>
      <c r="L801" s="23">
        <f>ROUND(K801/1000, 3)</f>
        <v/>
      </c>
      <c r="M801" s="8">
        <f>IF(AO801="","",IF(INDEX(Theo_Doi_Tan_Suat_Be_Tong!$C:$C,AO801)="","",INDEX(Theo_Doi_Tan_Suat_Be_Tong!$C:$C,AO801)-VLOOKUP(AN801,$AQ$2:$AR$7,2,FALSE)))</f>
        <v/>
      </c>
      <c r="N801" s="6" t="n"/>
      <c r="O801" s="24">
        <f>IF(ROUNDUP(Q801/20,0)&gt;ROUNDUP(Q800/20,0),"TN Ø12 (Lần " &amp; ROUNDUP(Q801/20,0) &amp; ")","")</f>
        <v/>
      </c>
      <c r="P801" s="20">
        <f>ROUND(P800+IF(AND(E801&lt;=10,F801&lt;&gt;"ASTM A416"),L801,0),3)</f>
        <v/>
      </c>
      <c r="Q801" s="20">
        <f>ROUND(Q800+IF(AND(E801=12,F801&lt;&gt;"ASTM A416"),L801,0),3)</f>
        <v/>
      </c>
      <c r="R801" s="20">
        <f>ROUND(R800+IF(AND(E801=14,F801&lt;&gt;"ASTM A416"),L801,0),3)</f>
        <v/>
      </c>
      <c r="S801" s="20">
        <f>ROUND(S800+IF(AND(E801=16,F801&lt;&gt;"ASTM A416"),L801,0),3)</f>
        <v/>
      </c>
      <c r="T801" s="20">
        <f>ROUND(T800+IF(AND(E801=18,F801&lt;&gt;"ASTM A416"),L801,0),3)</f>
        <v/>
      </c>
      <c r="U801" s="20">
        <f>ROUND(U800+IF(AND(E801=20,F801&lt;&gt;"ASTM A416"),L801,0),3)</f>
        <v/>
      </c>
      <c r="V801" s="20">
        <f>ROUND(V800+IF(AND(E801=22,F801&lt;&gt;"ASTM A416"),L801,0),3)</f>
        <v/>
      </c>
      <c r="W801" s="20">
        <f>ROUND(W800+IF(AND(E801=25,F801&lt;&gt;"ASTM A416"),L801,0),3)</f>
        <v/>
      </c>
      <c r="X801" s="20">
        <f>ROUND(X800+IF(AND(E801=28,F801&lt;&gt;"ASTM A416"),L801,0),3)</f>
        <v/>
      </c>
      <c r="Y801" s="20">
        <f>ROUND(Y800+IF(AND(E801=32,F801&lt;&gt;"ASTM A416"),L801,0),3)</f>
        <v/>
      </c>
      <c r="Z801" s="20">
        <f>ROUND(Z800+IF(F801="ASTM A416",L801,0),3)</f>
        <v/>
      </c>
      <c r="AA801" s="11">
        <f>IF(ROUNDUP(P801/20,0)&gt;ROUNDUP(P800/20,0),"Lần " &amp; ROUNDUP(P801/20,0),"")</f>
        <v/>
      </c>
      <c r="AB801" s="11">
        <f>IF(ROUNDUP(Q801/20,0)&gt;ROUNDUP(Q800/20,0),"Lần " &amp; ROUNDUP(Q801/20,0),"")</f>
        <v/>
      </c>
      <c r="AC801" s="11">
        <f>IF(ROUNDUP(R801/20,0)&gt;ROUNDUP(R800/20,0),"Lần " &amp; ROUNDUP(R801/20,0),"")</f>
        <v/>
      </c>
      <c r="AD801" s="11">
        <f>IF(ROUNDUP(S801/20,0)&gt;ROUNDUP(S800/20,0),"Lần " &amp; ROUNDUP(S801/20,0),"")</f>
        <v/>
      </c>
      <c r="AE801" s="11">
        <f>IF(ROUNDUP(T801/20,0)&gt;ROUNDUP(T800/20,0),"Lần " &amp; ROUNDUP(T801/20,0),"")</f>
        <v/>
      </c>
      <c r="AF801" s="11">
        <f>IF(ROUNDUP(U801/20,0)&gt;ROUNDUP(U800/20,0),"Lần " &amp; ROUNDUP(U801/20,0),"")</f>
        <v/>
      </c>
      <c r="AG801" s="11">
        <f>IF(ROUNDUP(V801/20,0)&gt;ROUNDUP(V800/20,0),"Lần " &amp; ROUNDUP(V801/20,0),"")</f>
        <v/>
      </c>
      <c r="AH801" s="11">
        <f>IF(ROUNDUP(W801/20,0)&gt;ROUNDUP(W800/20,0),"Lần " &amp; ROUNDUP(W801/20,0),"")</f>
        <v/>
      </c>
      <c r="AI801" s="11">
        <f>IF(ROUNDUP(X801/20,0)&gt;ROUNDUP(X800/20,0),"Lần " &amp; ROUNDUP(X801/20,0),"")</f>
        <v/>
      </c>
      <c r="AJ801" s="11">
        <f>IF(ROUNDUP(Y801/20,0)&gt;ROUNDUP(Y800/20,0),"Lần " &amp; ROUNDUP(Y801/20,0),"")</f>
        <v/>
      </c>
      <c r="AK801" s="11">
        <f>IF(ROUNDUP(Z801/20,0)&gt;ROUNDUP(Z800/20,0),"Lần " &amp; ROUNDUP(Z801/20,0),"")</f>
        <v/>
      </c>
      <c r="AL801" s="6" t="n"/>
      <c r="AN801" t="inlineStr">
        <is>
          <t>Coc</t>
        </is>
      </c>
      <c r="AO801" t="n">
        <v>28</v>
      </c>
    </row>
    <row r="802" ht="19" customHeight="1">
      <c r="A802" s="6" t="n">
        <v>761</v>
      </c>
      <c r="B802" s="7" t="inlineStr">
        <is>
          <t>Cọc khoan nhồi C6 Mố M2 (D1.2m, L=36.0m)</t>
        </is>
      </c>
      <c r="C802" s="7" t="inlineStr">
        <is>
          <t>Cọc mố M2 L=36m (tr.66)</t>
        </is>
      </c>
      <c r="D802" s="18" t="inlineStr">
        <is>
          <t>P9</t>
        </is>
      </c>
      <c r="E802" s="19" t="n">
        <v>12</v>
      </c>
      <c r="F802" s="6" t="inlineStr">
        <is>
          <t>CB400-V</t>
        </is>
      </c>
      <c r="G802" s="7" t="inlineStr"/>
      <c r="H802" s="20" t="n">
        <v>0.379</v>
      </c>
      <c r="I802" s="21" t="n">
        <v>45</v>
      </c>
      <c r="J802" s="22" t="n">
        <v>0.888</v>
      </c>
      <c r="K802" s="9">
        <f>ROUND(H802*I802*J802, 2)</f>
        <v/>
      </c>
      <c r="L802" s="23">
        <f>ROUND(K802/1000, 3)</f>
        <v/>
      </c>
      <c r="M802" s="8">
        <f>IF(AO802="","",IF(INDEX(Theo_Doi_Tan_Suat_Be_Tong!$C:$C,AO802)="","",INDEX(Theo_Doi_Tan_Suat_Be_Tong!$C:$C,AO802)-VLOOKUP(AN802,$AQ$2:$AR$7,2,FALSE)))</f>
        <v/>
      </c>
      <c r="N802" s="6" t="n"/>
      <c r="O802" s="24">
        <f>IF(ROUNDUP(Q802/20,0)&gt;ROUNDUP(Q801/20,0),"TN Ø12 (Lần " &amp; ROUNDUP(Q802/20,0) &amp; ")","")</f>
        <v/>
      </c>
      <c r="P802" s="20">
        <f>ROUND(P801+IF(AND(E802&lt;=10,F802&lt;&gt;"ASTM A416"),L802,0),3)</f>
        <v/>
      </c>
      <c r="Q802" s="20">
        <f>ROUND(Q801+IF(AND(E802=12,F802&lt;&gt;"ASTM A416"),L802,0),3)</f>
        <v/>
      </c>
      <c r="R802" s="20">
        <f>ROUND(R801+IF(AND(E802=14,F802&lt;&gt;"ASTM A416"),L802,0),3)</f>
        <v/>
      </c>
      <c r="S802" s="20">
        <f>ROUND(S801+IF(AND(E802=16,F802&lt;&gt;"ASTM A416"),L802,0),3)</f>
        <v/>
      </c>
      <c r="T802" s="20">
        <f>ROUND(T801+IF(AND(E802=18,F802&lt;&gt;"ASTM A416"),L802,0),3)</f>
        <v/>
      </c>
      <c r="U802" s="20">
        <f>ROUND(U801+IF(AND(E802=20,F802&lt;&gt;"ASTM A416"),L802,0),3)</f>
        <v/>
      </c>
      <c r="V802" s="20">
        <f>ROUND(V801+IF(AND(E802=22,F802&lt;&gt;"ASTM A416"),L802,0),3)</f>
        <v/>
      </c>
      <c r="W802" s="20">
        <f>ROUND(W801+IF(AND(E802=25,F802&lt;&gt;"ASTM A416"),L802,0),3)</f>
        <v/>
      </c>
      <c r="X802" s="20">
        <f>ROUND(X801+IF(AND(E802=28,F802&lt;&gt;"ASTM A416"),L802,0),3)</f>
        <v/>
      </c>
      <c r="Y802" s="20">
        <f>ROUND(Y801+IF(AND(E802=32,F802&lt;&gt;"ASTM A416"),L802,0),3)</f>
        <v/>
      </c>
      <c r="Z802" s="20">
        <f>ROUND(Z801+IF(F802="ASTM A416",L802,0),3)</f>
        <v/>
      </c>
      <c r="AA802" s="11">
        <f>IF(ROUNDUP(P802/20,0)&gt;ROUNDUP(P801/20,0),"Lần " &amp; ROUNDUP(P802/20,0),"")</f>
        <v/>
      </c>
      <c r="AB802" s="11">
        <f>IF(ROUNDUP(Q802/20,0)&gt;ROUNDUP(Q801/20,0),"Lần " &amp; ROUNDUP(Q802/20,0),"")</f>
        <v/>
      </c>
      <c r="AC802" s="11">
        <f>IF(ROUNDUP(R802/20,0)&gt;ROUNDUP(R801/20,0),"Lần " &amp; ROUNDUP(R802/20,0),"")</f>
        <v/>
      </c>
      <c r="AD802" s="11">
        <f>IF(ROUNDUP(S802/20,0)&gt;ROUNDUP(S801/20,0),"Lần " &amp; ROUNDUP(S802/20,0),"")</f>
        <v/>
      </c>
      <c r="AE802" s="11">
        <f>IF(ROUNDUP(T802/20,0)&gt;ROUNDUP(T801/20,0),"Lần " &amp; ROUNDUP(T802/20,0),"")</f>
        <v/>
      </c>
      <c r="AF802" s="11">
        <f>IF(ROUNDUP(U802/20,0)&gt;ROUNDUP(U801/20,0),"Lần " &amp; ROUNDUP(U802/20,0),"")</f>
        <v/>
      </c>
      <c r="AG802" s="11">
        <f>IF(ROUNDUP(V802/20,0)&gt;ROUNDUP(V801/20,0),"Lần " &amp; ROUNDUP(V802/20,0),"")</f>
        <v/>
      </c>
      <c r="AH802" s="11">
        <f>IF(ROUNDUP(W802/20,0)&gt;ROUNDUP(W801/20,0),"Lần " &amp; ROUNDUP(W802/20,0),"")</f>
        <v/>
      </c>
      <c r="AI802" s="11">
        <f>IF(ROUNDUP(X802/20,0)&gt;ROUNDUP(X801/20,0),"Lần " &amp; ROUNDUP(X802/20,0),"")</f>
        <v/>
      </c>
      <c r="AJ802" s="11">
        <f>IF(ROUNDUP(Y802/20,0)&gt;ROUNDUP(Y801/20,0),"Lần " &amp; ROUNDUP(Y802/20,0),"")</f>
        <v/>
      </c>
      <c r="AK802" s="11">
        <f>IF(ROUNDUP(Z802/20,0)&gt;ROUNDUP(Z801/20,0),"Lần " &amp; ROUNDUP(Z802/20,0),"")</f>
        <v/>
      </c>
      <c r="AL802" s="6" t="n"/>
      <c r="AN802" t="inlineStr">
        <is>
          <t>Coc</t>
        </is>
      </c>
      <c r="AO802" t="n">
        <v>28</v>
      </c>
    </row>
    <row r="803" ht="19" customHeight="1">
      <c r="A803" s="6" t="n">
        <v>762</v>
      </c>
      <c r="B803" s="7" t="inlineStr">
        <is>
          <t>Cọc khoan nhồi C6 Mố M2 (D1.2m, L=36.0m)</t>
        </is>
      </c>
      <c r="C803" s="7" t="inlineStr">
        <is>
          <t>Cọc mố M2 L=36m (tr.66)</t>
        </is>
      </c>
      <c r="D803" s="18" t="inlineStr">
        <is>
          <t>P10</t>
        </is>
      </c>
      <c r="E803" s="19" t="n">
        <v>20</v>
      </c>
      <c r="F803" s="6" t="inlineStr">
        <is>
          <t>CB400-V</t>
        </is>
      </c>
      <c r="G803" s="7" t="inlineStr"/>
      <c r="H803" s="20" t="n">
        <v>2.057</v>
      </c>
      <c r="I803" s="21" t="n">
        <v>1</v>
      </c>
      <c r="J803" s="22" t="n">
        <v>2.466</v>
      </c>
      <c r="K803" s="9">
        <f>ROUND(H803*I803*J803, 2)</f>
        <v/>
      </c>
      <c r="L803" s="23">
        <f>ROUND(K803/1000, 3)</f>
        <v/>
      </c>
      <c r="M803" s="8">
        <f>IF(AO803="","",IF(INDEX(Theo_Doi_Tan_Suat_Be_Tong!$C:$C,AO803)="","",INDEX(Theo_Doi_Tan_Suat_Be_Tong!$C:$C,AO803)-VLOOKUP(AN803,$AQ$2:$AR$7,2,FALSE)))</f>
        <v/>
      </c>
      <c r="N803" s="6" t="n"/>
      <c r="O803" s="24">
        <f>IF(ROUNDUP(U803/20,0)&gt;ROUNDUP(U802/20,0),"TN Ø20 (Lần " &amp; ROUNDUP(U803/20,0) &amp; ")","")</f>
        <v/>
      </c>
      <c r="P803" s="20">
        <f>ROUND(P802+IF(AND(E803&lt;=10,F803&lt;&gt;"ASTM A416"),L803,0),3)</f>
        <v/>
      </c>
      <c r="Q803" s="20">
        <f>ROUND(Q802+IF(AND(E803=12,F803&lt;&gt;"ASTM A416"),L803,0),3)</f>
        <v/>
      </c>
      <c r="R803" s="20">
        <f>ROUND(R802+IF(AND(E803=14,F803&lt;&gt;"ASTM A416"),L803,0),3)</f>
        <v/>
      </c>
      <c r="S803" s="20">
        <f>ROUND(S802+IF(AND(E803=16,F803&lt;&gt;"ASTM A416"),L803,0),3)</f>
        <v/>
      </c>
      <c r="T803" s="20">
        <f>ROUND(T802+IF(AND(E803=18,F803&lt;&gt;"ASTM A416"),L803,0),3)</f>
        <v/>
      </c>
      <c r="U803" s="20">
        <f>ROUND(U802+IF(AND(E803=20,F803&lt;&gt;"ASTM A416"),L803,0),3)</f>
        <v/>
      </c>
      <c r="V803" s="20">
        <f>ROUND(V802+IF(AND(E803=22,F803&lt;&gt;"ASTM A416"),L803,0),3)</f>
        <v/>
      </c>
      <c r="W803" s="20">
        <f>ROUND(W802+IF(AND(E803=25,F803&lt;&gt;"ASTM A416"),L803,0),3)</f>
        <v/>
      </c>
      <c r="X803" s="20">
        <f>ROUND(X802+IF(AND(E803=28,F803&lt;&gt;"ASTM A416"),L803,0),3)</f>
        <v/>
      </c>
      <c r="Y803" s="20">
        <f>ROUND(Y802+IF(AND(E803=32,F803&lt;&gt;"ASTM A416"),L803,0),3)</f>
        <v/>
      </c>
      <c r="Z803" s="20">
        <f>ROUND(Z802+IF(F803="ASTM A416",L803,0),3)</f>
        <v/>
      </c>
      <c r="AA803" s="11">
        <f>IF(ROUNDUP(P803/20,0)&gt;ROUNDUP(P802/20,0),"Lần " &amp; ROUNDUP(P803/20,0),"")</f>
        <v/>
      </c>
      <c r="AB803" s="11">
        <f>IF(ROUNDUP(Q803/20,0)&gt;ROUNDUP(Q802/20,0),"Lần " &amp; ROUNDUP(Q803/20,0),"")</f>
        <v/>
      </c>
      <c r="AC803" s="11">
        <f>IF(ROUNDUP(R803/20,0)&gt;ROUNDUP(R802/20,0),"Lần " &amp; ROUNDUP(R803/20,0),"")</f>
        <v/>
      </c>
      <c r="AD803" s="11">
        <f>IF(ROUNDUP(S803/20,0)&gt;ROUNDUP(S802/20,0),"Lần " &amp; ROUNDUP(S803/20,0),"")</f>
        <v/>
      </c>
      <c r="AE803" s="11">
        <f>IF(ROUNDUP(T803/20,0)&gt;ROUNDUP(T802/20,0),"Lần " &amp; ROUNDUP(T803/20,0),"")</f>
        <v/>
      </c>
      <c r="AF803" s="11">
        <f>IF(ROUNDUP(U803/20,0)&gt;ROUNDUP(U802/20,0),"Lần " &amp; ROUNDUP(U803/20,0),"")</f>
        <v/>
      </c>
      <c r="AG803" s="11">
        <f>IF(ROUNDUP(V803/20,0)&gt;ROUNDUP(V802/20,0),"Lần " &amp; ROUNDUP(V803/20,0),"")</f>
        <v/>
      </c>
      <c r="AH803" s="11">
        <f>IF(ROUNDUP(W803/20,0)&gt;ROUNDUP(W802/20,0),"Lần " &amp; ROUNDUP(W803/20,0),"")</f>
        <v/>
      </c>
      <c r="AI803" s="11">
        <f>IF(ROUNDUP(X803/20,0)&gt;ROUNDUP(X802/20,0),"Lần " &amp; ROUNDUP(X803/20,0),"")</f>
        <v/>
      </c>
      <c r="AJ803" s="11">
        <f>IF(ROUNDUP(Y803/20,0)&gt;ROUNDUP(Y802/20,0),"Lần " &amp; ROUNDUP(Y803/20,0),"")</f>
        <v/>
      </c>
      <c r="AK803" s="11">
        <f>IF(ROUNDUP(Z803/20,0)&gt;ROUNDUP(Z802/20,0),"Lần " &amp; ROUNDUP(Z803/20,0),"")</f>
        <v/>
      </c>
      <c r="AL803" s="6" t="n"/>
      <c r="AN803" t="inlineStr">
        <is>
          <t>Coc</t>
        </is>
      </c>
      <c r="AO803" t="n">
        <v>28</v>
      </c>
    </row>
    <row r="804" ht="19" customHeight="1">
      <c r="A804" s="6" t="n">
        <v>763</v>
      </c>
      <c r="B804" s="7" t="inlineStr">
        <is>
          <t>Cọc khoan nhồi C6 Mố M2 (D1.2m, L=36.0m)</t>
        </is>
      </c>
      <c r="C804" s="7" t="inlineStr">
        <is>
          <t>Cọc mố M2 L=36m (tr.66)</t>
        </is>
      </c>
      <c r="D804" s="18" t="inlineStr">
        <is>
          <t>P12</t>
        </is>
      </c>
      <c r="E804" s="19" t="n">
        <v>20</v>
      </c>
      <c r="F804" s="6" t="inlineStr">
        <is>
          <t>CB400-V</t>
        </is>
      </c>
      <c r="G804" s="7" t="inlineStr"/>
      <c r="H804" s="20" t="n">
        <v>0.583</v>
      </c>
      <c r="I804" s="21" t="n">
        <v>60</v>
      </c>
      <c r="J804" s="22" t="n">
        <v>2.466</v>
      </c>
      <c r="K804" s="9">
        <f>ROUND(H804*I804*J804, 2)</f>
        <v/>
      </c>
      <c r="L804" s="23">
        <f>ROUND(K804/1000, 3)</f>
        <v/>
      </c>
      <c r="M804" s="8">
        <f>IF(AO804="","",IF(INDEX(Theo_Doi_Tan_Suat_Be_Tong!$C:$C,AO804)="","",INDEX(Theo_Doi_Tan_Suat_Be_Tong!$C:$C,AO804)-VLOOKUP(AN804,$AQ$2:$AR$7,2,FALSE)))</f>
        <v/>
      </c>
      <c r="N804" s="6" t="n"/>
      <c r="O804" s="24">
        <f>IF(ROUNDUP(U804/20,0)&gt;ROUNDUP(U803/20,0),"TN Ø20 (Lần " &amp; ROUNDUP(U804/20,0) &amp; ")","")</f>
        <v/>
      </c>
      <c r="P804" s="20">
        <f>ROUND(P803+IF(AND(E804&lt;=10,F804&lt;&gt;"ASTM A416"),L804,0),3)</f>
        <v/>
      </c>
      <c r="Q804" s="20">
        <f>ROUND(Q803+IF(AND(E804=12,F804&lt;&gt;"ASTM A416"),L804,0),3)</f>
        <v/>
      </c>
      <c r="R804" s="20">
        <f>ROUND(R803+IF(AND(E804=14,F804&lt;&gt;"ASTM A416"),L804,0),3)</f>
        <v/>
      </c>
      <c r="S804" s="20">
        <f>ROUND(S803+IF(AND(E804=16,F804&lt;&gt;"ASTM A416"),L804,0),3)</f>
        <v/>
      </c>
      <c r="T804" s="20">
        <f>ROUND(T803+IF(AND(E804=18,F804&lt;&gt;"ASTM A416"),L804,0),3)</f>
        <v/>
      </c>
      <c r="U804" s="20">
        <f>ROUND(U803+IF(AND(E804=20,F804&lt;&gt;"ASTM A416"),L804,0),3)</f>
        <v/>
      </c>
      <c r="V804" s="20">
        <f>ROUND(V803+IF(AND(E804=22,F804&lt;&gt;"ASTM A416"),L804,0),3)</f>
        <v/>
      </c>
      <c r="W804" s="20">
        <f>ROUND(W803+IF(AND(E804=25,F804&lt;&gt;"ASTM A416"),L804,0),3)</f>
        <v/>
      </c>
      <c r="X804" s="20">
        <f>ROUND(X803+IF(AND(E804=28,F804&lt;&gt;"ASTM A416"),L804,0),3)</f>
        <v/>
      </c>
      <c r="Y804" s="20">
        <f>ROUND(Y803+IF(AND(E804=32,F804&lt;&gt;"ASTM A416"),L804,0),3)</f>
        <v/>
      </c>
      <c r="Z804" s="20">
        <f>ROUND(Z803+IF(F804="ASTM A416",L804,0),3)</f>
        <v/>
      </c>
      <c r="AA804" s="11">
        <f>IF(ROUNDUP(P804/20,0)&gt;ROUNDUP(P803/20,0),"Lần " &amp; ROUNDUP(P804/20,0),"")</f>
        <v/>
      </c>
      <c r="AB804" s="11">
        <f>IF(ROUNDUP(Q804/20,0)&gt;ROUNDUP(Q803/20,0),"Lần " &amp; ROUNDUP(Q804/20,0),"")</f>
        <v/>
      </c>
      <c r="AC804" s="11">
        <f>IF(ROUNDUP(R804/20,0)&gt;ROUNDUP(R803/20,0),"Lần " &amp; ROUNDUP(R804/20,0),"")</f>
        <v/>
      </c>
      <c r="AD804" s="11">
        <f>IF(ROUNDUP(S804/20,0)&gt;ROUNDUP(S803/20,0),"Lần " &amp; ROUNDUP(S804/20,0),"")</f>
        <v/>
      </c>
      <c r="AE804" s="11">
        <f>IF(ROUNDUP(T804/20,0)&gt;ROUNDUP(T803/20,0),"Lần " &amp; ROUNDUP(T804/20,0),"")</f>
        <v/>
      </c>
      <c r="AF804" s="11">
        <f>IF(ROUNDUP(U804/20,0)&gt;ROUNDUP(U803/20,0),"Lần " &amp; ROUNDUP(U804/20,0),"")</f>
        <v/>
      </c>
      <c r="AG804" s="11">
        <f>IF(ROUNDUP(V804/20,0)&gt;ROUNDUP(V803/20,0),"Lần " &amp; ROUNDUP(V804/20,0),"")</f>
        <v/>
      </c>
      <c r="AH804" s="11">
        <f>IF(ROUNDUP(W804/20,0)&gt;ROUNDUP(W803/20,0),"Lần " &amp; ROUNDUP(W804/20,0),"")</f>
        <v/>
      </c>
      <c r="AI804" s="11">
        <f>IF(ROUNDUP(X804/20,0)&gt;ROUNDUP(X803/20,0),"Lần " &amp; ROUNDUP(X804/20,0),"")</f>
        <v/>
      </c>
      <c r="AJ804" s="11">
        <f>IF(ROUNDUP(Y804/20,0)&gt;ROUNDUP(Y803/20,0),"Lần " &amp; ROUNDUP(Y804/20,0),"")</f>
        <v/>
      </c>
      <c r="AK804" s="11">
        <f>IF(ROUNDUP(Z804/20,0)&gt;ROUNDUP(Z803/20,0),"Lần " &amp; ROUNDUP(Z804/20,0),"")</f>
        <v/>
      </c>
      <c r="AL804" s="6" t="n"/>
      <c r="AN804" t="inlineStr">
        <is>
          <t>Coc</t>
        </is>
      </c>
      <c r="AO804" t="n">
        <v>28</v>
      </c>
    </row>
    <row r="805" ht="19" customHeight="1">
      <c r="A805" s="6" t="n">
        <v>764</v>
      </c>
      <c r="B805" s="7" t="inlineStr">
        <is>
          <t>Cọc khoan nhồi C6 Mố M2 (D1.2m, L=36.0m)</t>
        </is>
      </c>
      <c r="C805" s="7" t="inlineStr">
        <is>
          <t>Cọc mố M2 L=36m (tr.66)</t>
        </is>
      </c>
      <c r="D805" s="18" t="inlineStr">
        <is>
          <t>P11</t>
        </is>
      </c>
      <c r="E805" s="19" t="n">
        <v>16</v>
      </c>
      <c r="F805" s="6" t="inlineStr">
        <is>
          <t>CB400-V</t>
        </is>
      </c>
      <c r="G805" s="7" t="inlineStr"/>
      <c r="H805" s="20" t="n">
        <v>2.484</v>
      </c>
      <c r="I805" s="21" t="n">
        <v>4</v>
      </c>
      <c r="J805" s="22" t="n">
        <v>1.578</v>
      </c>
      <c r="K805" s="9">
        <f>ROUND(H805*I805*J805, 2)</f>
        <v/>
      </c>
      <c r="L805" s="23">
        <f>ROUND(K805/1000, 3)</f>
        <v/>
      </c>
      <c r="M805" s="8">
        <f>IF(AO805="","",IF(INDEX(Theo_Doi_Tan_Suat_Be_Tong!$C:$C,AO805)="","",INDEX(Theo_Doi_Tan_Suat_Be_Tong!$C:$C,AO805)-VLOOKUP(AN805,$AQ$2:$AR$7,2,FALSE)))</f>
        <v/>
      </c>
      <c r="N805" s="6" t="n"/>
      <c r="O805" s="24">
        <f>IF(ROUNDUP(S805/20,0)&gt;ROUNDUP(S804/20,0),"TN Ø16 (Lần " &amp; ROUNDUP(S805/20,0) &amp; ")","")</f>
        <v/>
      </c>
      <c r="P805" s="20">
        <f>ROUND(P804+IF(AND(E805&lt;=10,F805&lt;&gt;"ASTM A416"),L805,0),3)</f>
        <v/>
      </c>
      <c r="Q805" s="20">
        <f>ROUND(Q804+IF(AND(E805=12,F805&lt;&gt;"ASTM A416"),L805,0),3)</f>
        <v/>
      </c>
      <c r="R805" s="20">
        <f>ROUND(R804+IF(AND(E805=14,F805&lt;&gt;"ASTM A416"),L805,0),3)</f>
        <v/>
      </c>
      <c r="S805" s="20">
        <f>ROUND(S804+IF(AND(E805=16,F805&lt;&gt;"ASTM A416"),L805,0),3)</f>
        <v/>
      </c>
      <c r="T805" s="20">
        <f>ROUND(T804+IF(AND(E805=18,F805&lt;&gt;"ASTM A416"),L805,0),3)</f>
        <v/>
      </c>
      <c r="U805" s="20">
        <f>ROUND(U804+IF(AND(E805=20,F805&lt;&gt;"ASTM A416"),L805,0),3)</f>
        <v/>
      </c>
      <c r="V805" s="20">
        <f>ROUND(V804+IF(AND(E805=22,F805&lt;&gt;"ASTM A416"),L805,0),3)</f>
        <v/>
      </c>
      <c r="W805" s="20">
        <f>ROUND(W804+IF(AND(E805=25,F805&lt;&gt;"ASTM A416"),L805,0),3)</f>
        <v/>
      </c>
      <c r="X805" s="20">
        <f>ROUND(X804+IF(AND(E805=28,F805&lt;&gt;"ASTM A416"),L805,0),3)</f>
        <v/>
      </c>
      <c r="Y805" s="20">
        <f>ROUND(Y804+IF(AND(E805=32,F805&lt;&gt;"ASTM A416"),L805,0),3)</f>
        <v/>
      </c>
      <c r="Z805" s="20">
        <f>ROUND(Z804+IF(F805="ASTM A416",L805,0),3)</f>
        <v/>
      </c>
      <c r="AA805" s="11">
        <f>IF(ROUNDUP(P805/20,0)&gt;ROUNDUP(P804/20,0),"Lần " &amp; ROUNDUP(P805/20,0),"")</f>
        <v/>
      </c>
      <c r="AB805" s="11">
        <f>IF(ROUNDUP(Q805/20,0)&gt;ROUNDUP(Q804/20,0),"Lần " &amp; ROUNDUP(Q805/20,0),"")</f>
        <v/>
      </c>
      <c r="AC805" s="11">
        <f>IF(ROUNDUP(R805/20,0)&gt;ROUNDUP(R804/20,0),"Lần " &amp; ROUNDUP(R805/20,0),"")</f>
        <v/>
      </c>
      <c r="AD805" s="11">
        <f>IF(ROUNDUP(S805/20,0)&gt;ROUNDUP(S804/20,0),"Lần " &amp; ROUNDUP(S805/20,0),"")</f>
        <v/>
      </c>
      <c r="AE805" s="11">
        <f>IF(ROUNDUP(T805/20,0)&gt;ROUNDUP(T804/20,0),"Lần " &amp; ROUNDUP(T805/20,0),"")</f>
        <v/>
      </c>
      <c r="AF805" s="11">
        <f>IF(ROUNDUP(U805/20,0)&gt;ROUNDUP(U804/20,0),"Lần " &amp; ROUNDUP(U805/20,0),"")</f>
        <v/>
      </c>
      <c r="AG805" s="11">
        <f>IF(ROUNDUP(V805/20,0)&gt;ROUNDUP(V804/20,0),"Lần " &amp; ROUNDUP(V805/20,0),"")</f>
        <v/>
      </c>
      <c r="AH805" s="11">
        <f>IF(ROUNDUP(W805/20,0)&gt;ROUNDUP(W804/20,0),"Lần " &amp; ROUNDUP(W805/20,0),"")</f>
        <v/>
      </c>
      <c r="AI805" s="11">
        <f>IF(ROUNDUP(X805/20,0)&gt;ROUNDUP(X804/20,0),"Lần " &amp; ROUNDUP(X805/20,0),"")</f>
        <v/>
      </c>
      <c r="AJ805" s="11">
        <f>IF(ROUNDUP(Y805/20,0)&gt;ROUNDUP(Y804/20,0),"Lần " &amp; ROUNDUP(Y805/20,0),"")</f>
        <v/>
      </c>
      <c r="AK805" s="11">
        <f>IF(ROUNDUP(Z805/20,0)&gt;ROUNDUP(Z804/20,0),"Lần " &amp; ROUNDUP(Z805/20,0),"")</f>
        <v/>
      </c>
      <c r="AL805" s="6" t="n"/>
      <c r="AN805" t="inlineStr">
        <is>
          <t>Coc</t>
        </is>
      </c>
      <c r="AO805" t="n">
        <v>28</v>
      </c>
    </row>
    <row r="806" ht="19" customHeight="1">
      <c r="A806" s="17" t="inlineStr">
        <is>
          <t>--- CỌC KHOAN NHỒI C7 MỐ M2 (D1.2M, L=36.0M) ---</t>
        </is>
      </c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  <c r="AG806" s="35" t="n"/>
      <c r="AH806" s="35" t="n"/>
      <c r="AI806" s="35" t="n"/>
      <c r="AJ806" s="35" t="n"/>
      <c r="AK806" s="35" t="n"/>
      <c r="AL806" s="34" t="n"/>
    </row>
    <row r="807" ht="19" customHeight="1">
      <c r="A807" s="6" t="n">
        <v>765</v>
      </c>
      <c r="B807" s="7" t="inlineStr">
        <is>
          <t>Cọc khoan nhồi C7 Mố M2 (D1.2m, L=36.0m)</t>
        </is>
      </c>
      <c r="C807" s="7" t="inlineStr">
        <is>
          <t>Cọc mố M2 L=36m (tr.66)</t>
        </is>
      </c>
      <c r="D807" s="18" t="inlineStr">
        <is>
          <t>P1</t>
        </is>
      </c>
      <c r="E807" s="19" t="n">
        <v>10</v>
      </c>
      <c r="F807" s="6" t="inlineStr">
        <is>
          <t>CB240-T</t>
        </is>
      </c>
      <c r="G807" s="7" t="inlineStr"/>
      <c r="H807" s="20" t="n">
        <v>96.887</v>
      </c>
      <c r="I807" s="21" t="n">
        <v>1</v>
      </c>
      <c r="J807" s="22" t="n">
        <v>0.617</v>
      </c>
      <c r="K807" s="9">
        <f>ROUND(H807*I807*J807, 2)</f>
        <v/>
      </c>
      <c r="L807" s="23">
        <f>ROUND(K807/1000, 3)</f>
        <v/>
      </c>
      <c r="M807" s="8">
        <f>IF(AO807="","",IF(INDEX(Theo_Doi_Tan_Suat_Be_Tong!$C:$C,AO807)="","",INDEX(Theo_Doi_Tan_Suat_Be_Tong!$C:$C,AO807)-VLOOKUP(AN807,$AQ$2:$AR$7,2,FALSE)))</f>
        <v/>
      </c>
      <c r="N807" s="6" t="n"/>
      <c r="O807" s="24">
        <f>IF(ROUNDUP(P807/20,0)&gt;ROUNDUP(P805/20,0),"TN Ø10 (Lần " &amp; ROUNDUP(P807/20,0) &amp; ")","")</f>
        <v/>
      </c>
      <c r="P807" s="20">
        <f>ROUND(P805+IF(AND(E807&lt;=10,F807&lt;&gt;"ASTM A416"),L807,0),3)</f>
        <v/>
      </c>
      <c r="Q807" s="20">
        <f>ROUND(Q805+IF(AND(E807=12,F807&lt;&gt;"ASTM A416"),L807,0),3)</f>
        <v/>
      </c>
      <c r="R807" s="20">
        <f>ROUND(R805+IF(AND(E807=14,F807&lt;&gt;"ASTM A416"),L807,0),3)</f>
        <v/>
      </c>
      <c r="S807" s="20">
        <f>ROUND(S805+IF(AND(E807=16,F807&lt;&gt;"ASTM A416"),L807,0),3)</f>
        <v/>
      </c>
      <c r="T807" s="20">
        <f>ROUND(T805+IF(AND(E807=18,F807&lt;&gt;"ASTM A416"),L807,0),3)</f>
        <v/>
      </c>
      <c r="U807" s="20">
        <f>ROUND(U805+IF(AND(E807=20,F807&lt;&gt;"ASTM A416"),L807,0),3)</f>
        <v/>
      </c>
      <c r="V807" s="20">
        <f>ROUND(V805+IF(AND(E807=22,F807&lt;&gt;"ASTM A416"),L807,0),3)</f>
        <v/>
      </c>
      <c r="W807" s="20">
        <f>ROUND(W805+IF(AND(E807=25,F807&lt;&gt;"ASTM A416"),L807,0),3)</f>
        <v/>
      </c>
      <c r="X807" s="20">
        <f>ROUND(X805+IF(AND(E807=28,F807&lt;&gt;"ASTM A416"),L807,0),3)</f>
        <v/>
      </c>
      <c r="Y807" s="20">
        <f>ROUND(Y805+IF(AND(E807=32,F807&lt;&gt;"ASTM A416"),L807,0),3)</f>
        <v/>
      </c>
      <c r="Z807" s="20">
        <f>ROUND(Z805+IF(F807="ASTM A416",L807,0),3)</f>
        <v/>
      </c>
      <c r="AA807" s="11">
        <f>IF(ROUNDUP(P807/20,0)&gt;ROUNDUP(P805/20,0),"Lần " &amp; ROUNDUP(P807/20,0),"")</f>
        <v/>
      </c>
      <c r="AB807" s="11">
        <f>IF(ROUNDUP(Q807/20,0)&gt;ROUNDUP(Q805/20,0),"Lần " &amp; ROUNDUP(Q807/20,0),"")</f>
        <v/>
      </c>
      <c r="AC807" s="11">
        <f>IF(ROUNDUP(R807/20,0)&gt;ROUNDUP(R805/20,0),"Lần " &amp; ROUNDUP(R807/20,0),"")</f>
        <v/>
      </c>
      <c r="AD807" s="11">
        <f>IF(ROUNDUP(S807/20,0)&gt;ROUNDUP(S805/20,0),"Lần " &amp; ROUNDUP(S807/20,0),"")</f>
        <v/>
      </c>
      <c r="AE807" s="11">
        <f>IF(ROUNDUP(T807/20,0)&gt;ROUNDUP(T805/20,0),"Lần " &amp; ROUNDUP(T807/20,0),"")</f>
        <v/>
      </c>
      <c r="AF807" s="11">
        <f>IF(ROUNDUP(U807/20,0)&gt;ROUNDUP(U805/20,0),"Lần " &amp; ROUNDUP(U807/20,0),"")</f>
        <v/>
      </c>
      <c r="AG807" s="11">
        <f>IF(ROUNDUP(V807/20,0)&gt;ROUNDUP(V805/20,0),"Lần " &amp; ROUNDUP(V807/20,0),"")</f>
        <v/>
      </c>
      <c r="AH807" s="11">
        <f>IF(ROUNDUP(W807/20,0)&gt;ROUNDUP(W805/20,0),"Lần " &amp; ROUNDUP(W807/20,0),"")</f>
        <v/>
      </c>
      <c r="AI807" s="11">
        <f>IF(ROUNDUP(X807/20,0)&gt;ROUNDUP(X805/20,0),"Lần " &amp; ROUNDUP(X807/20,0),"")</f>
        <v/>
      </c>
      <c r="AJ807" s="11">
        <f>IF(ROUNDUP(Y807/20,0)&gt;ROUNDUP(Y805/20,0),"Lần " &amp; ROUNDUP(Y807/20,0),"")</f>
        <v/>
      </c>
      <c r="AK807" s="11">
        <f>IF(ROUNDUP(Z807/20,0)&gt;ROUNDUP(Z805/20,0),"Lần " &amp; ROUNDUP(Z807/20,0),"")</f>
        <v/>
      </c>
      <c r="AL807" s="6" t="n"/>
      <c r="AN807" t="inlineStr">
        <is>
          <t>Coc</t>
        </is>
      </c>
      <c r="AO807" t="n">
        <v>29</v>
      </c>
    </row>
    <row r="808" ht="19" customHeight="1">
      <c r="A808" s="6" t="n">
        <v>766</v>
      </c>
      <c r="B808" s="7" t="inlineStr">
        <is>
          <t>Cọc khoan nhồi C7 Mố M2 (D1.2m, L=36.0m)</t>
        </is>
      </c>
      <c r="C808" s="7" t="inlineStr">
        <is>
          <t>Cọc mố M2 L=36m (tr.66)</t>
        </is>
      </c>
      <c r="D808" s="18" t="inlineStr">
        <is>
          <t>P1A</t>
        </is>
      </c>
      <c r="E808" s="19" t="n">
        <v>10</v>
      </c>
      <c r="F808" s="6" t="inlineStr">
        <is>
          <t>CB240-T</t>
        </is>
      </c>
      <c r="G808" s="7" t="inlineStr"/>
      <c r="H808" s="20" t="n">
        <v>390.776</v>
      </c>
      <c r="I808" s="21" t="n">
        <v>1</v>
      </c>
      <c r="J808" s="22" t="n">
        <v>0.617</v>
      </c>
      <c r="K808" s="9">
        <f>ROUND(H808*I808*J808, 2)</f>
        <v/>
      </c>
      <c r="L808" s="23">
        <f>ROUND(K808/1000, 3)</f>
        <v/>
      </c>
      <c r="M808" s="8">
        <f>IF(AO808="","",IF(INDEX(Theo_Doi_Tan_Suat_Be_Tong!$C:$C,AO808)="","",INDEX(Theo_Doi_Tan_Suat_Be_Tong!$C:$C,AO808)-VLOOKUP(AN808,$AQ$2:$AR$7,2,FALSE)))</f>
        <v/>
      </c>
      <c r="N808" s="6" t="n"/>
      <c r="O808" s="24">
        <f>IF(ROUNDUP(P808/20,0)&gt;ROUNDUP(P807/20,0),"TN Ø10 (Lần " &amp; ROUNDUP(P808/20,0) &amp; ")","")</f>
        <v/>
      </c>
      <c r="P808" s="20">
        <f>ROUND(P807+IF(AND(E808&lt;=10,F808&lt;&gt;"ASTM A416"),L808,0),3)</f>
        <v/>
      </c>
      <c r="Q808" s="20">
        <f>ROUND(Q807+IF(AND(E808=12,F808&lt;&gt;"ASTM A416"),L808,0),3)</f>
        <v/>
      </c>
      <c r="R808" s="20">
        <f>ROUND(R807+IF(AND(E808=14,F808&lt;&gt;"ASTM A416"),L808,0),3)</f>
        <v/>
      </c>
      <c r="S808" s="20">
        <f>ROUND(S807+IF(AND(E808=16,F808&lt;&gt;"ASTM A416"),L808,0),3)</f>
        <v/>
      </c>
      <c r="T808" s="20">
        <f>ROUND(T807+IF(AND(E808=18,F808&lt;&gt;"ASTM A416"),L808,0),3)</f>
        <v/>
      </c>
      <c r="U808" s="20">
        <f>ROUND(U807+IF(AND(E808=20,F808&lt;&gt;"ASTM A416"),L808,0),3)</f>
        <v/>
      </c>
      <c r="V808" s="20">
        <f>ROUND(V807+IF(AND(E808=22,F808&lt;&gt;"ASTM A416"),L808,0),3)</f>
        <v/>
      </c>
      <c r="W808" s="20">
        <f>ROUND(W807+IF(AND(E808=25,F808&lt;&gt;"ASTM A416"),L808,0),3)</f>
        <v/>
      </c>
      <c r="X808" s="20">
        <f>ROUND(X807+IF(AND(E808=28,F808&lt;&gt;"ASTM A416"),L808,0),3)</f>
        <v/>
      </c>
      <c r="Y808" s="20">
        <f>ROUND(Y807+IF(AND(E808=32,F808&lt;&gt;"ASTM A416"),L808,0),3)</f>
        <v/>
      </c>
      <c r="Z808" s="20">
        <f>ROUND(Z807+IF(F808="ASTM A416",L808,0),3)</f>
        <v/>
      </c>
      <c r="AA808" s="11">
        <f>IF(ROUNDUP(P808/20,0)&gt;ROUNDUP(P807/20,0),"Lần " &amp; ROUNDUP(P808/20,0),"")</f>
        <v/>
      </c>
      <c r="AB808" s="11">
        <f>IF(ROUNDUP(Q808/20,0)&gt;ROUNDUP(Q807/20,0),"Lần " &amp; ROUNDUP(Q808/20,0),"")</f>
        <v/>
      </c>
      <c r="AC808" s="11">
        <f>IF(ROUNDUP(R808/20,0)&gt;ROUNDUP(R807/20,0),"Lần " &amp; ROUNDUP(R808/20,0),"")</f>
        <v/>
      </c>
      <c r="AD808" s="11">
        <f>IF(ROUNDUP(S808/20,0)&gt;ROUNDUP(S807/20,0),"Lần " &amp; ROUNDUP(S808/20,0),"")</f>
        <v/>
      </c>
      <c r="AE808" s="11">
        <f>IF(ROUNDUP(T808/20,0)&gt;ROUNDUP(T807/20,0),"Lần " &amp; ROUNDUP(T808/20,0),"")</f>
        <v/>
      </c>
      <c r="AF808" s="11">
        <f>IF(ROUNDUP(U808/20,0)&gt;ROUNDUP(U807/20,0),"Lần " &amp; ROUNDUP(U808/20,0),"")</f>
        <v/>
      </c>
      <c r="AG808" s="11">
        <f>IF(ROUNDUP(V808/20,0)&gt;ROUNDUP(V807/20,0),"Lần " &amp; ROUNDUP(V808/20,0),"")</f>
        <v/>
      </c>
      <c r="AH808" s="11">
        <f>IF(ROUNDUP(W808/20,0)&gt;ROUNDUP(W807/20,0),"Lần " &amp; ROUNDUP(W808/20,0),"")</f>
        <v/>
      </c>
      <c r="AI808" s="11">
        <f>IF(ROUNDUP(X808/20,0)&gt;ROUNDUP(X807/20,0),"Lần " &amp; ROUNDUP(X808/20,0),"")</f>
        <v/>
      </c>
      <c r="AJ808" s="11">
        <f>IF(ROUNDUP(Y808/20,0)&gt;ROUNDUP(Y807/20,0),"Lần " &amp; ROUNDUP(Y808/20,0),"")</f>
        <v/>
      </c>
      <c r="AK808" s="11">
        <f>IF(ROUNDUP(Z808/20,0)&gt;ROUNDUP(Z807/20,0),"Lần " &amp; ROUNDUP(Z808/20,0),"")</f>
        <v/>
      </c>
      <c r="AL808" s="6" t="n"/>
      <c r="AN808" t="inlineStr">
        <is>
          <t>Coc</t>
        </is>
      </c>
      <c r="AO808" t="n">
        <v>29</v>
      </c>
    </row>
    <row r="809" ht="19" customHeight="1">
      <c r="A809" s="6" t="n">
        <v>767</v>
      </c>
      <c r="B809" s="7" t="inlineStr">
        <is>
          <t>Cọc khoan nhồi C7 Mố M2 (D1.2m, L=36.0m)</t>
        </is>
      </c>
      <c r="C809" s="7" t="inlineStr">
        <is>
          <t>Cọc mố M2 L=36m (tr.66)</t>
        </is>
      </c>
      <c r="D809" s="18" t="inlineStr">
        <is>
          <t>P1B</t>
        </is>
      </c>
      <c r="E809" s="19" t="n">
        <v>10</v>
      </c>
      <c r="F809" s="6" t="inlineStr">
        <is>
          <t>CB240-T</t>
        </is>
      </c>
      <c r="G809" s="7" t="inlineStr"/>
      <c r="H809" s="20" t="n">
        <v>164.938</v>
      </c>
      <c r="I809" s="21" t="n">
        <v>1</v>
      </c>
      <c r="J809" s="22" t="n">
        <v>0.617</v>
      </c>
      <c r="K809" s="9">
        <f>ROUND(H809*I809*J809, 2)</f>
        <v/>
      </c>
      <c r="L809" s="23">
        <f>ROUND(K809/1000, 3)</f>
        <v/>
      </c>
      <c r="M809" s="8">
        <f>IF(AO809="","",IF(INDEX(Theo_Doi_Tan_Suat_Be_Tong!$C:$C,AO809)="","",INDEX(Theo_Doi_Tan_Suat_Be_Tong!$C:$C,AO809)-VLOOKUP(AN809,$AQ$2:$AR$7,2,FALSE)))</f>
        <v/>
      </c>
      <c r="N809" s="6" t="n"/>
      <c r="O809" s="24">
        <f>IF(ROUNDUP(P809/20,0)&gt;ROUNDUP(P808/20,0),"TN Ø10 (Lần " &amp; ROUNDUP(P809/20,0) &amp; ")","")</f>
        <v/>
      </c>
      <c r="P809" s="20">
        <f>ROUND(P808+IF(AND(E809&lt;=10,F809&lt;&gt;"ASTM A416"),L809,0),3)</f>
        <v/>
      </c>
      <c r="Q809" s="20">
        <f>ROUND(Q808+IF(AND(E809=12,F809&lt;&gt;"ASTM A416"),L809,0),3)</f>
        <v/>
      </c>
      <c r="R809" s="20">
        <f>ROUND(R808+IF(AND(E809=14,F809&lt;&gt;"ASTM A416"),L809,0),3)</f>
        <v/>
      </c>
      <c r="S809" s="20">
        <f>ROUND(S808+IF(AND(E809=16,F809&lt;&gt;"ASTM A416"),L809,0),3)</f>
        <v/>
      </c>
      <c r="T809" s="20">
        <f>ROUND(T808+IF(AND(E809=18,F809&lt;&gt;"ASTM A416"),L809,0),3)</f>
        <v/>
      </c>
      <c r="U809" s="20">
        <f>ROUND(U808+IF(AND(E809=20,F809&lt;&gt;"ASTM A416"),L809,0),3)</f>
        <v/>
      </c>
      <c r="V809" s="20">
        <f>ROUND(V808+IF(AND(E809=22,F809&lt;&gt;"ASTM A416"),L809,0),3)</f>
        <v/>
      </c>
      <c r="W809" s="20">
        <f>ROUND(W808+IF(AND(E809=25,F809&lt;&gt;"ASTM A416"),L809,0),3)</f>
        <v/>
      </c>
      <c r="X809" s="20">
        <f>ROUND(X808+IF(AND(E809=28,F809&lt;&gt;"ASTM A416"),L809,0),3)</f>
        <v/>
      </c>
      <c r="Y809" s="20">
        <f>ROUND(Y808+IF(AND(E809=32,F809&lt;&gt;"ASTM A416"),L809,0),3)</f>
        <v/>
      </c>
      <c r="Z809" s="20">
        <f>ROUND(Z808+IF(F809="ASTM A416",L809,0),3)</f>
        <v/>
      </c>
      <c r="AA809" s="11">
        <f>IF(ROUNDUP(P809/20,0)&gt;ROUNDUP(P808/20,0),"Lần " &amp; ROUNDUP(P809/20,0),"")</f>
        <v/>
      </c>
      <c r="AB809" s="11">
        <f>IF(ROUNDUP(Q809/20,0)&gt;ROUNDUP(Q808/20,0),"Lần " &amp; ROUNDUP(Q809/20,0),"")</f>
        <v/>
      </c>
      <c r="AC809" s="11">
        <f>IF(ROUNDUP(R809/20,0)&gt;ROUNDUP(R808/20,0),"Lần " &amp; ROUNDUP(R809/20,0),"")</f>
        <v/>
      </c>
      <c r="AD809" s="11">
        <f>IF(ROUNDUP(S809/20,0)&gt;ROUNDUP(S808/20,0),"Lần " &amp; ROUNDUP(S809/20,0),"")</f>
        <v/>
      </c>
      <c r="AE809" s="11">
        <f>IF(ROUNDUP(T809/20,0)&gt;ROUNDUP(T808/20,0),"Lần " &amp; ROUNDUP(T809/20,0),"")</f>
        <v/>
      </c>
      <c r="AF809" s="11">
        <f>IF(ROUNDUP(U809/20,0)&gt;ROUNDUP(U808/20,0),"Lần " &amp; ROUNDUP(U809/20,0),"")</f>
        <v/>
      </c>
      <c r="AG809" s="11">
        <f>IF(ROUNDUP(V809/20,0)&gt;ROUNDUP(V808/20,0),"Lần " &amp; ROUNDUP(V809/20,0),"")</f>
        <v/>
      </c>
      <c r="AH809" s="11">
        <f>IF(ROUNDUP(W809/20,0)&gt;ROUNDUP(W808/20,0),"Lần " &amp; ROUNDUP(W809/20,0),"")</f>
        <v/>
      </c>
      <c r="AI809" s="11">
        <f>IF(ROUNDUP(X809/20,0)&gt;ROUNDUP(X808/20,0),"Lần " &amp; ROUNDUP(X809/20,0),"")</f>
        <v/>
      </c>
      <c r="AJ809" s="11">
        <f>IF(ROUNDUP(Y809/20,0)&gt;ROUNDUP(Y808/20,0),"Lần " &amp; ROUNDUP(Y809/20,0),"")</f>
        <v/>
      </c>
      <c r="AK809" s="11">
        <f>IF(ROUNDUP(Z809/20,0)&gt;ROUNDUP(Z808/20,0),"Lần " &amp; ROUNDUP(Z809/20,0),"")</f>
        <v/>
      </c>
      <c r="AL809" s="6" t="n"/>
      <c r="AN809" t="inlineStr">
        <is>
          <t>Coc</t>
        </is>
      </c>
      <c r="AO809" t="n">
        <v>29</v>
      </c>
    </row>
    <row r="810" ht="19" customHeight="1">
      <c r="A810" s="6" t="n">
        <v>768</v>
      </c>
      <c r="B810" s="7" t="inlineStr">
        <is>
          <t>Cọc khoan nhồi C7 Mố M2 (D1.2m, L=36.0m)</t>
        </is>
      </c>
      <c r="C810" s="7" t="inlineStr">
        <is>
          <t>Cọc mố M2 L=36m (tr.66)</t>
        </is>
      </c>
      <c r="D810" s="18" t="inlineStr">
        <is>
          <t>P1C</t>
        </is>
      </c>
      <c r="E810" s="19" t="n">
        <v>10</v>
      </c>
      <c r="F810" s="6" t="inlineStr">
        <is>
          <t>CB240-T</t>
        </is>
      </c>
      <c r="G810" s="7" t="inlineStr"/>
      <c r="H810" s="20" t="n">
        <v>3.592</v>
      </c>
      <c r="I810" s="21" t="n">
        <v>2</v>
      </c>
      <c r="J810" s="22" t="n">
        <v>0.617</v>
      </c>
      <c r="K810" s="9">
        <f>ROUND(H810*I810*J810, 2)</f>
        <v/>
      </c>
      <c r="L810" s="23">
        <f>ROUND(K810/1000, 3)</f>
        <v/>
      </c>
      <c r="M810" s="8">
        <f>IF(AO810="","",IF(INDEX(Theo_Doi_Tan_Suat_Be_Tong!$C:$C,AO810)="","",INDEX(Theo_Doi_Tan_Suat_Be_Tong!$C:$C,AO810)-VLOOKUP(AN810,$AQ$2:$AR$7,2,FALSE)))</f>
        <v/>
      </c>
      <c r="N810" s="6" t="n"/>
      <c r="O810" s="24">
        <f>IF(ROUNDUP(P810/20,0)&gt;ROUNDUP(P809/20,0),"TN Ø10 (Lần " &amp; ROUNDUP(P810/20,0) &amp; ")","")</f>
        <v/>
      </c>
      <c r="P810" s="20">
        <f>ROUND(P809+IF(AND(E810&lt;=10,F810&lt;&gt;"ASTM A416"),L810,0),3)</f>
        <v/>
      </c>
      <c r="Q810" s="20">
        <f>ROUND(Q809+IF(AND(E810=12,F810&lt;&gt;"ASTM A416"),L810,0),3)</f>
        <v/>
      </c>
      <c r="R810" s="20">
        <f>ROUND(R809+IF(AND(E810=14,F810&lt;&gt;"ASTM A416"),L810,0),3)</f>
        <v/>
      </c>
      <c r="S810" s="20">
        <f>ROUND(S809+IF(AND(E810=16,F810&lt;&gt;"ASTM A416"),L810,0),3)</f>
        <v/>
      </c>
      <c r="T810" s="20">
        <f>ROUND(T809+IF(AND(E810=18,F810&lt;&gt;"ASTM A416"),L810,0),3)</f>
        <v/>
      </c>
      <c r="U810" s="20">
        <f>ROUND(U809+IF(AND(E810=20,F810&lt;&gt;"ASTM A416"),L810,0),3)</f>
        <v/>
      </c>
      <c r="V810" s="20">
        <f>ROUND(V809+IF(AND(E810=22,F810&lt;&gt;"ASTM A416"),L810,0),3)</f>
        <v/>
      </c>
      <c r="W810" s="20">
        <f>ROUND(W809+IF(AND(E810=25,F810&lt;&gt;"ASTM A416"),L810,0),3)</f>
        <v/>
      </c>
      <c r="X810" s="20">
        <f>ROUND(X809+IF(AND(E810=28,F810&lt;&gt;"ASTM A416"),L810,0),3)</f>
        <v/>
      </c>
      <c r="Y810" s="20">
        <f>ROUND(Y809+IF(AND(E810=32,F810&lt;&gt;"ASTM A416"),L810,0),3)</f>
        <v/>
      </c>
      <c r="Z810" s="20">
        <f>ROUND(Z809+IF(F810="ASTM A416",L810,0),3)</f>
        <v/>
      </c>
      <c r="AA810" s="11">
        <f>IF(ROUNDUP(P810/20,0)&gt;ROUNDUP(P809/20,0),"Lần " &amp; ROUNDUP(P810/20,0),"")</f>
        <v/>
      </c>
      <c r="AB810" s="11">
        <f>IF(ROUNDUP(Q810/20,0)&gt;ROUNDUP(Q809/20,0),"Lần " &amp; ROUNDUP(Q810/20,0),"")</f>
        <v/>
      </c>
      <c r="AC810" s="11">
        <f>IF(ROUNDUP(R810/20,0)&gt;ROUNDUP(R809/20,0),"Lần " &amp; ROUNDUP(R810/20,0),"")</f>
        <v/>
      </c>
      <c r="AD810" s="11">
        <f>IF(ROUNDUP(S810/20,0)&gt;ROUNDUP(S809/20,0),"Lần " &amp; ROUNDUP(S810/20,0),"")</f>
        <v/>
      </c>
      <c r="AE810" s="11">
        <f>IF(ROUNDUP(T810/20,0)&gt;ROUNDUP(T809/20,0),"Lần " &amp; ROUNDUP(T810/20,0),"")</f>
        <v/>
      </c>
      <c r="AF810" s="11">
        <f>IF(ROUNDUP(U810/20,0)&gt;ROUNDUP(U809/20,0),"Lần " &amp; ROUNDUP(U810/20,0),"")</f>
        <v/>
      </c>
      <c r="AG810" s="11">
        <f>IF(ROUNDUP(V810/20,0)&gt;ROUNDUP(V809/20,0),"Lần " &amp; ROUNDUP(V810/20,0),"")</f>
        <v/>
      </c>
      <c r="AH810" s="11">
        <f>IF(ROUNDUP(W810/20,0)&gt;ROUNDUP(W809/20,0),"Lần " &amp; ROUNDUP(W810/20,0),"")</f>
        <v/>
      </c>
      <c r="AI810" s="11">
        <f>IF(ROUNDUP(X810/20,0)&gt;ROUNDUP(X809/20,0),"Lần " &amp; ROUNDUP(X810/20,0),"")</f>
        <v/>
      </c>
      <c r="AJ810" s="11">
        <f>IF(ROUNDUP(Y810/20,0)&gt;ROUNDUP(Y809/20,0),"Lần " &amp; ROUNDUP(Y810/20,0),"")</f>
        <v/>
      </c>
      <c r="AK810" s="11">
        <f>IF(ROUNDUP(Z810/20,0)&gt;ROUNDUP(Z809/20,0),"Lần " &amp; ROUNDUP(Z810/20,0),"")</f>
        <v/>
      </c>
      <c r="AL810" s="6" t="n"/>
      <c r="AN810" t="inlineStr">
        <is>
          <t>Coc</t>
        </is>
      </c>
      <c r="AO810" t="n">
        <v>29</v>
      </c>
    </row>
    <row r="811" ht="19" customHeight="1">
      <c r="A811" s="6" t="n">
        <v>769</v>
      </c>
      <c r="B811" s="7" t="inlineStr">
        <is>
          <t>Cọc khoan nhồi C7 Mố M2 (D1.2m, L=36.0m)</t>
        </is>
      </c>
      <c r="C811" s="7" t="inlineStr">
        <is>
          <t>Cọc mố M2 L=36m (tr.66)</t>
        </is>
      </c>
      <c r="D811" s="18" t="inlineStr">
        <is>
          <t>P1D</t>
        </is>
      </c>
      <c r="E811" s="19" t="n">
        <v>10</v>
      </c>
      <c r="F811" s="6" t="inlineStr">
        <is>
          <t>CB240-T</t>
        </is>
      </c>
      <c r="G811" s="7" t="inlineStr"/>
      <c r="H811" s="20" t="n">
        <v>23.007</v>
      </c>
      <c r="I811" s="21" t="n">
        <v>1</v>
      </c>
      <c r="J811" s="22" t="n">
        <v>0.617</v>
      </c>
      <c r="K811" s="9">
        <f>ROUND(H811*I811*J811, 2)</f>
        <v/>
      </c>
      <c r="L811" s="23">
        <f>ROUND(K811/1000, 3)</f>
        <v/>
      </c>
      <c r="M811" s="8">
        <f>IF(AO811="","",IF(INDEX(Theo_Doi_Tan_Suat_Be_Tong!$C:$C,AO811)="","",INDEX(Theo_Doi_Tan_Suat_Be_Tong!$C:$C,AO811)-VLOOKUP(AN811,$AQ$2:$AR$7,2,FALSE)))</f>
        <v/>
      </c>
      <c r="N811" s="6" t="n"/>
      <c r="O811" s="24">
        <f>IF(ROUNDUP(P811/20,0)&gt;ROUNDUP(P810/20,0),"TN Ø10 (Lần " &amp; ROUNDUP(P811/20,0) &amp; ")","")</f>
        <v/>
      </c>
      <c r="P811" s="20">
        <f>ROUND(P810+IF(AND(E811&lt;=10,F811&lt;&gt;"ASTM A416"),L811,0),3)</f>
        <v/>
      </c>
      <c r="Q811" s="20">
        <f>ROUND(Q810+IF(AND(E811=12,F811&lt;&gt;"ASTM A416"),L811,0),3)</f>
        <v/>
      </c>
      <c r="R811" s="20">
        <f>ROUND(R810+IF(AND(E811=14,F811&lt;&gt;"ASTM A416"),L811,0),3)</f>
        <v/>
      </c>
      <c r="S811" s="20">
        <f>ROUND(S810+IF(AND(E811=16,F811&lt;&gt;"ASTM A416"),L811,0),3)</f>
        <v/>
      </c>
      <c r="T811" s="20">
        <f>ROUND(T810+IF(AND(E811=18,F811&lt;&gt;"ASTM A416"),L811,0),3)</f>
        <v/>
      </c>
      <c r="U811" s="20">
        <f>ROUND(U810+IF(AND(E811=20,F811&lt;&gt;"ASTM A416"),L811,0),3)</f>
        <v/>
      </c>
      <c r="V811" s="20">
        <f>ROUND(V810+IF(AND(E811=22,F811&lt;&gt;"ASTM A416"),L811,0),3)</f>
        <v/>
      </c>
      <c r="W811" s="20">
        <f>ROUND(W810+IF(AND(E811=25,F811&lt;&gt;"ASTM A416"),L811,0),3)</f>
        <v/>
      </c>
      <c r="X811" s="20">
        <f>ROUND(X810+IF(AND(E811=28,F811&lt;&gt;"ASTM A416"),L811,0),3)</f>
        <v/>
      </c>
      <c r="Y811" s="20">
        <f>ROUND(Y810+IF(AND(E811=32,F811&lt;&gt;"ASTM A416"),L811,0),3)</f>
        <v/>
      </c>
      <c r="Z811" s="20">
        <f>ROUND(Z810+IF(F811="ASTM A416",L811,0),3)</f>
        <v/>
      </c>
      <c r="AA811" s="11">
        <f>IF(ROUNDUP(P811/20,0)&gt;ROUNDUP(P810/20,0),"Lần " &amp; ROUNDUP(P811/20,0),"")</f>
        <v/>
      </c>
      <c r="AB811" s="11">
        <f>IF(ROUNDUP(Q811/20,0)&gt;ROUNDUP(Q810/20,0),"Lần " &amp; ROUNDUP(Q811/20,0),"")</f>
        <v/>
      </c>
      <c r="AC811" s="11">
        <f>IF(ROUNDUP(R811/20,0)&gt;ROUNDUP(R810/20,0),"Lần " &amp; ROUNDUP(R811/20,0),"")</f>
        <v/>
      </c>
      <c r="AD811" s="11">
        <f>IF(ROUNDUP(S811/20,0)&gt;ROUNDUP(S810/20,0),"Lần " &amp; ROUNDUP(S811/20,0),"")</f>
        <v/>
      </c>
      <c r="AE811" s="11">
        <f>IF(ROUNDUP(T811/20,0)&gt;ROUNDUP(T810/20,0),"Lần " &amp; ROUNDUP(T811/20,0),"")</f>
        <v/>
      </c>
      <c r="AF811" s="11">
        <f>IF(ROUNDUP(U811/20,0)&gt;ROUNDUP(U810/20,0),"Lần " &amp; ROUNDUP(U811/20,0),"")</f>
        <v/>
      </c>
      <c r="AG811" s="11">
        <f>IF(ROUNDUP(V811/20,0)&gt;ROUNDUP(V810/20,0),"Lần " &amp; ROUNDUP(V811/20,0),"")</f>
        <v/>
      </c>
      <c r="AH811" s="11">
        <f>IF(ROUNDUP(W811/20,0)&gt;ROUNDUP(W810/20,0),"Lần " &amp; ROUNDUP(W811/20,0),"")</f>
        <v/>
      </c>
      <c r="AI811" s="11">
        <f>IF(ROUNDUP(X811/20,0)&gt;ROUNDUP(X810/20,0),"Lần " &amp; ROUNDUP(X811/20,0),"")</f>
        <v/>
      </c>
      <c r="AJ811" s="11">
        <f>IF(ROUNDUP(Y811/20,0)&gt;ROUNDUP(Y810/20,0),"Lần " &amp; ROUNDUP(Y811/20,0),"")</f>
        <v/>
      </c>
      <c r="AK811" s="11">
        <f>IF(ROUNDUP(Z811/20,0)&gt;ROUNDUP(Z810/20,0),"Lần " &amp; ROUNDUP(Z811/20,0),"")</f>
        <v/>
      </c>
      <c r="AL811" s="6" t="n"/>
      <c r="AN811" t="inlineStr">
        <is>
          <t>Coc</t>
        </is>
      </c>
      <c r="AO811" t="n">
        <v>29</v>
      </c>
    </row>
    <row r="812" ht="19" customHeight="1">
      <c r="A812" s="6" t="n">
        <v>770</v>
      </c>
      <c r="B812" s="7" t="inlineStr">
        <is>
          <t>Cọc khoan nhồi C7 Mố M2 (D1.2m, L=36.0m)</t>
        </is>
      </c>
      <c r="C812" s="7" t="inlineStr">
        <is>
          <t>Cọc mố M2 L=36m (tr.66)</t>
        </is>
      </c>
      <c r="D812" s="18" t="inlineStr">
        <is>
          <t>P2A</t>
        </is>
      </c>
      <c r="E812" s="19" t="n">
        <v>28</v>
      </c>
      <c r="F812" s="6" t="inlineStr">
        <is>
          <t>CB400-V</t>
        </is>
      </c>
      <c r="G812" s="7" t="inlineStr"/>
      <c r="H812" s="20" t="n">
        <v>2.966</v>
      </c>
      <c r="I812" s="21" t="n">
        <v>5</v>
      </c>
      <c r="J812" s="22" t="n">
        <v>4.834</v>
      </c>
      <c r="K812" s="9">
        <f>ROUND(H812*I812*J812, 2)</f>
        <v/>
      </c>
      <c r="L812" s="23">
        <f>ROUND(K812/1000, 3)</f>
        <v/>
      </c>
      <c r="M812" s="8">
        <f>IF(AO812="","",IF(INDEX(Theo_Doi_Tan_Suat_Be_Tong!$C:$C,AO812)="","",INDEX(Theo_Doi_Tan_Suat_Be_Tong!$C:$C,AO812)-VLOOKUP(AN812,$AQ$2:$AR$7,2,FALSE)))</f>
        <v/>
      </c>
      <c r="N812" s="6" t="n"/>
      <c r="O812" s="24">
        <f>IF(ROUNDUP(X812/20,0)&gt;ROUNDUP(X811/20,0),"TN Ø28 (Lần " &amp; ROUNDUP(X812/20,0) &amp; ")","")</f>
        <v/>
      </c>
      <c r="P812" s="20">
        <f>ROUND(P811+IF(AND(E812&lt;=10,F812&lt;&gt;"ASTM A416"),L812,0),3)</f>
        <v/>
      </c>
      <c r="Q812" s="20">
        <f>ROUND(Q811+IF(AND(E812=12,F812&lt;&gt;"ASTM A416"),L812,0),3)</f>
        <v/>
      </c>
      <c r="R812" s="20">
        <f>ROUND(R811+IF(AND(E812=14,F812&lt;&gt;"ASTM A416"),L812,0),3)</f>
        <v/>
      </c>
      <c r="S812" s="20">
        <f>ROUND(S811+IF(AND(E812=16,F812&lt;&gt;"ASTM A416"),L812,0),3)</f>
        <v/>
      </c>
      <c r="T812" s="20">
        <f>ROUND(T811+IF(AND(E812=18,F812&lt;&gt;"ASTM A416"),L812,0),3)</f>
        <v/>
      </c>
      <c r="U812" s="20">
        <f>ROUND(U811+IF(AND(E812=20,F812&lt;&gt;"ASTM A416"),L812,0),3)</f>
        <v/>
      </c>
      <c r="V812" s="20">
        <f>ROUND(V811+IF(AND(E812=22,F812&lt;&gt;"ASTM A416"),L812,0),3)</f>
        <v/>
      </c>
      <c r="W812" s="20">
        <f>ROUND(W811+IF(AND(E812=25,F812&lt;&gt;"ASTM A416"),L812,0),3)</f>
        <v/>
      </c>
      <c r="X812" s="20">
        <f>ROUND(X811+IF(AND(E812=28,F812&lt;&gt;"ASTM A416"),L812,0),3)</f>
        <v/>
      </c>
      <c r="Y812" s="20">
        <f>ROUND(Y811+IF(AND(E812=32,F812&lt;&gt;"ASTM A416"),L812,0),3)</f>
        <v/>
      </c>
      <c r="Z812" s="20">
        <f>ROUND(Z811+IF(F812="ASTM A416",L812,0),3)</f>
        <v/>
      </c>
      <c r="AA812" s="11">
        <f>IF(ROUNDUP(P812/20,0)&gt;ROUNDUP(P811/20,0),"Lần " &amp; ROUNDUP(P812/20,0),"")</f>
        <v/>
      </c>
      <c r="AB812" s="11">
        <f>IF(ROUNDUP(Q812/20,0)&gt;ROUNDUP(Q811/20,0),"Lần " &amp; ROUNDUP(Q812/20,0),"")</f>
        <v/>
      </c>
      <c r="AC812" s="11">
        <f>IF(ROUNDUP(R812/20,0)&gt;ROUNDUP(R811/20,0),"Lần " &amp; ROUNDUP(R812/20,0),"")</f>
        <v/>
      </c>
      <c r="AD812" s="11">
        <f>IF(ROUNDUP(S812/20,0)&gt;ROUNDUP(S811/20,0),"Lần " &amp; ROUNDUP(S812/20,0),"")</f>
        <v/>
      </c>
      <c r="AE812" s="11">
        <f>IF(ROUNDUP(T812/20,0)&gt;ROUNDUP(T811/20,0),"Lần " &amp; ROUNDUP(T812/20,0),"")</f>
        <v/>
      </c>
      <c r="AF812" s="11">
        <f>IF(ROUNDUP(U812/20,0)&gt;ROUNDUP(U811/20,0),"Lần " &amp; ROUNDUP(U812/20,0),"")</f>
        <v/>
      </c>
      <c r="AG812" s="11">
        <f>IF(ROUNDUP(V812/20,0)&gt;ROUNDUP(V811/20,0),"Lần " &amp; ROUNDUP(V812/20,0),"")</f>
        <v/>
      </c>
      <c r="AH812" s="11">
        <f>IF(ROUNDUP(W812/20,0)&gt;ROUNDUP(W811/20,0),"Lần " &amp; ROUNDUP(W812/20,0),"")</f>
        <v/>
      </c>
      <c r="AI812" s="11">
        <f>IF(ROUNDUP(X812/20,0)&gt;ROUNDUP(X811/20,0),"Lần " &amp; ROUNDUP(X812/20,0),"")</f>
        <v/>
      </c>
      <c r="AJ812" s="11">
        <f>IF(ROUNDUP(Y812/20,0)&gt;ROUNDUP(Y811/20,0),"Lần " &amp; ROUNDUP(Y812/20,0),"")</f>
        <v/>
      </c>
      <c r="AK812" s="11">
        <f>IF(ROUNDUP(Z812/20,0)&gt;ROUNDUP(Z811/20,0),"Lần " &amp; ROUNDUP(Z812/20,0),"")</f>
        <v/>
      </c>
      <c r="AL812" s="6" t="n"/>
      <c r="AN812" t="inlineStr">
        <is>
          <t>Coc</t>
        </is>
      </c>
      <c r="AO812" t="n">
        <v>29</v>
      </c>
    </row>
    <row r="813" ht="19" customHeight="1">
      <c r="A813" s="6" t="n">
        <v>771</v>
      </c>
      <c r="B813" s="7" t="inlineStr">
        <is>
          <t>Cọc khoan nhồi C7 Mố M2 (D1.2m, L=36.0m)</t>
        </is>
      </c>
      <c r="C813" s="7" t="inlineStr">
        <is>
          <t>Cọc mố M2 L=36m (tr.66)</t>
        </is>
      </c>
      <c r="D813" s="18" t="inlineStr">
        <is>
          <t>P2B</t>
        </is>
      </c>
      <c r="E813" s="19" t="n">
        <v>25</v>
      </c>
      <c r="F813" s="6" t="inlineStr">
        <is>
          <t>CB400-V</t>
        </is>
      </c>
      <c r="G813" s="7" t="inlineStr"/>
      <c r="H813" s="20" t="n">
        <v>2.985</v>
      </c>
      <c r="I813" s="21" t="n">
        <v>10</v>
      </c>
      <c r="J813" s="22" t="n">
        <v>3.853</v>
      </c>
      <c r="K813" s="9">
        <f>ROUND(H813*I813*J813, 2)</f>
        <v/>
      </c>
      <c r="L813" s="23">
        <f>ROUND(K813/1000, 3)</f>
        <v/>
      </c>
      <c r="M813" s="8">
        <f>IF(AO813="","",IF(INDEX(Theo_Doi_Tan_Suat_Be_Tong!$C:$C,AO813)="","",INDEX(Theo_Doi_Tan_Suat_Be_Tong!$C:$C,AO813)-VLOOKUP(AN813,$AQ$2:$AR$7,2,FALSE)))</f>
        <v/>
      </c>
      <c r="N813" s="6" t="n"/>
      <c r="O813" s="24">
        <f>IF(ROUNDUP(W813/20,0)&gt;ROUNDUP(W812/20,0),"TN Ø25 (Lần " &amp; ROUNDUP(W813/20,0) &amp; ")","")</f>
        <v/>
      </c>
      <c r="P813" s="20">
        <f>ROUND(P812+IF(AND(E813&lt;=10,F813&lt;&gt;"ASTM A416"),L813,0),3)</f>
        <v/>
      </c>
      <c r="Q813" s="20">
        <f>ROUND(Q812+IF(AND(E813=12,F813&lt;&gt;"ASTM A416"),L813,0),3)</f>
        <v/>
      </c>
      <c r="R813" s="20">
        <f>ROUND(R812+IF(AND(E813=14,F813&lt;&gt;"ASTM A416"),L813,0),3)</f>
        <v/>
      </c>
      <c r="S813" s="20">
        <f>ROUND(S812+IF(AND(E813=16,F813&lt;&gt;"ASTM A416"),L813,0),3)</f>
        <v/>
      </c>
      <c r="T813" s="20">
        <f>ROUND(T812+IF(AND(E813=18,F813&lt;&gt;"ASTM A416"),L813,0),3)</f>
        <v/>
      </c>
      <c r="U813" s="20">
        <f>ROUND(U812+IF(AND(E813=20,F813&lt;&gt;"ASTM A416"),L813,0),3)</f>
        <v/>
      </c>
      <c r="V813" s="20">
        <f>ROUND(V812+IF(AND(E813=22,F813&lt;&gt;"ASTM A416"),L813,0),3)</f>
        <v/>
      </c>
      <c r="W813" s="20">
        <f>ROUND(W812+IF(AND(E813=25,F813&lt;&gt;"ASTM A416"),L813,0),3)</f>
        <v/>
      </c>
      <c r="X813" s="20">
        <f>ROUND(X812+IF(AND(E813=28,F813&lt;&gt;"ASTM A416"),L813,0),3)</f>
        <v/>
      </c>
      <c r="Y813" s="20">
        <f>ROUND(Y812+IF(AND(E813=32,F813&lt;&gt;"ASTM A416"),L813,0),3)</f>
        <v/>
      </c>
      <c r="Z813" s="20">
        <f>ROUND(Z812+IF(F813="ASTM A416",L813,0),3)</f>
        <v/>
      </c>
      <c r="AA813" s="11">
        <f>IF(ROUNDUP(P813/20,0)&gt;ROUNDUP(P812/20,0),"Lần " &amp; ROUNDUP(P813/20,0),"")</f>
        <v/>
      </c>
      <c r="AB813" s="11">
        <f>IF(ROUNDUP(Q813/20,0)&gt;ROUNDUP(Q812/20,0),"Lần " &amp; ROUNDUP(Q813/20,0),"")</f>
        <v/>
      </c>
      <c r="AC813" s="11">
        <f>IF(ROUNDUP(R813/20,0)&gt;ROUNDUP(R812/20,0),"Lần " &amp; ROUNDUP(R813/20,0),"")</f>
        <v/>
      </c>
      <c r="AD813" s="11">
        <f>IF(ROUNDUP(S813/20,0)&gt;ROUNDUP(S812/20,0),"Lần " &amp; ROUNDUP(S813/20,0),"")</f>
        <v/>
      </c>
      <c r="AE813" s="11">
        <f>IF(ROUNDUP(T813/20,0)&gt;ROUNDUP(T812/20,0),"Lần " &amp; ROUNDUP(T813/20,0),"")</f>
        <v/>
      </c>
      <c r="AF813" s="11">
        <f>IF(ROUNDUP(U813/20,0)&gt;ROUNDUP(U812/20,0),"Lần " &amp; ROUNDUP(U813/20,0),"")</f>
        <v/>
      </c>
      <c r="AG813" s="11">
        <f>IF(ROUNDUP(V813/20,0)&gt;ROUNDUP(V812/20,0),"Lần " &amp; ROUNDUP(V813/20,0),"")</f>
        <v/>
      </c>
      <c r="AH813" s="11">
        <f>IF(ROUNDUP(W813/20,0)&gt;ROUNDUP(W812/20,0),"Lần " &amp; ROUNDUP(W813/20,0),"")</f>
        <v/>
      </c>
      <c r="AI813" s="11">
        <f>IF(ROUNDUP(X813/20,0)&gt;ROUNDUP(X812/20,0),"Lần " &amp; ROUNDUP(X813/20,0),"")</f>
        <v/>
      </c>
      <c r="AJ813" s="11">
        <f>IF(ROUNDUP(Y813/20,0)&gt;ROUNDUP(Y812/20,0),"Lần " &amp; ROUNDUP(Y813/20,0),"")</f>
        <v/>
      </c>
      <c r="AK813" s="11">
        <f>IF(ROUNDUP(Z813/20,0)&gt;ROUNDUP(Z812/20,0),"Lần " &amp; ROUNDUP(Z813/20,0),"")</f>
        <v/>
      </c>
      <c r="AL813" s="6" t="n"/>
      <c r="AN813" t="inlineStr">
        <is>
          <t>Coc</t>
        </is>
      </c>
      <c r="AO813" t="n">
        <v>29</v>
      </c>
    </row>
    <row r="814" ht="19" customHeight="1">
      <c r="A814" s="6" t="n">
        <v>772</v>
      </c>
      <c r="B814" s="7" t="inlineStr">
        <is>
          <t>Cọc khoan nhồi C7 Mố M2 (D1.2m, L=36.0m)</t>
        </is>
      </c>
      <c r="C814" s="7" t="inlineStr">
        <is>
          <t>Cọc mố M2 L=36m (tr.66)</t>
        </is>
      </c>
      <c r="D814" s="18" t="inlineStr">
        <is>
          <t>P3</t>
        </is>
      </c>
      <c r="E814" s="19" t="n">
        <v>28</v>
      </c>
      <c r="F814" s="6" t="inlineStr">
        <is>
          <t>CB400-V</t>
        </is>
      </c>
      <c r="G814" s="7" t="inlineStr"/>
      <c r="H814" s="20" t="n">
        <v>10.7</v>
      </c>
      <c r="I814" s="21" t="n">
        <v>12</v>
      </c>
      <c r="J814" s="22" t="n">
        <v>4.834</v>
      </c>
      <c r="K814" s="9">
        <f>ROUND(H814*I814*J814, 2)</f>
        <v/>
      </c>
      <c r="L814" s="23">
        <f>ROUND(K814/1000, 3)</f>
        <v/>
      </c>
      <c r="M814" s="8">
        <f>IF(AO814="","",IF(INDEX(Theo_Doi_Tan_Suat_Be_Tong!$C:$C,AO814)="","",INDEX(Theo_Doi_Tan_Suat_Be_Tong!$C:$C,AO814)-VLOOKUP(AN814,$AQ$2:$AR$7,2,FALSE)))</f>
        <v/>
      </c>
      <c r="N814" s="6" t="n"/>
      <c r="O814" s="24">
        <f>IF(ROUNDUP(X814/20,0)&gt;ROUNDUP(X813/20,0),"TN Ø28 (Lần " &amp; ROUNDUP(X814/20,0) &amp; ")","")</f>
        <v/>
      </c>
      <c r="P814" s="20">
        <f>ROUND(P813+IF(AND(E814&lt;=10,F814&lt;&gt;"ASTM A416"),L814,0),3)</f>
        <v/>
      </c>
      <c r="Q814" s="20">
        <f>ROUND(Q813+IF(AND(E814=12,F814&lt;&gt;"ASTM A416"),L814,0),3)</f>
        <v/>
      </c>
      <c r="R814" s="20">
        <f>ROUND(R813+IF(AND(E814=14,F814&lt;&gt;"ASTM A416"),L814,0),3)</f>
        <v/>
      </c>
      <c r="S814" s="20">
        <f>ROUND(S813+IF(AND(E814=16,F814&lt;&gt;"ASTM A416"),L814,0),3)</f>
        <v/>
      </c>
      <c r="T814" s="20">
        <f>ROUND(T813+IF(AND(E814=18,F814&lt;&gt;"ASTM A416"),L814,0),3)</f>
        <v/>
      </c>
      <c r="U814" s="20">
        <f>ROUND(U813+IF(AND(E814=20,F814&lt;&gt;"ASTM A416"),L814,0),3)</f>
        <v/>
      </c>
      <c r="V814" s="20">
        <f>ROUND(V813+IF(AND(E814=22,F814&lt;&gt;"ASTM A416"),L814,0),3)</f>
        <v/>
      </c>
      <c r="W814" s="20">
        <f>ROUND(W813+IF(AND(E814=25,F814&lt;&gt;"ASTM A416"),L814,0),3)</f>
        <v/>
      </c>
      <c r="X814" s="20">
        <f>ROUND(X813+IF(AND(E814=28,F814&lt;&gt;"ASTM A416"),L814,0),3)</f>
        <v/>
      </c>
      <c r="Y814" s="20">
        <f>ROUND(Y813+IF(AND(E814=32,F814&lt;&gt;"ASTM A416"),L814,0),3)</f>
        <v/>
      </c>
      <c r="Z814" s="20">
        <f>ROUND(Z813+IF(F814="ASTM A416",L814,0),3)</f>
        <v/>
      </c>
      <c r="AA814" s="11">
        <f>IF(ROUNDUP(P814/20,0)&gt;ROUNDUP(P813/20,0),"Lần " &amp; ROUNDUP(P814/20,0),"")</f>
        <v/>
      </c>
      <c r="AB814" s="11">
        <f>IF(ROUNDUP(Q814/20,0)&gt;ROUNDUP(Q813/20,0),"Lần " &amp; ROUNDUP(Q814/20,0),"")</f>
        <v/>
      </c>
      <c r="AC814" s="11">
        <f>IF(ROUNDUP(R814/20,0)&gt;ROUNDUP(R813/20,0),"Lần " &amp; ROUNDUP(R814/20,0),"")</f>
        <v/>
      </c>
      <c r="AD814" s="11">
        <f>IF(ROUNDUP(S814/20,0)&gt;ROUNDUP(S813/20,0),"Lần " &amp; ROUNDUP(S814/20,0),"")</f>
        <v/>
      </c>
      <c r="AE814" s="11">
        <f>IF(ROUNDUP(T814/20,0)&gt;ROUNDUP(T813/20,0),"Lần " &amp; ROUNDUP(T814/20,0),"")</f>
        <v/>
      </c>
      <c r="AF814" s="11">
        <f>IF(ROUNDUP(U814/20,0)&gt;ROUNDUP(U813/20,0),"Lần " &amp; ROUNDUP(U814/20,0),"")</f>
        <v/>
      </c>
      <c r="AG814" s="11">
        <f>IF(ROUNDUP(V814/20,0)&gt;ROUNDUP(V813/20,0),"Lần " &amp; ROUNDUP(V814/20,0),"")</f>
        <v/>
      </c>
      <c r="AH814" s="11">
        <f>IF(ROUNDUP(W814/20,0)&gt;ROUNDUP(W813/20,0),"Lần " &amp; ROUNDUP(W814/20,0),"")</f>
        <v/>
      </c>
      <c r="AI814" s="11">
        <f>IF(ROUNDUP(X814/20,0)&gt;ROUNDUP(X813/20,0),"Lần " &amp; ROUNDUP(X814/20,0),"")</f>
        <v/>
      </c>
      <c r="AJ814" s="11">
        <f>IF(ROUNDUP(Y814/20,0)&gt;ROUNDUP(Y813/20,0),"Lần " &amp; ROUNDUP(Y814/20,0),"")</f>
        <v/>
      </c>
      <c r="AK814" s="11">
        <f>IF(ROUNDUP(Z814/20,0)&gt;ROUNDUP(Z813/20,0),"Lần " &amp; ROUNDUP(Z814/20,0),"")</f>
        <v/>
      </c>
      <c r="AL814" s="6" t="n"/>
      <c r="AN814" t="inlineStr">
        <is>
          <t>Coc</t>
        </is>
      </c>
      <c r="AO814" t="n">
        <v>29</v>
      </c>
    </row>
    <row r="815" ht="19" customHeight="1">
      <c r="A815" s="6" t="n">
        <v>773</v>
      </c>
      <c r="B815" s="7" t="inlineStr">
        <is>
          <t>Cọc khoan nhồi C7 Mố M2 (D1.2m, L=36.0m)</t>
        </is>
      </c>
      <c r="C815" s="7" t="inlineStr">
        <is>
          <t>Cọc mố M2 L=36m (tr.66)</t>
        </is>
      </c>
      <c r="D815" s="18" t="inlineStr">
        <is>
          <t>P4</t>
        </is>
      </c>
      <c r="E815" s="19" t="n">
        <v>28</v>
      </c>
      <c r="F815" s="6" t="inlineStr">
        <is>
          <t>CB400-V</t>
        </is>
      </c>
      <c r="G815" s="7" t="inlineStr"/>
      <c r="H815" s="20" t="n">
        <v>11.7</v>
      </c>
      <c r="I815" s="21" t="n">
        <v>12</v>
      </c>
      <c r="J815" s="22" t="n">
        <v>4.834</v>
      </c>
      <c r="K815" s="9">
        <f>ROUND(H815*I815*J815, 2)</f>
        <v/>
      </c>
      <c r="L815" s="23">
        <f>ROUND(K815/1000, 3)</f>
        <v/>
      </c>
      <c r="M815" s="8">
        <f>IF(AO815="","",IF(INDEX(Theo_Doi_Tan_Suat_Be_Tong!$C:$C,AO815)="","",INDEX(Theo_Doi_Tan_Suat_Be_Tong!$C:$C,AO815)-VLOOKUP(AN815,$AQ$2:$AR$7,2,FALSE)))</f>
        <v/>
      </c>
      <c r="N815" s="6" t="n"/>
      <c r="O815" s="24">
        <f>IF(ROUNDUP(X815/20,0)&gt;ROUNDUP(X814/20,0),"TN Ø28 (Lần " &amp; ROUNDUP(X815/20,0) &amp; ")","")</f>
        <v/>
      </c>
      <c r="P815" s="20">
        <f>ROUND(P814+IF(AND(E815&lt;=10,F815&lt;&gt;"ASTM A416"),L815,0),3)</f>
        <v/>
      </c>
      <c r="Q815" s="20">
        <f>ROUND(Q814+IF(AND(E815=12,F815&lt;&gt;"ASTM A416"),L815,0),3)</f>
        <v/>
      </c>
      <c r="R815" s="20">
        <f>ROUND(R814+IF(AND(E815=14,F815&lt;&gt;"ASTM A416"),L815,0),3)</f>
        <v/>
      </c>
      <c r="S815" s="20">
        <f>ROUND(S814+IF(AND(E815=16,F815&lt;&gt;"ASTM A416"),L815,0),3)</f>
        <v/>
      </c>
      <c r="T815" s="20">
        <f>ROUND(T814+IF(AND(E815=18,F815&lt;&gt;"ASTM A416"),L815,0),3)</f>
        <v/>
      </c>
      <c r="U815" s="20">
        <f>ROUND(U814+IF(AND(E815=20,F815&lt;&gt;"ASTM A416"),L815,0),3)</f>
        <v/>
      </c>
      <c r="V815" s="20">
        <f>ROUND(V814+IF(AND(E815=22,F815&lt;&gt;"ASTM A416"),L815,0),3)</f>
        <v/>
      </c>
      <c r="W815" s="20">
        <f>ROUND(W814+IF(AND(E815=25,F815&lt;&gt;"ASTM A416"),L815,0),3)</f>
        <v/>
      </c>
      <c r="X815" s="20">
        <f>ROUND(X814+IF(AND(E815=28,F815&lt;&gt;"ASTM A416"),L815,0),3)</f>
        <v/>
      </c>
      <c r="Y815" s="20">
        <f>ROUND(Y814+IF(AND(E815=32,F815&lt;&gt;"ASTM A416"),L815,0),3)</f>
        <v/>
      </c>
      <c r="Z815" s="20">
        <f>ROUND(Z814+IF(F815="ASTM A416",L815,0),3)</f>
        <v/>
      </c>
      <c r="AA815" s="11">
        <f>IF(ROUNDUP(P815/20,0)&gt;ROUNDUP(P814/20,0),"Lần " &amp; ROUNDUP(P815/20,0),"")</f>
        <v/>
      </c>
      <c r="AB815" s="11">
        <f>IF(ROUNDUP(Q815/20,0)&gt;ROUNDUP(Q814/20,0),"Lần " &amp; ROUNDUP(Q815/20,0),"")</f>
        <v/>
      </c>
      <c r="AC815" s="11">
        <f>IF(ROUNDUP(R815/20,0)&gt;ROUNDUP(R814/20,0),"Lần " &amp; ROUNDUP(R815/20,0),"")</f>
        <v/>
      </c>
      <c r="AD815" s="11">
        <f>IF(ROUNDUP(S815/20,0)&gt;ROUNDUP(S814/20,0),"Lần " &amp; ROUNDUP(S815/20,0),"")</f>
        <v/>
      </c>
      <c r="AE815" s="11">
        <f>IF(ROUNDUP(T815/20,0)&gt;ROUNDUP(T814/20,0),"Lần " &amp; ROUNDUP(T815/20,0),"")</f>
        <v/>
      </c>
      <c r="AF815" s="11">
        <f>IF(ROUNDUP(U815/20,0)&gt;ROUNDUP(U814/20,0),"Lần " &amp; ROUNDUP(U815/20,0),"")</f>
        <v/>
      </c>
      <c r="AG815" s="11">
        <f>IF(ROUNDUP(V815/20,0)&gt;ROUNDUP(V814/20,0),"Lần " &amp; ROUNDUP(V815/20,0),"")</f>
        <v/>
      </c>
      <c r="AH815" s="11">
        <f>IF(ROUNDUP(W815/20,0)&gt;ROUNDUP(W814/20,0),"Lần " &amp; ROUNDUP(W815/20,0),"")</f>
        <v/>
      </c>
      <c r="AI815" s="11">
        <f>IF(ROUNDUP(X815/20,0)&gt;ROUNDUP(X814/20,0),"Lần " &amp; ROUNDUP(X815/20,0),"")</f>
        <v/>
      </c>
      <c r="AJ815" s="11">
        <f>IF(ROUNDUP(Y815/20,0)&gt;ROUNDUP(Y814/20,0),"Lần " &amp; ROUNDUP(Y815/20,0),"")</f>
        <v/>
      </c>
      <c r="AK815" s="11">
        <f>IF(ROUNDUP(Z815/20,0)&gt;ROUNDUP(Z814/20,0),"Lần " &amp; ROUNDUP(Z815/20,0),"")</f>
        <v/>
      </c>
      <c r="AL815" s="6" t="n"/>
      <c r="AN815" t="inlineStr">
        <is>
          <t>Coc</t>
        </is>
      </c>
      <c r="AO815" t="n">
        <v>29</v>
      </c>
    </row>
    <row r="816" ht="19" customHeight="1">
      <c r="A816" s="6" t="n">
        <v>774</v>
      </c>
      <c r="B816" s="7" t="inlineStr">
        <is>
          <t>Cọc khoan nhồi C7 Mố M2 (D1.2m, L=36.0m)</t>
        </is>
      </c>
      <c r="C816" s="7" t="inlineStr">
        <is>
          <t>Cọc mố M2 L=36m (tr.66)</t>
        </is>
      </c>
      <c r="D816" s="18" t="inlineStr">
        <is>
          <t>P5</t>
        </is>
      </c>
      <c r="E816" s="19" t="n">
        <v>25</v>
      </c>
      <c r="F816" s="6" t="inlineStr">
        <is>
          <t>CB400-V</t>
        </is>
      </c>
      <c r="G816" s="7" t="inlineStr"/>
      <c r="H816" s="20" t="n">
        <v>11.7</v>
      </c>
      <c r="I816" s="21" t="n">
        <v>48</v>
      </c>
      <c r="J816" s="22" t="n">
        <v>3.853</v>
      </c>
      <c r="K816" s="9">
        <f>ROUND(H816*I816*J816, 2)</f>
        <v/>
      </c>
      <c r="L816" s="23">
        <f>ROUND(K816/1000, 3)</f>
        <v/>
      </c>
      <c r="M816" s="8">
        <f>IF(AO816="","",IF(INDEX(Theo_Doi_Tan_Suat_Be_Tong!$C:$C,AO816)="","",INDEX(Theo_Doi_Tan_Suat_Be_Tong!$C:$C,AO816)-VLOOKUP(AN816,$AQ$2:$AR$7,2,FALSE)))</f>
        <v/>
      </c>
      <c r="N816" s="6" t="n"/>
      <c r="O816" s="24">
        <f>IF(ROUNDUP(W816/20,0)&gt;ROUNDUP(W815/20,0),"TN Ø25 (Lần " &amp; ROUNDUP(W816/20,0) &amp; ")","")</f>
        <v/>
      </c>
      <c r="P816" s="20">
        <f>ROUND(P815+IF(AND(E816&lt;=10,F816&lt;&gt;"ASTM A416"),L816,0),3)</f>
        <v/>
      </c>
      <c r="Q816" s="20">
        <f>ROUND(Q815+IF(AND(E816=12,F816&lt;&gt;"ASTM A416"),L816,0),3)</f>
        <v/>
      </c>
      <c r="R816" s="20">
        <f>ROUND(R815+IF(AND(E816=14,F816&lt;&gt;"ASTM A416"),L816,0),3)</f>
        <v/>
      </c>
      <c r="S816" s="20">
        <f>ROUND(S815+IF(AND(E816=16,F816&lt;&gt;"ASTM A416"),L816,0),3)</f>
        <v/>
      </c>
      <c r="T816" s="20">
        <f>ROUND(T815+IF(AND(E816=18,F816&lt;&gt;"ASTM A416"),L816,0),3)</f>
        <v/>
      </c>
      <c r="U816" s="20">
        <f>ROUND(U815+IF(AND(E816=20,F816&lt;&gt;"ASTM A416"),L816,0),3)</f>
        <v/>
      </c>
      <c r="V816" s="20">
        <f>ROUND(V815+IF(AND(E816=22,F816&lt;&gt;"ASTM A416"),L816,0),3)</f>
        <v/>
      </c>
      <c r="W816" s="20">
        <f>ROUND(W815+IF(AND(E816=25,F816&lt;&gt;"ASTM A416"),L816,0),3)</f>
        <v/>
      </c>
      <c r="X816" s="20">
        <f>ROUND(X815+IF(AND(E816=28,F816&lt;&gt;"ASTM A416"),L816,0),3)</f>
        <v/>
      </c>
      <c r="Y816" s="20">
        <f>ROUND(Y815+IF(AND(E816=32,F816&lt;&gt;"ASTM A416"),L816,0),3)</f>
        <v/>
      </c>
      <c r="Z816" s="20">
        <f>ROUND(Z815+IF(F816="ASTM A416",L816,0),3)</f>
        <v/>
      </c>
      <c r="AA816" s="11">
        <f>IF(ROUNDUP(P816/20,0)&gt;ROUNDUP(P815/20,0),"Lần " &amp; ROUNDUP(P816/20,0),"")</f>
        <v/>
      </c>
      <c r="AB816" s="11">
        <f>IF(ROUNDUP(Q816/20,0)&gt;ROUNDUP(Q815/20,0),"Lần " &amp; ROUNDUP(Q816/20,0),"")</f>
        <v/>
      </c>
      <c r="AC816" s="11">
        <f>IF(ROUNDUP(R816/20,0)&gt;ROUNDUP(R815/20,0),"Lần " &amp; ROUNDUP(R816/20,0),"")</f>
        <v/>
      </c>
      <c r="AD816" s="11">
        <f>IF(ROUNDUP(S816/20,0)&gt;ROUNDUP(S815/20,0),"Lần " &amp; ROUNDUP(S816/20,0),"")</f>
        <v/>
      </c>
      <c r="AE816" s="11">
        <f>IF(ROUNDUP(T816/20,0)&gt;ROUNDUP(T815/20,0),"Lần " &amp; ROUNDUP(T816/20,0),"")</f>
        <v/>
      </c>
      <c r="AF816" s="11">
        <f>IF(ROUNDUP(U816/20,0)&gt;ROUNDUP(U815/20,0),"Lần " &amp; ROUNDUP(U816/20,0),"")</f>
        <v/>
      </c>
      <c r="AG816" s="11">
        <f>IF(ROUNDUP(V816/20,0)&gt;ROUNDUP(V815/20,0),"Lần " &amp; ROUNDUP(V816/20,0),"")</f>
        <v/>
      </c>
      <c r="AH816" s="11">
        <f>IF(ROUNDUP(W816/20,0)&gt;ROUNDUP(W815/20,0),"Lần " &amp; ROUNDUP(W816/20,0),"")</f>
        <v/>
      </c>
      <c r="AI816" s="11">
        <f>IF(ROUNDUP(X816/20,0)&gt;ROUNDUP(X815/20,0),"Lần " &amp; ROUNDUP(X816/20,0),"")</f>
        <v/>
      </c>
      <c r="AJ816" s="11">
        <f>IF(ROUNDUP(Y816/20,0)&gt;ROUNDUP(Y815/20,0),"Lần " &amp; ROUNDUP(Y816/20,0),"")</f>
        <v/>
      </c>
      <c r="AK816" s="11">
        <f>IF(ROUNDUP(Z816/20,0)&gt;ROUNDUP(Z815/20,0),"Lần " &amp; ROUNDUP(Z816/20,0),"")</f>
        <v/>
      </c>
      <c r="AL816" s="6" t="n"/>
      <c r="AN816" t="inlineStr">
        <is>
          <t>Coc</t>
        </is>
      </c>
      <c r="AO816" t="n">
        <v>29</v>
      </c>
    </row>
    <row r="817" ht="19" customHeight="1">
      <c r="A817" s="6" t="n">
        <v>775</v>
      </c>
      <c r="B817" s="7" t="inlineStr">
        <is>
          <t>Cọc khoan nhồi C7 Mố M2 (D1.2m, L=36.0m)</t>
        </is>
      </c>
      <c r="C817" s="7" t="inlineStr">
        <is>
          <t>Cọc mố M2 L=36m (tr.66)</t>
        </is>
      </c>
      <c r="D817" s="18" t="inlineStr">
        <is>
          <t>P6</t>
        </is>
      </c>
      <c r="E817" s="19" t="n">
        <v>25</v>
      </c>
      <c r="F817" s="6" t="inlineStr">
        <is>
          <t>CB400-V</t>
        </is>
      </c>
      <c r="G817" s="7" t="inlineStr"/>
      <c r="H817" s="20" t="n">
        <v>5.153</v>
      </c>
      <c r="I817" s="21" t="n">
        <v>12</v>
      </c>
      <c r="J817" s="22" t="n">
        <v>3.853</v>
      </c>
      <c r="K817" s="9">
        <f>ROUND(H817*I817*J817, 2)</f>
        <v/>
      </c>
      <c r="L817" s="23">
        <f>ROUND(K817/1000, 3)</f>
        <v/>
      </c>
      <c r="M817" s="8">
        <f>IF(AO817="","",IF(INDEX(Theo_Doi_Tan_Suat_Be_Tong!$C:$C,AO817)="","",INDEX(Theo_Doi_Tan_Suat_Be_Tong!$C:$C,AO817)-VLOOKUP(AN817,$AQ$2:$AR$7,2,FALSE)))</f>
        <v/>
      </c>
      <c r="N817" s="6" t="n"/>
      <c r="O817" s="24">
        <f>IF(ROUNDUP(W817/20,0)&gt;ROUNDUP(W816/20,0),"TN Ø25 (Lần " &amp; ROUNDUP(W817/20,0) &amp; ")","")</f>
        <v/>
      </c>
      <c r="P817" s="20">
        <f>ROUND(P816+IF(AND(E817&lt;=10,F817&lt;&gt;"ASTM A416"),L817,0),3)</f>
        <v/>
      </c>
      <c r="Q817" s="20">
        <f>ROUND(Q816+IF(AND(E817=12,F817&lt;&gt;"ASTM A416"),L817,0),3)</f>
        <v/>
      </c>
      <c r="R817" s="20">
        <f>ROUND(R816+IF(AND(E817=14,F817&lt;&gt;"ASTM A416"),L817,0),3)</f>
        <v/>
      </c>
      <c r="S817" s="20">
        <f>ROUND(S816+IF(AND(E817=16,F817&lt;&gt;"ASTM A416"),L817,0),3)</f>
        <v/>
      </c>
      <c r="T817" s="20">
        <f>ROUND(T816+IF(AND(E817=18,F817&lt;&gt;"ASTM A416"),L817,0),3)</f>
        <v/>
      </c>
      <c r="U817" s="20">
        <f>ROUND(U816+IF(AND(E817=20,F817&lt;&gt;"ASTM A416"),L817,0),3)</f>
        <v/>
      </c>
      <c r="V817" s="20">
        <f>ROUND(V816+IF(AND(E817=22,F817&lt;&gt;"ASTM A416"),L817,0),3)</f>
        <v/>
      </c>
      <c r="W817" s="20">
        <f>ROUND(W816+IF(AND(E817=25,F817&lt;&gt;"ASTM A416"),L817,0),3)</f>
        <v/>
      </c>
      <c r="X817" s="20">
        <f>ROUND(X816+IF(AND(E817=28,F817&lt;&gt;"ASTM A416"),L817,0),3)</f>
        <v/>
      </c>
      <c r="Y817" s="20">
        <f>ROUND(Y816+IF(AND(E817=32,F817&lt;&gt;"ASTM A416"),L817,0),3)</f>
        <v/>
      </c>
      <c r="Z817" s="20">
        <f>ROUND(Z816+IF(F817="ASTM A416",L817,0),3)</f>
        <v/>
      </c>
      <c r="AA817" s="11">
        <f>IF(ROUNDUP(P817/20,0)&gt;ROUNDUP(P816/20,0),"Lần " &amp; ROUNDUP(P817/20,0),"")</f>
        <v/>
      </c>
      <c r="AB817" s="11">
        <f>IF(ROUNDUP(Q817/20,0)&gt;ROUNDUP(Q816/20,0),"Lần " &amp; ROUNDUP(Q817/20,0),"")</f>
        <v/>
      </c>
      <c r="AC817" s="11">
        <f>IF(ROUNDUP(R817/20,0)&gt;ROUNDUP(R816/20,0),"Lần " &amp; ROUNDUP(R817/20,0),"")</f>
        <v/>
      </c>
      <c r="AD817" s="11">
        <f>IF(ROUNDUP(S817/20,0)&gt;ROUNDUP(S816/20,0),"Lần " &amp; ROUNDUP(S817/20,0),"")</f>
        <v/>
      </c>
      <c r="AE817" s="11">
        <f>IF(ROUNDUP(T817/20,0)&gt;ROUNDUP(T816/20,0),"Lần " &amp; ROUNDUP(T817/20,0),"")</f>
        <v/>
      </c>
      <c r="AF817" s="11">
        <f>IF(ROUNDUP(U817/20,0)&gt;ROUNDUP(U816/20,0),"Lần " &amp; ROUNDUP(U817/20,0),"")</f>
        <v/>
      </c>
      <c r="AG817" s="11">
        <f>IF(ROUNDUP(V817/20,0)&gt;ROUNDUP(V816/20,0),"Lần " &amp; ROUNDUP(V817/20,0),"")</f>
        <v/>
      </c>
      <c r="AH817" s="11">
        <f>IF(ROUNDUP(W817/20,0)&gt;ROUNDUP(W816/20,0),"Lần " &amp; ROUNDUP(W817/20,0),"")</f>
        <v/>
      </c>
      <c r="AI817" s="11">
        <f>IF(ROUNDUP(X817/20,0)&gt;ROUNDUP(X816/20,0),"Lần " &amp; ROUNDUP(X817/20,0),"")</f>
        <v/>
      </c>
      <c r="AJ817" s="11">
        <f>IF(ROUNDUP(Y817/20,0)&gt;ROUNDUP(Y816/20,0),"Lần " &amp; ROUNDUP(Y817/20,0),"")</f>
        <v/>
      </c>
      <c r="AK817" s="11">
        <f>IF(ROUNDUP(Z817/20,0)&gt;ROUNDUP(Z816/20,0),"Lần " &amp; ROUNDUP(Z817/20,0),"")</f>
        <v/>
      </c>
      <c r="AL817" s="6" t="n"/>
      <c r="AN817" t="inlineStr">
        <is>
          <t>Coc</t>
        </is>
      </c>
      <c r="AO817" t="n">
        <v>29</v>
      </c>
    </row>
    <row r="818" ht="19" customHeight="1">
      <c r="A818" s="6" t="n">
        <v>776</v>
      </c>
      <c r="B818" s="7" t="inlineStr">
        <is>
          <t>Cọc khoan nhồi C7 Mố M2 (D1.2m, L=36.0m)</t>
        </is>
      </c>
      <c r="C818" s="7" t="inlineStr">
        <is>
          <t>Cọc mố M2 L=36m (tr.66)</t>
        </is>
      </c>
      <c r="D818" s="18" t="inlineStr">
        <is>
          <t>P7</t>
        </is>
      </c>
      <c r="E818" s="19" t="n">
        <v>25</v>
      </c>
      <c r="F818" s="6" t="inlineStr">
        <is>
          <t>CB400-V</t>
        </is>
      </c>
      <c r="G818" s="7" t="inlineStr"/>
      <c r="H818" s="20" t="n">
        <v>6.153</v>
      </c>
      <c r="I818" s="21" t="n">
        <v>12</v>
      </c>
      <c r="J818" s="22" t="n">
        <v>3.853</v>
      </c>
      <c r="K818" s="9">
        <f>ROUND(H818*I818*J818, 2)</f>
        <v/>
      </c>
      <c r="L818" s="23">
        <f>ROUND(K818/1000, 3)</f>
        <v/>
      </c>
      <c r="M818" s="8">
        <f>IF(AO818="","",IF(INDEX(Theo_Doi_Tan_Suat_Be_Tong!$C:$C,AO818)="","",INDEX(Theo_Doi_Tan_Suat_Be_Tong!$C:$C,AO818)-VLOOKUP(AN818,$AQ$2:$AR$7,2,FALSE)))</f>
        <v/>
      </c>
      <c r="N818" s="6" t="n"/>
      <c r="O818" s="24">
        <f>IF(ROUNDUP(W818/20,0)&gt;ROUNDUP(W817/20,0),"TN Ø25 (Lần " &amp; ROUNDUP(W818/20,0) &amp; ")","")</f>
        <v/>
      </c>
      <c r="P818" s="20">
        <f>ROUND(P817+IF(AND(E818&lt;=10,F818&lt;&gt;"ASTM A416"),L818,0),3)</f>
        <v/>
      </c>
      <c r="Q818" s="20">
        <f>ROUND(Q817+IF(AND(E818=12,F818&lt;&gt;"ASTM A416"),L818,0),3)</f>
        <v/>
      </c>
      <c r="R818" s="20">
        <f>ROUND(R817+IF(AND(E818=14,F818&lt;&gt;"ASTM A416"),L818,0),3)</f>
        <v/>
      </c>
      <c r="S818" s="20">
        <f>ROUND(S817+IF(AND(E818=16,F818&lt;&gt;"ASTM A416"),L818,0),3)</f>
        <v/>
      </c>
      <c r="T818" s="20">
        <f>ROUND(T817+IF(AND(E818=18,F818&lt;&gt;"ASTM A416"),L818,0),3)</f>
        <v/>
      </c>
      <c r="U818" s="20">
        <f>ROUND(U817+IF(AND(E818=20,F818&lt;&gt;"ASTM A416"),L818,0),3)</f>
        <v/>
      </c>
      <c r="V818" s="20">
        <f>ROUND(V817+IF(AND(E818=22,F818&lt;&gt;"ASTM A416"),L818,0),3)</f>
        <v/>
      </c>
      <c r="W818" s="20">
        <f>ROUND(W817+IF(AND(E818=25,F818&lt;&gt;"ASTM A416"),L818,0),3)</f>
        <v/>
      </c>
      <c r="X818" s="20">
        <f>ROUND(X817+IF(AND(E818=28,F818&lt;&gt;"ASTM A416"),L818,0),3)</f>
        <v/>
      </c>
      <c r="Y818" s="20">
        <f>ROUND(Y817+IF(AND(E818=32,F818&lt;&gt;"ASTM A416"),L818,0),3)</f>
        <v/>
      </c>
      <c r="Z818" s="20">
        <f>ROUND(Z817+IF(F818="ASTM A416",L818,0),3)</f>
        <v/>
      </c>
      <c r="AA818" s="11">
        <f>IF(ROUNDUP(P818/20,0)&gt;ROUNDUP(P817/20,0),"Lần " &amp; ROUNDUP(P818/20,0),"")</f>
        <v/>
      </c>
      <c r="AB818" s="11">
        <f>IF(ROUNDUP(Q818/20,0)&gt;ROUNDUP(Q817/20,0),"Lần " &amp; ROUNDUP(Q818/20,0),"")</f>
        <v/>
      </c>
      <c r="AC818" s="11">
        <f>IF(ROUNDUP(R818/20,0)&gt;ROUNDUP(R817/20,0),"Lần " &amp; ROUNDUP(R818/20,0),"")</f>
        <v/>
      </c>
      <c r="AD818" s="11">
        <f>IF(ROUNDUP(S818/20,0)&gt;ROUNDUP(S817/20,0),"Lần " &amp; ROUNDUP(S818/20,0),"")</f>
        <v/>
      </c>
      <c r="AE818" s="11">
        <f>IF(ROUNDUP(T818/20,0)&gt;ROUNDUP(T817/20,0),"Lần " &amp; ROUNDUP(T818/20,0),"")</f>
        <v/>
      </c>
      <c r="AF818" s="11">
        <f>IF(ROUNDUP(U818/20,0)&gt;ROUNDUP(U817/20,0),"Lần " &amp; ROUNDUP(U818/20,0),"")</f>
        <v/>
      </c>
      <c r="AG818" s="11">
        <f>IF(ROUNDUP(V818/20,0)&gt;ROUNDUP(V817/20,0),"Lần " &amp; ROUNDUP(V818/20,0),"")</f>
        <v/>
      </c>
      <c r="AH818" s="11">
        <f>IF(ROUNDUP(W818/20,0)&gt;ROUNDUP(W817/20,0),"Lần " &amp; ROUNDUP(W818/20,0),"")</f>
        <v/>
      </c>
      <c r="AI818" s="11">
        <f>IF(ROUNDUP(X818/20,0)&gt;ROUNDUP(X817/20,0),"Lần " &amp; ROUNDUP(X818/20,0),"")</f>
        <v/>
      </c>
      <c r="AJ818" s="11">
        <f>IF(ROUNDUP(Y818/20,0)&gt;ROUNDUP(Y817/20,0),"Lần " &amp; ROUNDUP(Y818/20,0),"")</f>
        <v/>
      </c>
      <c r="AK818" s="11">
        <f>IF(ROUNDUP(Z818/20,0)&gt;ROUNDUP(Z817/20,0),"Lần " &amp; ROUNDUP(Z818/20,0),"")</f>
        <v/>
      </c>
      <c r="AL818" s="6" t="n"/>
      <c r="AN818" t="inlineStr">
        <is>
          <t>Coc</t>
        </is>
      </c>
      <c r="AO818" t="n">
        <v>29</v>
      </c>
    </row>
    <row r="819" ht="19" customHeight="1">
      <c r="A819" s="6" t="n">
        <v>777</v>
      </c>
      <c r="B819" s="7" t="inlineStr">
        <is>
          <t>Cọc khoan nhồi C7 Mố M2 (D1.2m, L=36.0m)</t>
        </is>
      </c>
      <c r="C819" s="7" t="inlineStr">
        <is>
          <t>Cọc mố M2 L=36m (tr.66)</t>
        </is>
      </c>
      <c r="D819" s="18" t="inlineStr">
        <is>
          <t>P8</t>
        </is>
      </c>
      <c r="E819" s="19" t="n">
        <v>12</v>
      </c>
      <c r="F819" s="6" t="inlineStr">
        <is>
          <t>CB400-V</t>
        </is>
      </c>
      <c r="G819" s="7" t="inlineStr"/>
      <c r="H819" s="20" t="n">
        <v>0.647</v>
      </c>
      <c r="I819" s="21" t="n">
        <v>15</v>
      </c>
      <c r="J819" s="22" t="n">
        <v>0.888</v>
      </c>
      <c r="K819" s="9">
        <f>ROUND(H819*I819*J819, 2)</f>
        <v/>
      </c>
      <c r="L819" s="23">
        <f>ROUND(K819/1000, 3)</f>
        <v/>
      </c>
      <c r="M819" s="8">
        <f>IF(AO819="","",IF(INDEX(Theo_Doi_Tan_Suat_Be_Tong!$C:$C,AO819)="","",INDEX(Theo_Doi_Tan_Suat_Be_Tong!$C:$C,AO819)-VLOOKUP(AN819,$AQ$2:$AR$7,2,FALSE)))</f>
        <v/>
      </c>
      <c r="N819" s="6" t="n"/>
      <c r="O819" s="24">
        <f>IF(ROUNDUP(Q819/20,0)&gt;ROUNDUP(Q818/20,0),"TN Ø12 (Lần " &amp; ROUNDUP(Q819/20,0) &amp; ")","")</f>
        <v/>
      </c>
      <c r="P819" s="20">
        <f>ROUND(P818+IF(AND(E819&lt;=10,F819&lt;&gt;"ASTM A416"),L819,0),3)</f>
        <v/>
      </c>
      <c r="Q819" s="20">
        <f>ROUND(Q818+IF(AND(E819=12,F819&lt;&gt;"ASTM A416"),L819,0),3)</f>
        <v/>
      </c>
      <c r="R819" s="20">
        <f>ROUND(R818+IF(AND(E819=14,F819&lt;&gt;"ASTM A416"),L819,0),3)</f>
        <v/>
      </c>
      <c r="S819" s="20">
        <f>ROUND(S818+IF(AND(E819=16,F819&lt;&gt;"ASTM A416"),L819,0),3)</f>
        <v/>
      </c>
      <c r="T819" s="20">
        <f>ROUND(T818+IF(AND(E819=18,F819&lt;&gt;"ASTM A416"),L819,0),3)</f>
        <v/>
      </c>
      <c r="U819" s="20">
        <f>ROUND(U818+IF(AND(E819=20,F819&lt;&gt;"ASTM A416"),L819,0),3)</f>
        <v/>
      </c>
      <c r="V819" s="20">
        <f>ROUND(V818+IF(AND(E819=22,F819&lt;&gt;"ASTM A416"),L819,0),3)</f>
        <v/>
      </c>
      <c r="W819" s="20">
        <f>ROUND(W818+IF(AND(E819=25,F819&lt;&gt;"ASTM A416"),L819,0),3)</f>
        <v/>
      </c>
      <c r="X819" s="20">
        <f>ROUND(X818+IF(AND(E819=28,F819&lt;&gt;"ASTM A416"),L819,0),3)</f>
        <v/>
      </c>
      <c r="Y819" s="20">
        <f>ROUND(Y818+IF(AND(E819=32,F819&lt;&gt;"ASTM A416"),L819,0),3)</f>
        <v/>
      </c>
      <c r="Z819" s="20">
        <f>ROUND(Z818+IF(F819="ASTM A416",L819,0),3)</f>
        <v/>
      </c>
      <c r="AA819" s="11">
        <f>IF(ROUNDUP(P819/20,0)&gt;ROUNDUP(P818/20,0),"Lần " &amp; ROUNDUP(P819/20,0),"")</f>
        <v/>
      </c>
      <c r="AB819" s="11">
        <f>IF(ROUNDUP(Q819/20,0)&gt;ROUNDUP(Q818/20,0),"Lần " &amp; ROUNDUP(Q819/20,0),"")</f>
        <v/>
      </c>
      <c r="AC819" s="11">
        <f>IF(ROUNDUP(R819/20,0)&gt;ROUNDUP(R818/20,0),"Lần " &amp; ROUNDUP(R819/20,0),"")</f>
        <v/>
      </c>
      <c r="AD819" s="11">
        <f>IF(ROUNDUP(S819/20,0)&gt;ROUNDUP(S818/20,0),"Lần " &amp; ROUNDUP(S819/20,0),"")</f>
        <v/>
      </c>
      <c r="AE819" s="11">
        <f>IF(ROUNDUP(T819/20,0)&gt;ROUNDUP(T818/20,0),"Lần " &amp; ROUNDUP(T819/20,0),"")</f>
        <v/>
      </c>
      <c r="AF819" s="11">
        <f>IF(ROUNDUP(U819/20,0)&gt;ROUNDUP(U818/20,0),"Lần " &amp; ROUNDUP(U819/20,0),"")</f>
        <v/>
      </c>
      <c r="AG819" s="11">
        <f>IF(ROUNDUP(V819/20,0)&gt;ROUNDUP(V818/20,0),"Lần " &amp; ROUNDUP(V819/20,0),"")</f>
        <v/>
      </c>
      <c r="AH819" s="11">
        <f>IF(ROUNDUP(W819/20,0)&gt;ROUNDUP(W818/20,0),"Lần " &amp; ROUNDUP(W819/20,0),"")</f>
        <v/>
      </c>
      <c r="AI819" s="11">
        <f>IF(ROUNDUP(X819/20,0)&gt;ROUNDUP(X818/20,0),"Lần " &amp; ROUNDUP(X819/20,0),"")</f>
        <v/>
      </c>
      <c r="AJ819" s="11">
        <f>IF(ROUNDUP(Y819/20,0)&gt;ROUNDUP(Y818/20,0),"Lần " &amp; ROUNDUP(Y819/20,0),"")</f>
        <v/>
      </c>
      <c r="AK819" s="11">
        <f>IF(ROUNDUP(Z819/20,0)&gt;ROUNDUP(Z818/20,0),"Lần " &amp; ROUNDUP(Z819/20,0),"")</f>
        <v/>
      </c>
      <c r="AL819" s="6" t="n"/>
      <c r="AN819" t="inlineStr">
        <is>
          <t>Coc</t>
        </is>
      </c>
      <c r="AO819" t="n">
        <v>29</v>
      </c>
    </row>
    <row r="820" ht="19" customHeight="1">
      <c r="A820" s="6" t="n">
        <v>778</v>
      </c>
      <c r="B820" s="7" t="inlineStr">
        <is>
          <t>Cọc khoan nhồi C7 Mố M2 (D1.2m, L=36.0m)</t>
        </is>
      </c>
      <c r="C820" s="7" t="inlineStr">
        <is>
          <t>Cọc mố M2 L=36m (tr.66)</t>
        </is>
      </c>
      <c r="D820" s="18" t="inlineStr">
        <is>
          <t>P9</t>
        </is>
      </c>
      <c r="E820" s="19" t="n">
        <v>12</v>
      </c>
      <c r="F820" s="6" t="inlineStr">
        <is>
          <t>CB400-V</t>
        </is>
      </c>
      <c r="G820" s="7" t="inlineStr"/>
      <c r="H820" s="20" t="n">
        <v>0.379</v>
      </c>
      <c r="I820" s="21" t="n">
        <v>45</v>
      </c>
      <c r="J820" s="22" t="n">
        <v>0.888</v>
      </c>
      <c r="K820" s="9">
        <f>ROUND(H820*I820*J820, 2)</f>
        <v/>
      </c>
      <c r="L820" s="23">
        <f>ROUND(K820/1000, 3)</f>
        <v/>
      </c>
      <c r="M820" s="8">
        <f>IF(AO820="","",IF(INDEX(Theo_Doi_Tan_Suat_Be_Tong!$C:$C,AO820)="","",INDEX(Theo_Doi_Tan_Suat_Be_Tong!$C:$C,AO820)-VLOOKUP(AN820,$AQ$2:$AR$7,2,FALSE)))</f>
        <v/>
      </c>
      <c r="N820" s="6" t="n"/>
      <c r="O820" s="24">
        <f>IF(ROUNDUP(Q820/20,0)&gt;ROUNDUP(Q819/20,0),"TN Ø12 (Lần " &amp; ROUNDUP(Q820/20,0) &amp; ")","")</f>
        <v/>
      </c>
      <c r="P820" s="20">
        <f>ROUND(P819+IF(AND(E820&lt;=10,F820&lt;&gt;"ASTM A416"),L820,0),3)</f>
        <v/>
      </c>
      <c r="Q820" s="20">
        <f>ROUND(Q819+IF(AND(E820=12,F820&lt;&gt;"ASTM A416"),L820,0),3)</f>
        <v/>
      </c>
      <c r="R820" s="20">
        <f>ROUND(R819+IF(AND(E820=14,F820&lt;&gt;"ASTM A416"),L820,0),3)</f>
        <v/>
      </c>
      <c r="S820" s="20">
        <f>ROUND(S819+IF(AND(E820=16,F820&lt;&gt;"ASTM A416"),L820,0),3)</f>
        <v/>
      </c>
      <c r="T820" s="20">
        <f>ROUND(T819+IF(AND(E820=18,F820&lt;&gt;"ASTM A416"),L820,0),3)</f>
        <v/>
      </c>
      <c r="U820" s="20">
        <f>ROUND(U819+IF(AND(E820=20,F820&lt;&gt;"ASTM A416"),L820,0),3)</f>
        <v/>
      </c>
      <c r="V820" s="20">
        <f>ROUND(V819+IF(AND(E820=22,F820&lt;&gt;"ASTM A416"),L820,0),3)</f>
        <v/>
      </c>
      <c r="W820" s="20">
        <f>ROUND(W819+IF(AND(E820=25,F820&lt;&gt;"ASTM A416"),L820,0),3)</f>
        <v/>
      </c>
      <c r="X820" s="20">
        <f>ROUND(X819+IF(AND(E820=28,F820&lt;&gt;"ASTM A416"),L820,0),3)</f>
        <v/>
      </c>
      <c r="Y820" s="20">
        <f>ROUND(Y819+IF(AND(E820=32,F820&lt;&gt;"ASTM A416"),L820,0),3)</f>
        <v/>
      </c>
      <c r="Z820" s="20">
        <f>ROUND(Z819+IF(F820="ASTM A416",L820,0),3)</f>
        <v/>
      </c>
      <c r="AA820" s="11">
        <f>IF(ROUNDUP(P820/20,0)&gt;ROUNDUP(P819/20,0),"Lần " &amp; ROUNDUP(P820/20,0),"")</f>
        <v/>
      </c>
      <c r="AB820" s="11">
        <f>IF(ROUNDUP(Q820/20,0)&gt;ROUNDUP(Q819/20,0),"Lần " &amp; ROUNDUP(Q820/20,0),"")</f>
        <v/>
      </c>
      <c r="AC820" s="11">
        <f>IF(ROUNDUP(R820/20,0)&gt;ROUNDUP(R819/20,0),"Lần " &amp; ROUNDUP(R820/20,0),"")</f>
        <v/>
      </c>
      <c r="AD820" s="11">
        <f>IF(ROUNDUP(S820/20,0)&gt;ROUNDUP(S819/20,0),"Lần " &amp; ROUNDUP(S820/20,0),"")</f>
        <v/>
      </c>
      <c r="AE820" s="11">
        <f>IF(ROUNDUP(T820/20,0)&gt;ROUNDUP(T819/20,0),"Lần " &amp; ROUNDUP(T820/20,0),"")</f>
        <v/>
      </c>
      <c r="AF820" s="11">
        <f>IF(ROUNDUP(U820/20,0)&gt;ROUNDUP(U819/20,0),"Lần " &amp; ROUNDUP(U820/20,0),"")</f>
        <v/>
      </c>
      <c r="AG820" s="11">
        <f>IF(ROUNDUP(V820/20,0)&gt;ROUNDUP(V819/20,0),"Lần " &amp; ROUNDUP(V820/20,0),"")</f>
        <v/>
      </c>
      <c r="AH820" s="11">
        <f>IF(ROUNDUP(W820/20,0)&gt;ROUNDUP(W819/20,0),"Lần " &amp; ROUNDUP(W820/20,0),"")</f>
        <v/>
      </c>
      <c r="AI820" s="11">
        <f>IF(ROUNDUP(X820/20,0)&gt;ROUNDUP(X819/20,0),"Lần " &amp; ROUNDUP(X820/20,0),"")</f>
        <v/>
      </c>
      <c r="AJ820" s="11">
        <f>IF(ROUNDUP(Y820/20,0)&gt;ROUNDUP(Y819/20,0),"Lần " &amp; ROUNDUP(Y820/20,0),"")</f>
        <v/>
      </c>
      <c r="AK820" s="11">
        <f>IF(ROUNDUP(Z820/20,0)&gt;ROUNDUP(Z819/20,0),"Lần " &amp; ROUNDUP(Z820/20,0),"")</f>
        <v/>
      </c>
      <c r="AL820" s="6" t="n"/>
      <c r="AN820" t="inlineStr">
        <is>
          <t>Coc</t>
        </is>
      </c>
      <c r="AO820" t="n">
        <v>29</v>
      </c>
    </row>
    <row r="821" ht="19" customHeight="1">
      <c r="A821" s="6" t="n">
        <v>779</v>
      </c>
      <c r="B821" s="7" t="inlineStr">
        <is>
          <t>Cọc khoan nhồi C7 Mố M2 (D1.2m, L=36.0m)</t>
        </is>
      </c>
      <c r="C821" s="7" t="inlineStr">
        <is>
          <t>Cọc mố M2 L=36m (tr.66)</t>
        </is>
      </c>
      <c r="D821" s="18" t="inlineStr">
        <is>
          <t>P10</t>
        </is>
      </c>
      <c r="E821" s="19" t="n">
        <v>20</v>
      </c>
      <c r="F821" s="6" t="inlineStr">
        <is>
          <t>CB400-V</t>
        </is>
      </c>
      <c r="G821" s="7" t="inlineStr"/>
      <c r="H821" s="20" t="n">
        <v>2.057</v>
      </c>
      <c r="I821" s="21" t="n">
        <v>1</v>
      </c>
      <c r="J821" s="22" t="n">
        <v>2.466</v>
      </c>
      <c r="K821" s="9">
        <f>ROUND(H821*I821*J821, 2)</f>
        <v/>
      </c>
      <c r="L821" s="23">
        <f>ROUND(K821/1000, 3)</f>
        <v/>
      </c>
      <c r="M821" s="8">
        <f>IF(AO821="","",IF(INDEX(Theo_Doi_Tan_Suat_Be_Tong!$C:$C,AO821)="","",INDEX(Theo_Doi_Tan_Suat_Be_Tong!$C:$C,AO821)-VLOOKUP(AN821,$AQ$2:$AR$7,2,FALSE)))</f>
        <v/>
      </c>
      <c r="N821" s="6" t="n"/>
      <c r="O821" s="24">
        <f>IF(ROUNDUP(U821/20,0)&gt;ROUNDUP(U820/20,0),"TN Ø20 (Lần " &amp; ROUNDUP(U821/20,0) &amp; ")","")</f>
        <v/>
      </c>
      <c r="P821" s="20">
        <f>ROUND(P820+IF(AND(E821&lt;=10,F821&lt;&gt;"ASTM A416"),L821,0),3)</f>
        <v/>
      </c>
      <c r="Q821" s="20">
        <f>ROUND(Q820+IF(AND(E821=12,F821&lt;&gt;"ASTM A416"),L821,0),3)</f>
        <v/>
      </c>
      <c r="R821" s="20">
        <f>ROUND(R820+IF(AND(E821=14,F821&lt;&gt;"ASTM A416"),L821,0),3)</f>
        <v/>
      </c>
      <c r="S821" s="20">
        <f>ROUND(S820+IF(AND(E821=16,F821&lt;&gt;"ASTM A416"),L821,0),3)</f>
        <v/>
      </c>
      <c r="T821" s="20">
        <f>ROUND(T820+IF(AND(E821=18,F821&lt;&gt;"ASTM A416"),L821,0),3)</f>
        <v/>
      </c>
      <c r="U821" s="20">
        <f>ROUND(U820+IF(AND(E821=20,F821&lt;&gt;"ASTM A416"),L821,0),3)</f>
        <v/>
      </c>
      <c r="V821" s="20">
        <f>ROUND(V820+IF(AND(E821=22,F821&lt;&gt;"ASTM A416"),L821,0),3)</f>
        <v/>
      </c>
      <c r="W821" s="20">
        <f>ROUND(W820+IF(AND(E821=25,F821&lt;&gt;"ASTM A416"),L821,0),3)</f>
        <v/>
      </c>
      <c r="X821" s="20">
        <f>ROUND(X820+IF(AND(E821=28,F821&lt;&gt;"ASTM A416"),L821,0),3)</f>
        <v/>
      </c>
      <c r="Y821" s="20">
        <f>ROUND(Y820+IF(AND(E821=32,F821&lt;&gt;"ASTM A416"),L821,0),3)</f>
        <v/>
      </c>
      <c r="Z821" s="20">
        <f>ROUND(Z820+IF(F821="ASTM A416",L821,0),3)</f>
        <v/>
      </c>
      <c r="AA821" s="11">
        <f>IF(ROUNDUP(P821/20,0)&gt;ROUNDUP(P820/20,0),"Lần " &amp; ROUNDUP(P821/20,0),"")</f>
        <v/>
      </c>
      <c r="AB821" s="11">
        <f>IF(ROUNDUP(Q821/20,0)&gt;ROUNDUP(Q820/20,0),"Lần " &amp; ROUNDUP(Q821/20,0),"")</f>
        <v/>
      </c>
      <c r="AC821" s="11">
        <f>IF(ROUNDUP(R821/20,0)&gt;ROUNDUP(R820/20,0),"Lần " &amp; ROUNDUP(R821/20,0),"")</f>
        <v/>
      </c>
      <c r="AD821" s="11">
        <f>IF(ROUNDUP(S821/20,0)&gt;ROUNDUP(S820/20,0),"Lần " &amp; ROUNDUP(S821/20,0),"")</f>
        <v/>
      </c>
      <c r="AE821" s="11">
        <f>IF(ROUNDUP(T821/20,0)&gt;ROUNDUP(T820/20,0),"Lần " &amp; ROUNDUP(T821/20,0),"")</f>
        <v/>
      </c>
      <c r="AF821" s="11">
        <f>IF(ROUNDUP(U821/20,0)&gt;ROUNDUP(U820/20,0),"Lần " &amp; ROUNDUP(U821/20,0),"")</f>
        <v/>
      </c>
      <c r="AG821" s="11">
        <f>IF(ROUNDUP(V821/20,0)&gt;ROUNDUP(V820/20,0),"Lần " &amp; ROUNDUP(V821/20,0),"")</f>
        <v/>
      </c>
      <c r="AH821" s="11">
        <f>IF(ROUNDUP(W821/20,0)&gt;ROUNDUP(W820/20,0),"Lần " &amp; ROUNDUP(W821/20,0),"")</f>
        <v/>
      </c>
      <c r="AI821" s="11">
        <f>IF(ROUNDUP(X821/20,0)&gt;ROUNDUP(X820/20,0),"Lần " &amp; ROUNDUP(X821/20,0),"")</f>
        <v/>
      </c>
      <c r="AJ821" s="11">
        <f>IF(ROUNDUP(Y821/20,0)&gt;ROUNDUP(Y820/20,0),"Lần " &amp; ROUNDUP(Y821/20,0),"")</f>
        <v/>
      </c>
      <c r="AK821" s="11">
        <f>IF(ROUNDUP(Z821/20,0)&gt;ROUNDUP(Z820/20,0),"Lần " &amp; ROUNDUP(Z821/20,0),"")</f>
        <v/>
      </c>
      <c r="AL821" s="6" t="n"/>
      <c r="AN821" t="inlineStr">
        <is>
          <t>Coc</t>
        </is>
      </c>
      <c r="AO821" t="n">
        <v>29</v>
      </c>
    </row>
    <row r="822" ht="19" customHeight="1">
      <c r="A822" s="6" t="n">
        <v>780</v>
      </c>
      <c r="B822" s="7" t="inlineStr">
        <is>
          <t>Cọc khoan nhồi C7 Mố M2 (D1.2m, L=36.0m)</t>
        </is>
      </c>
      <c r="C822" s="7" t="inlineStr">
        <is>
          <t>Cọc mố M2 L=36m (tr.66)</t>
        </is>
      </c>
      <c r="D822" s="18" t="inlineStr">
        <is>
          <t>P12</t>
        </is>
      </c>
      <c r="E822" s="19" t="n">
        <v>20</v>
      </c>
      <c r="F822" s="6" t="inlineStr">
        <is>
          <t>CB400-V</t>
        </is>
      </c>
      <c r="G822" s="7" t="inlineStr"/>
      <c r="H822" s="20" t="n">
        <v>0.583</v>
      </c>
      <c r="I822" s="21" t="n">
        <v>60</v>
      </c>
      <c r="J822" s="22" t="n">
        <v>2.466</v>
      </c>
      <c r="K822" s="9">
        <f>ROUND(H822*I822*J822, 2)</f>
        <v/>
      </c>
      <c r="L822" s="23">
        <f>ROUND(K822/1000, 3)</f>
        <v/>
      </c>
      <c r="M822" s="8">
        <f>IF(AO822="","",IF(INDEX(Theo_Doi_Tan_Suat_Be_Tong!$C:$C,AO822)="","",INDEX(Theo_Doi_Tan_Suat_Be_Tong!$C:$C,AO822)-VLOOKUP(AN822,$AQ$2:$AR$7,2,FALSE)))</f>
        <v/>
      </c>
      <c r="N822" s="6" t="n"/>
      <c r="O822" s="24">
        <f>IF(ROUNDUP(U822/20,0)&gt;ROUNDUP(U821/20,0),"TN Ø20 (Lần " &amp; ROUNDUP(U822/20,0) &amp; ")","")</f>
        <v/>
      </c>
      <c r="P822" s="20">
        <f>ROUND(P821+IF(AND(E822&lt;=10,F822&lt;&gt;"ASTM A416"),L822,0),3)</f>
        <v/>
      </c>
      <c r="Q822" s="20">
        <f>ROUND(Q821+IF(AND(E822=12,F822&lt;&gt;"ASTM A416"),L822,0),3)</f>
        <v/>
      </c>
      <c r="R822" s="20">
        <f>ROUND(R821+IF(AND(E822=14,F822&lt;&gt;"ASTM A416"),L822,0),3)</f>
        <v/>
      </c>
      <c r="S822" s="20">
        <f>ROUND(S821+IF(AND(E822=16,F822&lt;&gt;"ASTM A416"),L822,0),3)</f>
        <v/>
      </c>
      <c r="T822" s="20">
        <f>ROUND(T821+IF(AND(E822=18,F822&lt;&gt;"ASTM A416"),L822,0),3)</f>
        <v/>
      </c>
      <c r="U822" s="20">
        <f>ROUND(U821+IF(AND(E822=20,F822&lt;&gt;"ASTM A416"),L822,0),3)</f>
        <v/>
      </c>
      <c r="V822" s="20">
        <f>ROUND(V821+IF(AND(E822=22,F822&lt;&gt;"ASTM A416"),L822,0),3)</f>
        <v/>
      </c>
      <c r="W822" s="20">
        <f>ROUND(W821+IF(AND(E822=25,F822&lt;&gt;"ASTM A416"),L822,0),3)</f>
        <v/>
      </c>
      <c r="X822" s="20">
        <f>ROUND(X821+IF(AND(E822=28,F822&lt;&gt;"ASTM A416"),L822,0),3)</f>
        <v/>
      </c>
      <c r="Y822" s="20">
        <f>ROUND(Y821+IF(AND(E822=32,F822&lt;&gt;"ASTM A416"),L822,0),3)</f>
        <v/>
      </c>
      <c r="Z822" s="20">
        <f>ROUND(Z821+IF(F822="ASTM A416",L822,0),3)</f>
        <v/>
      </c>
      <c r="AA822" s="11">
        <f>IF(ROUNDUP(P822/20,0)&gt;ROUNDUP(P821/20,0),"Lần " &amp; ROUNDUP(P822/20,0),"")</f>
        <v/>
      </c>
      <c r="AB822" s="11">
        <f>IF(ROUNDUP(Q822/20,0)&gt;ROUNDUP(Q821/20,0),"Lần " &amp; ROUNDUP(Q822/20,0),"")</f>
        <v/>
      </c>
      <c r="AC822" s="11">
        <f>IF(ROUNDUP(R822/20,0)&gt;ROUNDUP(R821/20,0),"Lần " &amp; ROUNDUP(R822/20,0),"")</f>
        <v/>
      </c>
      <c r="AD822" s="11">
        <f>IF(ROUNDUP(S822/20,0)&gt;ROUNDUP(S821/20,0),"Lần " &amp; ROUNDUP(S822/20,0),"")</f>
        <v/>
      </c>
      <c r="AE822" s="11">
        <f>IF(ROUNDUP(T822/20,0)&gt;ROUNDUP(T821/20,0),"Lần " &amp; ROUNDUP(T822/20,0),"")</f>
        <v/>
      </c>
      <c r="AF822" s="11">
        <f>IF(ROUNDUP(U822/20,0)&gt;ROUNDUP(U821/20,0),"Lần " &amp; ROUNDUP(U822/20,0),"")</f>
        <v/>
      </c>
      <c r="AG822" s="11">
        <f>IF(ROUNDUP(V822/20,0)&gt;ROUNDUP(V821/20,0),"Lần " &amp; ROUNDUP(V822/20,0),"")</f>
        <v/>
      </c>
      <c r="AH822" s="11">
        <f>IF(ROUNDUP(W822/20,0)&gt;ROUNDUP(W821/20,0),"Lần " &amp; ROUNDUP(W822/20,0),"")</f>
        <v/>
      </c>
      <c r="AI822" s="11">
        <f>IF(ROUNDUP(X822/20,0)&gt;ROUNDUP(X821/20,0),"Lần " &amp; ROUNDUP(X822/20,0),"")</f>
        <v/>
      </c>
      <c r="AJ822" s="11">
        <f>IF(ROUNDUP(Y822/20,0)&gt;ROUNDUP(Y821/20,0),"Lần " &amp; ROUNDUP(Y822/20,0),"")</f>
        <v/>
      </c>
      <c r="AK822" s="11">
        <f>IF(ROUNDUP(Z822/20,0)&gt;ROUNDUP(Z821/20,0),"Lần " &amp; ROUNDUP(Z822/20,0),"")</f>
        <v/>
      </c>
      <c r="AL822" s="6" t="n"/>
      <c r="AN822" t="inlineStr">
        <is>
          <t>Coc</t>
        </is>
      </c>
      <c r="AO822" t="n">
        <v>29</v>
      </c>
    </row>
    <row r="823" ht="19" customHeight="1">
      <c r="A823" s="6" t="n">
        <v>781</v>
      </c>
      <c r="B823" s="7" t="inlineStr">
        <is>
          <t>Cọc khoan nhồi C7 Mố M2 (D1.2m, L=36.0m)</t>
        </is>
      </c>
      <c r="C823" s="7" t="inlineStr">
        <is>
          <t>Cọc mố M2 L=36m (tr.66)</t>
        </is>
      </c>
      <c r="D823" s="18" t="inlineStr">
        <is>
          <t>P11</t>
        </is>
      </c>
      <c r="E823" s="19" t="n">
        <v>16</v>
      </c>
      <c r="F823" s="6" t="inlineStr">
        <is>
          <t>CB400-V</t>
        </is>
      </c>
      <c r="G823" s="7" t="inlineStr"/>
      <c r="H823" s="20" t="n">
        <v>2.484</v>
      </c>
      <c r="I823" s="21" t="n">
        <v>4</v>
      </c>
      <c r="J823" s="22" t="n">
        <v>1.578</v>
      </c>
      <c r="K823" s="9">
        <f>ROUND(H823*I823*J823, 2)</f>
        <v/>
      </c>
      <c r="L823" s="23">
        <f>ROUND(K823/1000, 3)</f>
        <v/>
      </c>
      <c r="M823" s="8">
        <f>IF(AO823="","",IF(INDEX(Theo_Doi_Tan_Suat_Be_Tong!$C:$C,AO823)="","",INDEX(Theo_Doi_Tan_Suat_Be_Tong!$C:$C,AO823)-VLOOKUP(AN823,$AQ$2:$AR$7,2,FALSE)))</f>
        <v/>
      </c>
      <c r="N823" s="6" t="n"/>
      <c r="O823" s="24">
        <f>IF(ROUNDUP(S823/20,0)&gt;ROUNDUP(S822/20,0),"TN Ø16 (Lần " &amp; ROUNDUP(S823/20,0) &amp; ")","")</f>
        <v/>
      </c>
      <c r="P823" s="20">
        <f>ROUND(P822+IF(AND(E823&lt;=10,F823&lt;&gt;"ASTM A416"),L823,0),3)</f>
        <v/>
      </c>
      <c r="Q823" s="20">
        <f>ROUND(Q822+IF(AND(E823=12,F823&lt;&gt;"ASTM A416"),L823,0),3)</f>
        <v/>
      </c>
      <c r="R823" s="20">
        <f>ROUND(R822+IF(AND(E823=14,F823&lt;&gt;"ASTM A416"),L823,0),3)</f>
        <v/>
      </c>
      <c r="S823" s="20">
        <f>ROUND(S822+IF(AND(E823=16,F823&lt;&gt;"ASTM A416"),L823,0),3)</f>
        <v/>
      </c>
      <c r="T823" s="20">
        <f>ROUND(T822+IF(AND(E823=18,F823&lt;&gt;"ASTM A416"),L823,0),3)</f>
        <v/>
      </c>
      <c r="U823" s="20">
        <f>ROUND(U822+IF(AND(E823=20,F823&lt;&gt;"ASTM A416"),L823,0),3)</f>
        <v/>
      </c>
      <c r="V823" s="20">
        <f>ROUND(V822+IF(AND(E823=22,F823&lt;&gt;"ASTM A416"),L823,0),3)</f>
        <v/>
      </c>
      <c r="W823" s="20">
        <f>ROUND(W822+IF(AND(E823=25,F823&lt;&gt;"ASTM A416"),L823,0),3)</f>
        <v/>
      </c>
      <c r="X823" s="20">
        <f>ROUND(X822+IF(AND(E823=28,F823&lt;&gt;"ASTM A416"),L823,0),3)</f>
        <v/>
      </c>
      <c r="Y823" s="20">
        <f>ROUND(Y822+IF(AND(E823=32,F823&lt;&gt;"ASTM A416"),L823,0),3)</f>
        <v/>
      </c>
      <c r="Z823" s="20">
        <f>ROUND(Z822+IF(F823="ASTM A416",L823,0),3)</f>
        <v/>
      </c>
      <c r="AA823" s="11">
        <f>IF(ROUNDUP(P823/20,0)&gt;ROUNDUP(P822/20,0),"Lần " &amp; ROUNDUP(P823/20,0),"")</f>
        <v/>
      </c>
      <c r="AB823" s="11">
        <f>IF(ROUNDUP(Q823/20,0)&gt;ROUNDUP(Q822/20,0),"Lần " &amp; ROUNDUP(Q823/20,0),"")</f>
        <v/>
      </c>
      <c r="AC823" s="11">
        <f>IF(ROUNDUP(R823/20,0)&gt;ROUNDUP(R822/20,0),"Lần " &amp; ROUNDUP(R823/20,0),"")</f>
        <v/>
      </c>
      <c r="AD823" s="11">
        <f>IF(ROUNDUP(S823/20,0)&gt;ROUNDUP(S822/20,0),"Lần " &amp; ROUNDUP(S823/20,0),"")</f>
        <v/>
      </c>
      <c r="AE823" s="11">
        <f>IF(ROUNDUP(T823/20,0)&gt;ROUNDUP(T822/20,0),"Lần " &amp; ROUNDUP(T823/20,0),"")</f>
        <v/>
      </c>
      <c r="AF823" s="11">
        <f>IF(ROUNDUP(U823/20,0)&gt;ROUNDUP(U822/20,0),"Lần " &amp; ROUNDUP(U823/20,0),"")</f>
        <v/>
      </c>
      <c r="AG823" s="11">
        <f>IF(ROUNDUP(V823/20,0)&gt;ROUNDUP(V822/20,0),"Lần " &amp; ROUNDUP(V823/20,0),"")</f>
        <v/>
      </c>
      <c r="AH823" s="11">
        <f>IF(ROUNDUP(W823/20,0)&gt;ROUNDUP(W822/20,0),"Lần " &amp; ROUNDUP(W823/20,0),"")</f>
        <v/>
      </c>
      <c r="AI823" s="11">
        <f>IF(ROUNDUP(X823/20,0)&gt;ROUNDUP(X822/20,0),"Lần " &amp; ROUNDUP(X823/20,0),"")</f>
        <v/>
      </c>
      <c r="AJ823" s="11">
        <f>IF(ROUNDUP(Y823/20,0)&gt;ROUNDUP(Y822/20,0),"Lần " &amp; ROUNDUP(Y823/20,0),"")</f>
        <v/>
      </c>
      <c r="AK823" s="11">
        <f>IF(ROUNDUP(Z823/20,0)&gt;ROUNDUP(Z822/20,0),"Lần " &amp; ROUNDUP(Z823/20,0),"")</f>
        <v/>
      </c>
      <c r="AL823" s="6" t="n"/>
      <c r="AN823" t="inlineStr">
        <is>
          <t>Coc</t>
        </is>
      </c>
      <c r="AO823" t="n">
        <v>29</v>
      </c>
    </row>
    <row r="824" ht="19" customHeight="1">
      <c r="A824" s="17" t="inlineStr">
        <is>
          <t>TỔNG CỘNG KHỐI LƯỢNG CỐT THÉP &amp; CÁP DƯL TOÀN BỘ CÔNG TRÌNH (theo BBS đã sửa theo bản vẽ)</t>
        </is>
      </c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>
        <f>SUM(K4:K823)</f>
        <v/>
      </c>
      <c r="L824" s="35">
        <f>SUM(L4:L823)</f>
        <v/>
      </c>
      <c r="M824" s="35" t="n"/>
      <c r="N824" s="35" t="n"/>
      <c r="O824" s="35" t="n"/>
      <c r="P824" s="35">
        <f>P823</f>
        <v/>
      </c>
      <c r="Q824" s="35">
        <f>Q823</f>
        <v/>
      </c>
      <c r="R824" s="35">
        <f>R823</f>
        <v/>
      </c>
      <c r="S824" s="35">
        <f>S823</f>
        <v/>
      </c>
      <c r="T824" s="35">
        <f>T823</f>
        <v/>
      </c>
      <c r="U824" s="35">
        <f>U823</f>
        <v/>
      </c>
      <c r="V824" s="35">
        <f>V823</f>
        <v/>
      </c>
      <c r="W824" s="35">
        <f>W823</f>
        <v/>
      </c>
      <c r="X824" s="35">
        <f>X823</f>
        <v/>
      </c>
      <c r="Y824" s="35">
        <f>Y823</f>
        <v/>
      </c>
      <c r="Z824" s="35">
        <f>Z823</f>
        <v/>
      </c>
      <c r="AA824" s="35">
        <f>"Tổng: " &amp; ROUNDUP(P823/20,0) &amp; " lần"</f>
        <v/>
      </c>
      <c r="AB824" s="35">
        <f>"Tổng: " &amp; ROUNDUP(Q823/20,0) &amp; " lần"</f>
        <v/>
      </c>
      <c r="AC824" s="35">
        <f>"Tổng: " &amp; ROUNDUP(R823/20,0) &amp; " lần"</f>
        <v/>
      </c>
      <c r="AD824" s="35">
        <f>"Tổng: " &amp; ROUNDUP(S823/20,0) &amp; " lần"</f>
        <v/>
      </c>
      <c r="AE824" s="35">
        <f>"Tổng: " &amp; ROUNDUP(T823/20,0) &amp; " lần"</f>
        <v/>
      </c>
      <c r="AF824" s="35">
        <f>"Tổng: " &amp; ROUNDUP(U823/20,0) &amp; " lần"</f>
        <v/>
      </c>
      <c r="AG824" s="35">
        <f>"Tổng: " &amp; ROUNDUP(V823/20,0) &amp; " lần"</f>
        <v/>
      </c>
      <c r="AH824" s="35">
        <f>"Tổng: " &amp; ROUNDUP(W823/20,0) &amp; " lần"</f>
        <v/>
      </c>
      <c r="AI824" s="35">
        <f>"Tổng: " &amp; ROUNDUP(X823/20,0) &amp; " lần"</f>
        <v/>
      </c>
      <c r="AJ824" s="35">
        <f>"Tổng: " &amp; ROUNDUP(Y823/20,0) &amp; " lần"</f>
        <v/>
      </c>
      <c r="AK824" s="35">
        <f>"Tổng: " &amp; ROUNDUP(Z823/20,0) &amp; " lần"</f>
        <v/>
      </c>
      <c r="AL824" s="34" t="n"/>
    </row>
    <row r="825" ht="19" customHeight="1"/>
    <row r="826" ht="19" customHeight="1"/>
    <row r="827" ht="19" customHeight="1"/>
    <row r="828" ht="20" customHeight="1"/>
    <row r="829" ht="19" customHeight="1"/>
    <row r="830" ht="19" customHeight="1"/>
    <row r="831" ht="26" customHeight="1"/>
  </sheetData>
  <mergeCells count="58">
    <mergeCell ref="A538:AL538"/>
    <mergeCell ref="A554:AL554"/>
    <mergeCell ref="A770:AL770"/>
    <mergeCell ref="A506:AL506"/>
    <mergeCell ref="C1:C2"/>
    <mergeCell ref="E1:E2"/>
    <mergeCell ref="K1:K2"/>
    <mergeCell ref="P1:Z1"/>
    <mergeCell ref="AA1:AK1"/>
    <mergeCell ref="A314:AL314"/>
    <mergeCell ref="M1:M2"/>
    <mergeCell ref="O1:O2"/>
    <mergeCell ref="A412:AL412"/>
    <mergeCell ref="A490:AL490"/>
    <mergeCell ref="A618:AL618"/>
    <mergeCell ref="A682:AL682"/>
    <mergeCell ref="A60:AL60"/>
    <mergeCell ref="A350:AL350"/>
    <mergeCell ref="A358:AL358"/>
    <mergeCell ref="A178:AL178"/>
    <mergeCell ref="A458:AL458"/>
    <mergeCell ref="B1:B2"/>
    <mergeCell ref="A146:AL146"/>
    <mergeCell ref="A162:AL162"/>
    <mergeCell ref="A570:AL570"/>
    <mergeCell ref="A806:AL806"/>
    <mergeCell ref="L1:L2"/>
    <mergeCell ref="A442:AL442"/>
    <mergeCell ref="N1:N2"/>
    <mergeCell ref="A427:AL427"/>
    <mergeCell ref="A345:AL345"/>
    <mergeCell ref="A221:AL221"/>
    <mergeCell ref="A634:AL634"/>
    <mergeCell ref="A366:AL366"/>
    <mergeCell ref="A752:AL752"/>
    <mergeCell ref="A397:AL397"/>
    <mergeCell ref="A522:AL522"/>
    <mergeCell ref="G1:G2"/>
    <mergeCell ref="A602:AL602"/>
    <mergeCell ref="A3:AL3"/>
    <mergeCell ref="I1:I2"/>
    <mergeCell ref="A698:AL698"/>
    <mergeCell ref="A474:AL474"/>
    <mergeCell ref="A393:AL393"/>
    <mergeCell ref="AL1:AL2"/>
    <mergeCell ref="A586:AL586"/>
    <mergeCell ref="A666:AL666"/>
    <mergeCell ref="A788:AL788"/>
    <mergeCell ref="A129:AL129"/>
    <mergeCell ref="A321:AL321"/>
    <mergeCell ref="A716:AL716"/>
    <mergeCell ref="A734:AL734"/>
    <mergeCell ref="D1:D2"/>
    <mergeCell ref="A650:AL650"/>
    <mergeCell ref="F1:F2"/>
    <mergeCell ref="H1:H2"/>
    <mergeCell ref="J1:J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6" customWidth="1" min="4" max="4"/>
    <col width="12" customWidth="1" min="5" max="5"/>
    <col width="22" customWidth="1" min="6" max="6"/>
    <col width="24" customWidth="1" min="7" max="7"/>
    <col width="36" customWidth="1" min="8" max="8"/>
    <col width="30" customWidth="1" min="9" max="9"/>
  </cols>
  <sheetData>
    <row r="1">
      <c r="A1" s="28" t="inlineStr">
        <is>
          <t>BẢNG TỔNG HỢP KẾ HOẠCH &amp; TẦN SUẤT THÍ NGHIỆM VẬT LIỆU ĐẦU VÀO TOÀN DỰ ÁN</t>
        </is>
      </c>
    </row>
    <row r="2">
      <c r="A2" s="29" t="inlineStr">
        <is>
          <t>Dự án: Cầu Km19+529.080 | Tiêu chuẩn: Luật Xây dựng 135/2025/QH15, NĐ 207/2026/NĐ-CP, TCVN 1651:2018, TCVN 4453:1995</t>
        </is>
      </c>
    </row>
    <row r="3"/>
    <row r="4" ht="28" customHeight="1">
      <c r="A4" s="1" t="inlineStr">
        <is>
          <t>STT</t>
        </is>
      </c>
      <c r="B4" s="1" t="inlineStr">
        <is>
          <t>DANH MỤC VẬT LIỆU / CÔNG VIỆC THÍ NGHIỆM</t>
        </is>
      </c>
      <c r="C4" s="1" t="inlineStr">
        <is>
          <t>TIÊU CHUẨN ÁP DỤNG</t>
        </is>
      </c>
      <c r="D4" s="1" t="inlineStr">
        <is>
          <t>QUY ĐỊNH TẦN SUẤT LẤY MẪU</t>
        </is>
      </c>
      <c r="E4" s="1" t="inlineStr">
        <is>
          <t>ĐƠN VỊ TÍNH</t>
        </is>
      </c>
      <c r="F4" s="1" t="inlineStr">
        <is>
          <t>TỔNG KHỐI LƯỢNG DỰ ÁN</t>
        </is>
      </c>
      <c r="G4" s="1" t="inlineStr">
        <is>
          <t>SỐ LẦN THÍ NGHIỆM DỰ KIẾN</t>
        </is>
      </c>
      <c r="H4" s="1" t="inlineStr">
        <is>
          <t>CHỈ TIÊU CƠ LÝ KIỂM TRA CHÍNH</t>
        </is>
      </c>
      <c r="I4" s="1" t="inlineStr">
        <is>
          <t>GHI CHÚ / QUY ĐỊNH PHÁP LÝ</t>
        </is>
      </c>
    </row>
    <row r="5" ht="22" customHeight="1">
      <c r="A5" s="4" t="inlineStr">
        <is>
          <t>I. NHÓM VẬT LIỆU ĐẦU VÀO BÊ TÔNG XI MĂNG</t>
        </is>
      </c>
      <c r="B5" s="35" t="n"/>
      <c r="C5" s="35" t="n"/>
      <c r="D5" s="35" t="n"/>
      <c r="E5" s="35" t="n"/>
      <c r="F5" s="35" t="n"/>
      <c r="G5" s="35" t="n"/>
      <c r="H5" s="35" t="n"/>
      <c r="I5" s="34" t="n"/>
    </row>
    <row r="6" ht="20" customHeight="1">
      <c r="A6" s="6" t="n">
        <v>1</v>
      </c>
      <c r="B6" s="30" t="inlineStr">
        <is>
          <t>Xi măng Poóc lăng hỗn hợp PCB40</t>
        </is>
      </c>
      <c r="C6" s="6" t="inlineStr">
        <is>
          <t>TCVN 6260:2020</t>
        </is>
      </c>
      <c r="D6" s="7" t="inlineStr">
        <is>
          <t>50 Tấn / lần lấy mẫu</t>
        </is>
      </c>
      <c r="E6" s="6" t="inlineStr">
        <is>
          <t>Tấn</t>
        </is>
      </c>
      <c r="F6" s="31">
        <f>Theo_Doi_Tan_Suat_Be_Tong!M87</f>
        <v/>
      </c>
      <c r="G6" s="11">
        <f>IF(F6="","",IF(F6=0,"1 lần",ROUNDUP(F6/50,0) &amp; " lần"))</f>
        <v/>
      </c>
      <c r="H6" s="7" t="inlineStr">
        <is>
          <t>Độ mịn, thời gian đông kết, giới hạn bền nén, độ ổn định thể tích</t>
        </is>
      </c>
      <c r="I6" s="7" t="inlineStr">
        <is>
          <t>TCVN 2682/6260, NĐ 207/2026</t>
        </is>
      </c>
    </row>
    <row r="7" ht="20" customHeight="1">
      <c r="A7" s="6" t="n">
        <v>2</v>
      </c>
      <c r="B7" s="30" t="inlineStr">
        <is>
          <t>Cát vàng đổ bê tông (Mô đun độ lớn Mk &gt;= 2.0)</t>
        </is>
      </c>
      <c r="C7" s="6" t="inlineStr">
        <is>
          <t>TCVN 7570:2006</t>
        </is>
      </c>
      <c r="D7" s="7" t="inlineStr">
        <is>
          <t>200 m3 / lần lấy mẫu</t>
        </is>
      </c>
      <c r="E7" s="6" t="inlineStr">
        <is>
          <t>m3</t>
        </is>
      </c>
      <c r="F7" s="31">
        <f>Theo_Doi_Tan_Suat_Be_Tong!N87</f>
        <v/>
      </c>
      <c r="G7" s="11">
        <f>IF(F7="","",IF(F7=0,"1 lần",ROUNDUP(F7/200,0) &amp; " lần"))</f>
        <v/>
      </c>
      <c r="H7" s="7" t="inlineStr">
        <is>
          <t>Thành phần hạt, hàm lượng bùn bụi sét, tạp chất hữu cơ, khối lượng thể tích</t>
        </is>
      </c>
      <c r="I7" s="7" t="inlineStr">
        <is>
          <t>TCVN 7570, Chỉ dẫn kỹ thuật</t>
        </is>
      </c>
    </row>
    <row r="8" ht="20" customHeight="1">
      <c r="A8" s="6" t="n">
        <v>3</v>
      </c>
      <c r="B8" s="30" t="inlineStr">
        <is>
          <t>Đá dăm bê tông (Đá 1x2 cho C30/C35/C45)</t>
        </is>
      </c>
      <c r="C8" s="6" t="inlineStr">
        <is>
          <t>TCVN 7570:2006</t>
        </is>
      </c>
      <c r="D8" s="7" t="inlineStr">
        <is>
          <t>350 m3 / lần lấy mẫu</t>
        </is>
      </c>
      <c r="E8" s="6" t="inlineStr">
        <is>
          <t>m3</t>
        </is>
      </c>
      <c r="F8" s="31">
        <f>Theo_Doi_Tan_Suat_Be_Tong!O87</f>
        <v/>
      </c>
      <c r="G8" s="11">
        <f>IF(F8="","",IF(F8=0,"1 lần",ROUNDUP(F8/350,0) &amp; " lần"))</f>
        <v/>
      </c>
      <c r="H8" s="7" t="inlineStr">
        <is>
          <t>Thành phần hạt, hàm lượng thoi dẹt, độ nén dập trong ống hình trụ, độ hút nước</t>
        </is>
      </c>
      <c r="I8" s="7" t="inlineStr">
        <is>
          <t>TCVN 7570, TCVN 1771</t>
        </is>
      </c>
    </row>
    <row r="9" ht="20" customHeight="1">
      <c r="A9" s="6" t="n">
        <v>4</v>
      </c>
      <c r="B9" s="30" t="inlineStr">
        <is>
          <t>Nước trộn bê tông</t>
        </is>
      </c>
      <c r="C9" s="6" t="inlineStr">
        <is>
          <t>TCVN 4506:2012</t>
        </is>
      </c>
      <c r="D9" s="7" t="inlineStr">
        <is>
          <t>1 nguồn cấp / toàn dự án</t>
        </is>
      </c>
      <c r="E9" s="6" t="inlineStr">
        <is>
          <t>Nguồn</t>
        </is>
      </c>
      <c r="F9" s="32" t="n">
        <v>1</v>
      </c>
      <c r="G9" s="11" t="inlineStr">
        <is>
          <t>1 lần (định kỳ 6 tháng)</t>
        </is>
      </c>
      <c r="H9" s="7" t="inlineStr">
        <is>
          <t>Độ pH, hàm lượng muối hòa tan, ion Cl-, SO4(2-), cặn không tan</t>
        </is>
      </c>
      <c r="I9" s="7" t="inlineStr">
        <is>
          <t>Kiểm tra trước khi thi công</t>
        </is>
      </c>
    </row>
    <row r="10" ht="20" customHeight="1">
      <c r="A10" s="6" t="n">
        <v>5</v>
      </c>
      <c r="B10" s="30" t="inlineStr">
        <is>
          <t>Phụ gia giảm nước / siêu dẻo bê tông</t>
        </is>
      </c>
      <c r="C10" s="6" t="inlineStr">
        <is>
          <t>TCVN 8826:2011</t>
        </is>
      </c>
      <c r="D10" s="7" t="inlineStr">
        <is>
          <t>5 Tấn / lô vật liệu</t>
        </is>
      </c>
      <c r="E10" s="6" t="inlineStr">
        <is>
          <t>Tấn</t>
        </is>
      </c>
      <c r="F10" s="33" t="n">
        <v>12.5</v>
      </c>
      <c r="G10" s="11" t="inlineStr">
        <is>
          <t>3 lần</t>
        </is>
      </c>
      <c r="H10" s="7" t="inlineStr">
        <is>
          <t>Khả năng giảm nước, độ chảy xòe, độ pH, hàm lượng chất rắn</t>
        </is>
      </c>
      <c r="I10" s="7" t="inlineStr">
        <is>
          <t>Chứng chỉ xuất xưởng + thử nghiệm</t>
        </is>
      </c>
    </row>
    <row r="11" ht="22" customHeight="1">
      <c r="A11" s="4" t="inlineStr">
        <is>
          <t>II. NHÓM CỐT THÉP VÀ CÁP DỰ ỨNG LỰC (BÓC TÁCH CHI TIẾT RIÊNG TỪNG LOẠI Ø)</t>
        </is>
      </c>
      <c r="B11" s="35" t="n"/>
      <c r="C11" s="35" t="n"/>
      <c r="D11" s="35" t="n"/>
      <c r="E11" s="35" t="n"/>
      <c r="F11" s="35" t="n"/>
      <c r="G11" s="35" t="n"/>
      <c r="H11" s="35" t="n"/>
      <c r="I11" s="34" t="n"/>
    </row>
    <row r="12" ht="20" customHeight="1">
      <c r="A12" s="6" t="n">
        <v>6</v>
      </c>
      <c r="B12" s="30" t="inlineStr">
        <is>
          <t>Cốt thép tròn trơn Ø10 (CB240-T, kèm Ø8)</t>
        </is>
      </c>
      <c r="C12" s="6" t="inlineStr">
        <is>
          <t>TCVN 1651-1:2018</t>
        </is>
      </c>
      <c r="D12" s="7" t="inlineStr">
        <is>
          <t>20 Tấn / lô xuất xưởng</t>
        </is>
      </c>
      <c r="E12" s="6" t="inlineStr">
        <is>
          <t>Tấn</t>
        </is>
      </c>
      <c r="F12" s="31">
        <f>Theo_Doi_Tan_Suat_Cot_Thep!P824</f>
        <v/>
      </c>
      <c r="G12" s="11">
        <f>IF(F12="","",IF(F12=0,"1 lần",ROUNDUP(F12/20,0) &amp; " lần"))</f>
        <v/>
      </c>
      <c r="H12" s="7" t="inlineStr">
        <is>
          <t>Giới hạn chảy, độ bền kéo, độ giãn dài, uốn nguội 180°</t>
        </is>
      </c>
      <c r="I12" s="7" t="inlineStr">
        <is>
          <t>1 tổ 3 kéo + 3 uốn / lô 20T, số lô CO-CQ riêng</t>
        </is>
      </c>
    </row>
    <row r="13" ht="20" customHeight="1">
      <c r="A13" s="6" t="n">
        <v>7</v>
      </c>
      <c r="B13" s="30" t="inlineStr">
        <is>
          <t>Cốt thép thanh vằn Ø12 (CB400-V)</t>
        </is>
      </c>
      <c r="C13" s="6" t="inlineStr">
        <is>
          <t>TCVN 1651-2:2018</t>
        </is>
      </c>
      <c r="D13" s="7" t="inlineStr">
        <is>
          <t>20 Tấn / lô xuất xưởng</t>
        </is>
      </c>
      <c r="E13" s="6" t="inlineStr">
        <is>
          <t>Tấn</t>
        </is>
      </c>
      <c r="F13" s="31">
        <f>Theo_Doi_Tan_Suat_Cot_Thep!Q824</f>
        <v/>
      </c>
      <c r="G13" s="11">
        <f>IF(F13="","",IF(F13=0,"1 lần",ROUNDUP(F13/20,0) &amp; " lần"))</f>
        <v/>
      </c>
      <c r="H13" s="7" t="inlineStr">
        <is>
          <t>Giới hạn chảy, độ bền kéo, độ giãn dài, uốn nguội 180°</t>
        </is>
      </c>
      <c r="I13" s="7" t="inlineStr">
        <is>
          <t>Thép đai dầm Super-T, đai cọc, số lô CO-CQ riêng</t>
        </is>
      </c>
    </row>
    <row r="14" ht="20" customHeight="1">
      <c r="A14" s="6" t="n">
        <v>8</v>
      </c>
      <c r="B14" s="30" t="inlineStr">
        <is>
          <t>Cốt thép thanh vằn Ø14 (CB400-V)</t>
        </is>
      </c>
      <c r="C14" s="6" t="inlineStr">
        <is>
          <t>TCVN 1651-2:2018</t>
        </is>
      </c>
      <c r="D14" s="7" t="inlineStr">
        <is>
          <t>20 Tấn / lô xuất xưởng</t>
        </is>
      </c>
      <c r="E14" s="6" t="inlineStr">
        <is>
          <t>Tấn</t>
        </is>
      </c>
      <c r="F14" s="31">
        <f>Theo_Doi_Tan_Suat_Cot_Thep!R824</f>
        <v/>
      </c>
      <c r="G14" s="11">
        <f>IF(F14="","",IF(F14=0,"1 lần",ROUNDUP(F14/20,0) &amp; " lần"))</f>
        <v/>
      </c>
      <c r="H14" s="7" t="inlineStr">
        <is>
          <t>Giới hạn chảy, độ bền kéo, độ giãn dài, uốn nguội 180°</t>
        </is>
      </c>
      <c r="I14" s="7" t="inlineStr">
        <is>
          <t>Thép sườn dầm, lưới BMC, gờ lan can, số lô riêng</t>
        </is>
      </c>
    </row>
    <row r="15" ht="20" customHeight="1">
      <c r="A15" s="6" t="n">
        <v>9</v>
      </c>
      <c r="B15" s="30" t="inlineStr">
        <is>
          <t>Cốt thép thanh vằn Ø16 (CB400-V)</t>
        </is>
      </c>
      <c r="C15" s="6" t="inlineStr">
        <is>
          <t>TCVN 1651-2:2018</t>
        </is>
      </c>
      <c r="D15" s="7" t="inlineStr">
        <is>
          <t>20 Tấn / lô xuất xưởng</t>
        </is>
      </c>
      <c r="E15" s="6" t="inlineStr">
        <is>
          <t>Tấn</t>
        </is>
      </c>
      <c r="F15" s="31">
        <f>Theo_Doi_Tan_Suat_Cot_Thep!S824</f>
        <v/>
      </c>
      <c r="G15" s="11">
        <f>IF(F15="","",IF(F15=0,"1 lần",ROUNDUP(F15/20,0) &amp; " lần"))</f>
        <v/>
      </c>
      <c r="H15" s="7" t="inlineStr">
        <is>
          <t>Giới hạn chảy, độ bền kéo, độ giãn dài, uốn nguội 180°</t>
        </is>
      </c>
      <c r="I15" s="7" t="inlineStr">
        <is>
          <t>Thép lưới BMC, bản quá độ, đai cọc, xà mũ, số lô riêng</t>
        </is>
      </c>
    </row>
    <row r="16" ht="20" customHeight="1">
      <c r="A16" s="6" t="n">
        <v>10</v>
      </c>
      <c r="B16" s="30" t="inlineStr">
        <is>
          <t>Cốt thép thanh vằn Ø18 (CB400-V)</t>
        </is>
      </c>
      <c r="C16" s="6" t="inlineStr">
        <is>
          <t>TCVN 1651-2:2018</t>
        </is>
      </c>
      <c r="D16" s="7" t="inlineStr">
        <is>
          <t>20 Tấn / lô xuất xưởng</t>
        </is>
      </c>
      <c r="E16" s="6" t="inlineStr">
        <is>
          <t>Tấn</t>
        </is>
      </c>
      <c r="F16" s="31">
        <f>Theo_Doi_Tan_Suat_Cot_Thep!T824</f>
        <v/>
      </c>
      <c r="G16" s="11">
        <f>IF(F16="","",IF(F16=0,"1 lần",ROUNDUP(F16/20,0) &amp; " lần"))</f>
        <v/>
      </c>
      <c r="H16" s="7" t="inlineStr">
        <is>
          <t>Giới hạn chảy, độ bền kéo, độ giãn dài, uốn nguội 180°</t>
        </is>
      </c>
      <c r="I16" s="7" t="inlineStr">
        <is>
          <t>Thép phân bố bệ, thân, mố, số lô CO-CQ riêng</t>
        </is>
      </c>
    </row>
    <row r="17" ht="20" customHeight="1">
      <c r="A17" s="6" t="n">
        <v>11</v>
      </c>
      <c r="B17" s="30" t="inlineStr">
        <is>
          <t>Cốt thép thanh vằn Ø20 (CB400-V)</t>
        </is>
      </c>
      <c r="C17" s="6" t="inlineStr">
        <is>
          <t>TCVN 1651-2:2018</t>
        </is>
      </c>
      <c r="D17" s="7" t="inlineStr">
        <is>
          <t>20 Tấn / lô xuất xưởng</t>
        </is>
      </c>
      <c r="E17" s="6" t="inlineStr">
        <is>
          <t>Tấn</t>
        </is>
      </c>
      <c r="F17" s="31">
        <f>Theo_Doi_Tan_Suat_Cot_Thep!U824</f>
        <v/>
      </c>
      <c r="G17" s="11">
        <f>IF(F17="","",IF(F17=0,"1 lần",ROUNDUP(F17/20,0) &amp; " lần"))</f>
        <v/>
      </c>
      <c r="H17" s="7" t="inlineStr">
        <is>
          <t>Giới hạn chảy, độ bền kéo, độ giãn dài, uốn nguội 180°</t>
        </is>
      </c>
      <c r="I17" s="7" t="inlineStr">
        <is>
          <t>Thép con kê bảo vệ, đai tăng cường, số lô riêng</t>
        </is>
      </c>
    </row>
    <row r="18" ht="20" customHeight="1">
      <c r="A18" s="6" t="n">
        <v>12</v>
      </c>
      <c r="B18" s="30" t="inlineStr">
        <is>
          <t>Cốt thép thanh vằn Ø22 (CB400-V)</t>
        </is>
      </c>
      <c r="C18" s="6" t="inlineStr">
        <is>
          <t>TCVN 1651-2:2018</t>
        </is>
      </c>
      <c r="D18" s="7" t="inlineStr">
        <is>
          <t>20 Tấn / lô xuất xưởng</t>
        </is>
      </c>
      <c r="E18" s="6" t="inlineStr">
        <is>
          <t>Tấn</t>
        </is>
      </c>
      <c r="F18" s="31">
        <f>Theo_Doi_Tan_Suat_Cot_Thep!V824</f>
        <v/>
      </c>
      <c r="G18" s="11">
        <f>IF(F18="","",IF(F18=0,"1 lần",ROUNDUP(F18/20,0) &amp; " lần"))</f>
        <v/>
      </c>
      <c r="H18" s="7" t="inlineStr">
        <is>
          <t>Giới hạn chảy, độ bền kéo, độ giãn dài, uốn nguội 180°</t>
        </is>
      </c>
      <c r="I18" s="7" t="inlineStr">
        <is>
          <t>Thép bản quá độ mố A2, cọc nối PDA, số lô riêng</t>
        </is>
      </c>
    </row>
    <row r="19" ht="20" customHeight="1">
      <c r="A19" s="6" t="n">
        <v>13</v>
      </c>
      <c r="B19" s="30" t="inlineStr">
        <is>
          <t>Cốt thép thanh vằn Ø25 (CB400-V)</t>
        </is>
      </c>
      <c r="C19" s="6" t="inlineStr">
        <is>
          <t>TCVN 1651-2:2018</t>
        </is>
      </c>
      <c r="D19" s="7" t="inlineStr">
        <is>
          <t>20 Tấn / lô xuất xưởng</t>
        </is>
      </c>
      <c r="E19" s="6" t="inlineStr">
        <is>
          <t>Tấn</t>
        </is>
      </c>
      <c r="F19" s="31">
        <f>Theo_Doi_Tan_Suat_Cot_Thep!W824</f>
        <v/>
      </c>
      <c r="G19" s="11">
        <f>IF(F19="","",IF(F19=0,"1 lần",ROUNDUP(F19/20,0) &amp; " lần"))</f>
        <v/>
      </c>
      <c r="H19" s="7" t="inlineStr">
        <is>
          <t>Giới hạn chảy, độ bền kéo, độ giãn dài, uốn nguội 180°</t>
        </is>
      </c>
      <c r="I19" s="7" t="inlineStr">
        <is>
          <t>Thép chủ cọc khoan nhồi M1, T1, T2, M2, số lô riêng</t>
        </is>
      </c>
    </row>
    <row r="20" ht="20" customHeight="1">
      <c r="A20" s="6" t="n">
        <v>14</v>
      </c>
      <c r="B20" s="30" t="inlineStr">
        <is>
          <t>Cốt thép thanh vằn Ø28 (CB400-V)</t>
        </is>
      </c>
      <c r="C20" s="6" t="inlineStr">
        <is>
          <t>TCVN 1651-2:2018</t>
        </is>
      </c>
      <c r="D20" s="7" t="inlineStr">
        <is>
          <t>20 Tấn / lô xuất xưởng</t>
        </is>
      </c>
      <c r="E20" s="6" t="inlineStr">
        <is>
          <t>Tấn</t>
        </is>
      </c>
      <c r="F20" s="31">
        <f>Theo_Doi_Tan_Suat_Cot_Thep!X824</f>
        <v/>
      </c>
      <c r="G20" s="11">
        <f>IF(F20="","",IF(F20=0,"1 lần",ROUNDUP(F20/20,0) &amp; " lần"))</f>
        <v/>
      </c>
      <c r="H20" s="7" t="inlineStr">
        <is>
          <t>Giới hạn chảy, độ bền kéo, độ giãn dài, uốn nguội 180°</t>
        </is>
      </c>
      <c r="I20" s="7" t="inlineStr">
        <is>
          <t>Thép chủ mố M1, M2, xà mũ, cọc M2, số lô riêng</t>
        </is>
      </c>
    </row>
    <row r="21" ht="20" customHeight="1">
      <c r="A21" s="6" t="n">
        <v>15</v>
      </c>
      <c r="B21" s="30" t="inlineStr">
        <is>
          <t>Cốt thép thanh vằn Ø32 (CB400-V)</t>
        </is>
      </c>
      <c r="C21" s="6" t="inlineStr">
        <is>
          <t>TCVN 1651-2:2018</t>
        </is>
      </c>
      <c r="D21" s="7" t="inlineStr">
        <is>
          <t>20 Tấn / lô xuất xưởng</t>
        </is>
      </c>
      <c r="E21" s="6" t="inlineStr">
        <is>
          <t>Tấn</t>
        </is>
      </c>
      <c r="F21" s="31">
        <f>Theo_Doi_Tan_Suat_Cot_Thep!Y824</f>
        <v/>
      </c>
      <c r="G21" s="11">
        <f>IF(F21="","",IF(F21=0,"1 lần",ROUNDUP(F21/20,0) &amp; " lần"))</f>
        <v/>
      </c>
      <c r="H21" s="7" t="inlineStr">
        <is>
          <t>Giới hạn chảy, độ bền kéo, độ giãn dài, uốn nguội 180°</t>
        </is>
      </c>
      <c r="I21" s="7" t="inlineStr">
        <is>
          <t>Thép chủ bệ trụ T1, T2, thân trụ, xà mũ, số lô riêng</t>
        </is>
      </c>
    </row>
    <row r="22" ht="20" customHeight="1">
      <c r="A22" s="6" t="n">
        <v>16</v>
      </c>
      <c r="B22" s="30" t="inlineStr">
        <is>
          <t>Cáp dự ứng lực 15.2mm 7 sợi xoắn</t>
        </is>
      </c>
      <c r="C22" s="6" t="inlineStr">
        <is>
          <t>ASTM A416 Gr270</t>
        </is>
      </c>
      <c r="D22" s="7" t="inlineStr">
        <is>
          <t>20 Tấn / lô kéo rút</t>
        </is>
      </c>
      <c r="E22" s="6" t="inlineStr">
        <is>
          <t>Tấn</t>
        </is>
      </c>
      <c r="F22" s="31">
        <f>Theo_Doi_Tan_Suat_Cot_Thep!Z824</f>
        <v/>
      </c>
      <c r="G22" s="11">
        <f>IF(F22="","",IF(F22=0,"1 lần",ROUNDUP(F22/20,0) &amp; " lần"))</f>
        <v/>
      </c>
      <c r="H22" s="7" t="inlineStr">
        <is>
          <t>Giới hạn bền kéo đứt, độ giãn dài, mô đun Ep</t>
        </is>
      </c>
      <c r="I22" s="7" t="inlineStr">
        <is>
          <t>Cáp kéo trước dầm Super-T L=38.2m, chứng chỉ cuộn riêng</t>
        </is>
      </c>
    </row>
    <row r="23" ht="20" customHeight="1">
      <c r="A23" s="6" t="n">
        <v>17</v>
      </c>
      <c r="B23" s="30" t="inlineStr">
        <is>
          <t>Mối nối cóc nối ren coupler / hàn đối đầu</t>
        </is>
      </c>
      <c r="C23" s="6" t="inlineStr">
        <is>
          <t>TCVN 8163:2009</t>
        </is>
      </c>
      <c r="D23" s="7" t="inlineStr">
        <is>
          <t>500 mối nối / lô</t>
        </is>
      </c>
      <c r="E23" s="6" t="inlineStr">
        <is>
          <t>Mối nối</t>
        </is>
      </c>
      <c r="F23" s="32" t="n">
        <v>1840</v>
      </c>
      <c r="G23" s="11" t="inlineStr">
        <is>
          <t>4 lần (mỗi lô 3 mẫu kéo)</t>
        </is>
      </c>
      <c r="H23" s="7" t="inlineStr">
        <is>
          <t>Độ bền kéo mối nối, độ dãn dư, khả năng biến dạng</t>
        </is>
      </c>
      <c r="I23" s="7" t="inlineStr">
        <is>
          <t>Mối nối thép chủ cọc khoan nhồi (mỗi lô 3 kéo)</t>
        </is>
      </c>
    </row>
    <row r="24" ht="22" customHeight="1">
      <c r="A24" s="4" t="inlineStr">
        <is>
          <t>III. KIỂM ĐỊNH HIỆN TRƯỜNG &amp; NGHIỆM THU CHẤT LƯỢNG</t>
        </is>
      </c>
      <c r="B24" s="35" t="n"/>
      <c r="C24" s="35" t="n"/>
      <c r="D24" s="35" t="n"/>
      <c r="E24" s="35" t="n"/>
      <c r="F24" s="35" t="n"/>
      <c r="G24" s="35" t="n"/>
      <c r="H24" s="35" t="n"/>
      <c r="I24" s="34" t="n"/>
    </row>
    <row r="25" ht="20" customHeight="1">
      <c r="A25" s="6" t="n">
        <v>18</v>
      </c>
      <c r="B25" s="30" t="inlineStr">
        <is>
          <t>Thí nghiệm nén mẫu bê tông hiện trường R7, R28</t>
        </is>
      </c>
      <c r="C25" s="6" t="inlineStr">
        <is>
          <t>TCVN 3118:2022</t>
        </is>
      </c>
      <c r="D25" s="7" t="inlineStr">
        <is>
          <t>1 tổ 3 mẫu / cấu kiện &lt;=20m3</t>
        </is>
      </c>
      <c r="E25" s="6" t="inlineStr">
        <is>
          <t>Tổ mẫu</t>
        </is>
      </c>
      <c r="F25" s="32" t="n">
        <v>79</v>
      </c>
      <c r="G25" s="11" t="inlineStr">
        <is>
          <t>79 tổ mẫu (237 viên)</t>
        </is>
      </c>
      <c r="H25" s="7" t="inlineStr">
        <is>
          <t>Cường độ chịu nén R7 ngày và R28 ngày (MPa)</t>
        </is>
      </c>
      <c r="I25" s="7" t="inlineStr">
        <is>
          <t>Kèm biên bản nghiệm thu KCS (237 viên mẫu)</t>
        </is>
      </c>
    </row>
    <row r="26" ht="20" customHeight="1">
      <c r="A26" s="6" t="n">
        <v>19</v>
      </c>
      <c r="B26" s="30" t="inlineStr">
        <is>
          <t>Thí nghiệm siêu âm cọc khoan nhồi D1.2m</t>
        </is>
      </c>
      <c r="C26" s="6" t="inlineStr">
        <is>
          <t>TCVN 9395:2012</t>
        </is>
      </c>
      <c r="D26" s="7" t="inlineStr">
        <is>
          <t>100% các cọc khoan nhồi</t>
        </is>
      </c>
      <c r="E26" s="6" t="inlineStr">
        <is>
          <t>Mặt cắt</t>
        </is>
      </c>
      <c r="F26" s="32" t="n">
        <v>156</v>
      </c>
      <c r="G26" s="11" t="inlineStr">
        <is>
          <t>156 mặt cắt siêu âm (26 cọc)</t>
        </is>
      </c>
      <c r="H26" s="7" t="inlineStr">
        <is>
          <t>Độ đồng nhất, vận tốc truyền sóng, khuyết tật thân cọc</t>
        </is>
      </c>
      <c r="I26" s="7" t="inlineStr">
        <is>
          <t>4 ống siêu âm / cọc (156 mặt cắt / 26 cọc)</t>
        </is>
      </c>
    </row>
    <row r="27" ht="20" customHeight="1">
      <c r="A27" s="6" t="n">
        <v>20</v>
      </c>
      <c r="B27" s="30" t="inlineStr">
        <is>
          <t>Thử động biến dạng lớn PDA (Sức chịu tải cọc)</t>
        </is>
      </c>
      <c r="C27" s="6" t="inlineStr">
        <is>
          <t>ASTM D4945</t>
        </is>
      </c>
      <c r="D27" s="7" t="inlineStr">
        <is>
          <t>Tối thiểu 2 cọc đại diện</t>
        </is>
      </c>
      <c r="E27" s="6" t="inlineStr">
        <is>
          <t>Cọc</t>
        </is>
      </c>
      <c r="F27" s="32" t="n">
        <v>2</v>
      </c>
      <c r="G27" s="11" t="inlineStr">
        <is>
          <t>2 cọc (M1-C1 và T1-C1)</t>
        </is>
      </c>
      <c r="H27" s="7" t="inlineStr">
        <is>
          <t>Sức chịu tải giới hạn cọc, ứng suất nén/kéo khi đóng</t>
        </is>
      </c>
      <c r="I27" s="7" t="inlineStr">
        <is>
          <t>Đơn vị kiểm định độc lập (M1-C1 và T1-C1)</t>
        </is>
      </c>
    </row>
    <row r="28" ht="20" customHeight="1">
      <c r="A28" s="6" t="n">
        <v>21</v>
      </c>
      <c r="B28" s="30" t="inlineStr">
        <is>
          <t>Thí nghiệm độ sụt bê tông tươi tại hiện trường</t>
        </is>
      </c>
      <c r="C28" s="6" t="inlineStr">
        <is>
          <t>TCVN 3106:2022</t>
        </is>
      </c>
      <c r="D28" s="7" t="inlineStr">
        <is>
          <t>100% các xe bê tông trạm trộn</t>
        </is>
      </c>
      <c r="E28" s="6" t="inlineStr">
        <is>
          <t>Xe bồn</t>
        </is>
      </c>
      <c r="F28" s="32" t="n">
        <v>285</v>
      </c>
      <c r="G28" s="11" t="inlineStr">
        <is>
          <t>285 xe (mỗi xe 1 lần)</t>
        </is>
      </c>
      <c r="H28" s="7" t="inlineStr">
        <is>
          <t>Độ sụt cọc nhồi (18±2cm), độ sụt kết cấu (14±2cm)</t>
        </is>
      </c>
      <c r="I28" s="7" t="inlineStr">
        <is>
          <t>Kiểm tra trước khi đổ (285 lượt xe)</t>
        </is>
      </c>
    </row>
  </sheetData>
  <mergeCells count="5">
    <mergeCell ref="A2:I2"/>
    <mergeCell ref="A11:I11"/>
    <mergeCell ref="A5:I5"/>
    <mergeCell ref="A1:I1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40" customWidth="1" min="4" max="4"/>
    <col width="90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>
      <c r="A1" s="40" t="inlineStr">
        <is>
          <t>NGHI VẤN TẦN SUẤT THÍ NGHIỆM — sửa theo bản vẽ thẩm định ngày 11/10/2026 (soát và ghim ở cột I)</t>
        </is>
      </c>
    </row>
    <row r="3">
      <c r="A3" s="41" t="inlineStr">
        <is>
          <t>STT</t>
        </is>
      </c>
      <c r="B3" s="41" t="inlineStr">
        <is>
          <t>Sheet</t>
        </is>
      </c>
      <c r="C3" s="41" t="inlineStr">
        <is>
          <t>Dòng</t>
        </is>
      </c>
      <c r="D3" s="41" t="inlineStr">
        <is>
          <t>Hạng mục</t>
        </is>
      </c>
      <c r="E3" s="41" t="inlineStr">
        <is>
          <t>Nội dung nghi vấn</t>
        </is>
      </c>
      <c r="F3" s="41" t="inlineStr">
        <is>
          <t>Giá trị cũ</t>
        </is>
      </c>
      <c r="G3" s="41" t="inlineStr">
        <is>
          <t>Giá trị mới</t>
        </is>
      </c>
      <c r="H3" s="41" t="inlineStr">
        <is>
          <t>Trang bản vẽ</t>
        </is>
      </c>
      <c r="I3" s="41" t="inlineStr">
        <is>
          <t>Đã soát / Ghim</t>
        </is>
      </c>
    </row>
    <row r="4">
      <c r="A4" s="42" t="n">
        <v>1</v>
      </c>
      <c r="B4" s="42" t="inlineStr">
        <is>
          <t>Theo_Doi_Tan_Suat_Be_Tong</t>
        </is>
      </c>
      <c r="C4" s="42" t="n">
        <v>7</v>
      </c>
      <c r="D4" s="42" t="inlineStr">
        <is>
          <t>Bê tông cọc khoan nhồi - C1 trụ T1 (L=40m)</t>
        </is>
      </c>
      <c r="E4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4" s="42" t="inlineStr">
        <is>
          <t>47,01</t>
        </is>
      </c>
      <c r="G4" s="42" t="inlineStr">
        <is>
          <t>45,88</t>
        </is>
      </c>
      <c r="H4" s="42" t="inlineStr"/>
      <c r="I4" s="42" t="inlineStr"/>
    </row>
    <row r="5">
      <c r="A5" s="42" t="n">
        <v>2</v>
      </c>
      <c r="B5" s="42" t="inlineStr">
        <is>
          <t>Theo_Doi_Tan_Suat_Be_Tong</t>
        </is>
      </c>
      <c r="C5" s="42" t="n">
        <v>8</v>
      </c>
      <c r="D5" s="42" t="inlineStr">
        <is>
          <t>Bê tông cọc khoan nhồi - C2 trụ T1 (L=40m)</t>
        </is>
      </c>
      <c r="E5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5" s="42" t="inlineStr">
        <is>
          <t>47,01</t>
        </is>
      </c>
      <c r="G5" s="42" t="inlineStr">
        <is>
          <t>45,88</t>
        </is>
      </c>
      <c r="H5" s="42" t="inlineStr"/>
      <c r="I5" s="42" t="inlineStr"/>
    </row>
    <row r="6">
      <c r="A6" s="42" t="n">
        <v>3</v>
      </c>
      <c r="B6" s="42" t="inlineStr">
        <is>
          <t>Theo_Doi_Tan_Suat_Be_Tong</t>
        </is>
      </c>
      <c r="C6" s="42" t="n">
        <v>9</v>
      </c>
      <c r="D6" s="42" t="inlineStr">
        <is>
          <t>Bê tông cọc khoan nhồi - C3 trụ T1 (L=40m)</t>
        </is>
      </c>
      <c r="E6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6" s="42" t="inlineStr">
        <is>
          <t>47,01</t>
        </is>
      </c>
      <c r="G6" s="42" t="inlineStr">
        <is>
          <t>45,88</t>
        </is>
      </c>
      <c r="H6" s="42" t="inlineStr"/>
      <c r="I6" s="42" t="inlineStr"/>
    </row>
    <row r="7">
      <c r="A7" s="42" t="n">
        <v>4</v>
      </c>
      <c r="B7" s="42" t="inlineStr">
        <is>
          <t>Theo_Doi_Tan_Suat_Be_Tong</t>
        </is>
      </c>
      <c r="C7" s="42" t="n">
        <v>10</v>
      </c>
      <c r="D7" s="42" t="inlineStr">
        <is>
          <t>Bê tông cọc khoan nhồi - C4 trụ T1 (L=40m)</t>
        </is>
      </c>
      <c r="E7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7" s="42" t="inlineStr">
        <is>
          <t>47,01</t>
        </is>
      </c>
      <c r="G7" s="42" t="inlineStr">
        <is>
          <t>45,88</t>
        </is>
      </c>
      <c r="H7" s="42" t="inlineStr"/>
      <c r="I7" s="42" t="inlineStr"/>
    </row>
    <row r="8">
      <c r="A8" s="42" t="n">
        <v>5</v>
      </c>
      <c r="B8" s="42" t="inlineStr">
        <is>
          <t>Theo_Doi_Tan_Suat_Be_Tong</t>
        </is>
      </c>
      <c r="C8" s="42" t="n">
        <v>11</v>
      </c>
      <c r="D8" s="42" t="inlineStr">
        <is>
          <t>Bê tông cọc khoan nhồi - C5 trụ T1 (L=40m)</t>
        </is>
      </c>
      <c r="E8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8" s="42" t="inlineStr">
        <is>
          <t>47,01</t>
        </is>
      </c>
      <c r="G8" s="42" t="inlineStr">
        <is>
          <t>45,88</t>
        </is>
      </c>
      <c r="H8" s="42" t="inlineStr"/>
      <c r="I8" s="42" t="inlineStr"/>
    </row>
    <row r="9">
      <c r="A9" s="42" t="n">
        <v>6</v>
      </c>
      <c r="B9" s="42" t="inlineStr">
        <is>
          <t>Theo_Doi_Tan_Suat_Be_Tong</t>
        </is>
      </c>
      <c r="C9" s="42" t="n">
        <v>12</v>
      </c>
      <c r="D9" s="42" t="inlineStr">
        <is>
          <t>Bê tông cọc khoan nhồi - C6 trụ T1 (L=40m)</t>
        </is>
      </c>
      <c r="E9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9" s="42" t="inlineStr">
        <is>
          <t>47,01</t>
        </is>
      </c>
      <c r="G9" s="42" t="inlineStr">
        <is>
          <t>45,88</t>
        </is>
      </c>
      <c r="H9" s="42" t="inlineStr"/>
      <c r="I9" s="42" t="inlineStr"/>
    </row>
    <row r="10">
      <c r="A10" s="42" t="n">
        <v>7</v>
      </c>
      <c r="B10" s="42" t="inlineStr">
        <is>
          <t>Theo_Doi_Tan_Suat_Be_Tong</t>
        </is>
      </c>
      <c r="C10" s="42" t="n">
        <v>13</v>
      </c>
      <c r="D10" s="42" t="inlineStr">
        <is>
          <t>Bê tông cọc khoan nhồi - C7 trụ T1 (L=40m)</t>
        </is>
      </c>
      <c r="E10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10" s="42" t="inlineStr">
        <is>
          <t>47,01</t>
        </is>
      </c>
      <c r="G10" s="42" t="inlineStr">
        <is>
          <t>45,88</t>
        </is>
      </c>
      <c r="H10" s="42" t="inlineStr"/>
      <c r="I10" s="42" t="inlineStr"/>
    </row>
    <row r="11">
      <c r="A11" s="42" t="n">
        <v>8</v>
      </c>
      <c r="B11" s="42" t="inlineStr">
        <is>
          <t>Theo_Doi_Tan_Suat_Be_Tong</t>
        </is>
      </c>
      <c r="C11" s="42" t="n">
        <v>14</v>
      </c>
      <c r="D11" s="42" t="inlineStr">
        <is>
          <t>Bê tông cọc khoan nhồi - C8 trụ T1 (L=40m)</t>
        </is>
      </c>
      <c r="E11" s="42" t="inlineStr">
        <is>
          <t>Bản vẽ: 47,01 → 45,88 m³ (tr.68 thể tích 1 cọc (đã gồm bê tông đầu cọc)). File cũ cộng thêm 1,13 m³ đập đầu cọc vào thể tích đã gồm đầu cọc. Cột 'KL thực tế': thay bằng phiếu đổ (có nở thành) khi có.</t>
        </is>
      </c>
      <c r="F11" s="42" t="inlineStr">
        <is>
          <t>47,01</t>
        </is>
      </c>
      <c r="G11" s="42" t="inlineStr">
        <is>
          <t>45,88</t>
        </is>
      </c>
      <c r="H11" s="42" t="inlineStr"/>
      <c r="I11" s="42" t="inlineStr"/>
    </row>
    <row r="12">
      <c r="A12" s="42" t="n">
        <v>9</v>
      </c>
      <c r="B12" s="42" t="inlineStr">
        <is>
          <t>Theo_Doi_Tan_Suat_Be_Tong</t>
        </is>
      </c>
      <c r="C12" s="42" t="n">
        <v>15</v>
      </c>
      <c r="D12" s="42" t="inlineStr">
        <is>
          <t>Bê tông cọc khoan nhồi - C1 trụ T2 (L=30m)</t>
        </is>
      </c>
      <c r="E12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2" s="42" t="inlineStr">
        <is>
          <t>35,86</t>
        </is>
      </c>
      <c r="G12" s="42" t="inlineStr">
        <is>
          <t>34,73</t>
        </is>
      </c>
      <c r="H12" s="42" t="inlineStr"/>
      <c r="I12" s="42" t="inlineStr"/>
    </row>
    <row r="13">
      <c r="A13" s="42" t="n">
        <v>10</v>
      </c>
      <c r="B13" s="42" t="inlineStr">
        <is>
          <t>Theo_Doi_Tan_Suat_Be_Tong</t>
        </is>
      </c>
      <c r="C13" s="42" t="n">
        <v>16</v>
      </c>
      <c r="D13" s="42" t="inlineStr">
        <is>
          <t>Bê tông cọc khoan nhồi - C2 trụ T2 (L=30m)</t>
        </is>
      </c>
      <c r="E13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3" s="42" t="inlineStr">
        <is>
          <t>35,86</t>
        </is>
      </c>
      <c r="G13" s="42" t="inlineStr">
        <is>
          <t>34,73</t>
        </is>
      </c>
      <c r="H13" s="42" t="inlineStr"/>
      <c r="I13" s="42" t="inlineStr"/>
    </row>
    <row r="14">
      <c r="A14" s="42" t="n">
        <v>11</v>
      </c>
      <c r="B14" s="42" t="inlineStr">
        <is>
          <t>Theo_Doi_Tan_Suat_Be_Tong</t>
        </is>
      </c>
      <c r="C14" s="42" t="n">
        <v>17</v>
      </c>
      <c r="D14" s="42" t="inlineStr">
        <is>
          <t>Bê tông cọc khoan nhồi - C3 trụ T2 (L=30m)</t>
        </is>
      </c>
      <c r="E14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4" s="42" t="inlineStr">
        <is>
          <t>35,86</t>
        </is>
      </c>
      <c r="G14" s="42" t="inlineStr">
        <is>
          <t>34,73</t>
        </is>
      </c>
      <c r="H14" s="42" t="inlineStr"/>
      <c r="I14" s="42" t="inlineStr"/>
    </row>
    <row r="15">
      <c r="A15" s="42" t="n">
        <v>12</v>
      </c>
      <c r="B15" s="42" t="inlineStr">
        <is>
          <t>Theo_Doi_Tan_Suat_Be_Tong</t>
        </is>
      </c>
      <c r="C15" s="42" t="n">
        <v>18</v>
      </c>
      <c r="D15" s="42" t="inlineStr">
        <is>
          <t>Bê tông cọc khoan nhồi - C4 trụ T2 (L=30m)</t>
        </is>
      </c>
      <c r="E15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5" s="42" t="inlineStr">
        <is>
          <t>35,86</t>
        </is>
      </c>
      <c r="G15" s="42" t="inlineStr">
        <is>
          <t>34,73</t>
        </is>
      </c>
      <c r="H15" s="42" t="inlineStr"/>
      <c r="I15" s="42" t="inlineStr"/>
    </row>
    <row r="16">
      <c r="A16" s="42" t="n">
        <v>13</v>
      </c>
      <c r="B16" s="42" t="inlineStr">
        <is>
          <t>Theo_Doi_Tan_Suat_Be_Tong</t>
        </is>
      </c>
      <c r="C16" s="42" t="n">
        <v>19</v>
      </c>
      <c r="D16" s="42" t="inlineStr">
        <is>
          <t>Bê tông cọc khoan nhồi - C5 trụ T2 (L=30m)</t>
        </is>
      </c>
      <c r="E16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6" s="42" t="inlineStr">
        <is>
          <t>35,86</t>
        </is>
      </c>
      <c r="G16" s="42" t="inlineStr">
        <is>
          <t>34,73</t>
        </is>
      </c>
      <c r="H16" s="42" t="inlineStr"/>
      <c r="I16" s="42" t="inlineStr"/>
    </row>
    <row r="17">
      <c r="A17" s="42" t="n">
        <v>14</v>
      </c>
      <c r="B17" s="42" t="inlineStr">
        <is>
          <t>Theo_Doi_Tan_Suat_Be_Tong</t>
        </is>
      </c>
      <c r="C17" s="42" t="n">
        <v>20</v>
      </c>
      <c r="D17" s="42" t="inlineStr">
        <is>
          <t>Bê tông cọc khoan nhồi - C6 trụ T2 (L=30m)</t>
        </is>
      </c>
      <c r="E17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7" s="42" t="inlineStr">
        <is>
          <t>35,86</t>
        </is>
      </c>
      <c r="G17" s="42" t="inlineStr">
        <is>
          <t>34,73</t>
        </is>
      </c>
      <c r="H17" s="42" t="inlineStr"/>
      <c r="I17" s="42" t="inlineStr"/>
    </row>
    <row r="18">
      <c r="A18" s="42" t="n">
        <v>15</v>
      </c>
      <c r="B18" s="42" t="inlineStr">
        <is>
          <t>Theo_Doi_Tan_Suat_Be_Tong</t>
        </is>
      </c>
      <c r="C18" s="42" t="n">
        <v>21</v>
      </c>
      <c r="D18" s="42" t="inlineStr">
        <is>
          <t>Bê tông cọc khoan nhồi - C7 trụ T2 (L=30m)</t>
        </is>
      </c>
      <c r="E18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8" s="42" t="inlineStr">
        <is>
          <t>35,86</t>
        </is>
      </c>
      <c r="G18" s="42" t="inlineStr">
        <is>
          <t>34,73</t>
        </is>
      </c>
      <c r="H18" s="42" t="inlineStr"/>
      <c r="I18" s="42" t="inlineStr"/>
    </row>
    <row r="19">
      <c r="A19" s="42" t="n">
        <v>16</v>
      </c>
      <c r="B19" s="42" t="inlineStr">
        <is>
          <t>Theo_Doi_Tan_Suat_Be_Tong</t>
        </is>
      </c>
      <c r="C19" s="42" t="n">
        <v>22</v>
      </c>
      <c r="D19" s="42" t="inlineStr">
        <is>
          <t>Bê tông cọc khoan nhồi - C8 trụ T2 (L=30m)</t>
        </is>
      </c>
      <c r="E19" s="42" t="inlineStr">
        <is>
          <t>Bản vẽ: 35,86 → 34,73 m³ (tr.70 thể tích 1 cọc (đã gồm bê tông đầu cọc)). File cũ cộng thêm 1,13 m³ đập đầu cọc. Thay bằng phiếu đổ thực tế khi có.</t>
        </is>
      </c>
      <c r="F19" s="42" t="inlineStr">
        <is>
          <t>35,86</t>
        </is>
      </c>
      <c r="G19" s="42" t="inlineStr">
        <is>
          <t>34,73</t>
        </is>
      </c>
      <c r="H19" s="42" t="inlineStr"/>
      <c r="I19" s="42" t="inlineStr"/>
    </row>
    <row r="20">
      <c r="A20" s="42" t="n">
        <v>17</v>
      </c>
      <c r="B20" s="42" t="inlineStr">
        <is>
          <t>Theo_Doi_Tan_Suat_Be_Tong</t>
        </is>
      </c>
      <c r="C20" s="42" t="n">
        <v>4</v>
      </c>
      <c r="D20" s="42" t="inlineStr">
        <is>
          <t>Bê tông cọc khoan nhồi - C1 mố M1 (L=20m)</t>
        </is>
      </c>
      <c r="E20" s="42" t="inlineStr">
        <is>
          <t>Bản vẽ: 24,71 → 23,58 m³ (tr.64 thể tích 1 cọc (đã gồm bê tông đầu cọc)). File cũ cộng thêm 1,13 m³ đập đầu cọc. Thay bằng phiếu đổ thực tế khi có.</t>
        </is>
      </c>
      <c r="F20" s="42" t="inlineStr">
        <is>
          <t>24,71</t>
        </is>
      </c>
      <c r="G20" s="42" t="inlineStr">
        <is>
          <t>23,58</t>
        </is>
      </c>
      <c r="H20" s="42" t="inlineStr"/>
      <c r="I20" s="42" t="inlineStr"/>
    </row>
    <row r="21">
      <c r="A21" s="42" t="n">
        <v>18</v>
      </c>
      <c r="B21" s="42" t="inlineStr">
        <is>
          <t>Theo_Doi_Tan_Suat_Be_Tong</t>
        </is>
      </c>
      <c r="C21" s="42" t="n">
        <v>5</v>
      </c>
      <c r="D21" s="42" t="inlineStr">
        <is>
          <t>Bê tông cọc khoan nhồi - C2 mố M1 (L=20m)</t>
        </is>
      </c>
      <c r="E21" s="42" t="inlineStr">
        <is>
          <t>Bản vẽ: 24,71 → 23,58 m³ (tr.64 thể tích 1 cọc (đã gồm bê tông đầu cọc)). File cũ cộng thêm 1,13 m³ đập đầu cọc. Thay bằng phiếu đổ thực tế khi có.</t>
        </is>
      </c>
      <c r="F21" s="42" t="inlineStr">
        <is>
          <t>24,71</t>
        </is>
      </c>
      <c r="G21" s="42" t="inlineStr">
        <is>
          <t>23,58</t>
        </is>
      </c>
      <c r="H21" s="42" t="inlineStr"/>
      <c r="I21" s="42" t="inlineStr"/>
    </row>
    <row r="22">
      <c r="A22" s="42" t="n">
        <v>19</v>
      </c>
      <c r="B22" s="42" t="inlineStr">
        <is>
          <t>Theo_Doi_Tan_Suat_Be_Tong</t>
        </is>
      </c>
      <c r="C22" s="42" t="n">
        <v>6</v>
      </c>
      <c r="D22" s="42" t="inlineStr">
        <is>
          <t>Bê tông cọc khoan nhồi - C3 mố M1 (L=20m)</t>
        </is>
      </c>
      <c r="E22" s="42" t="inlineStr">
        <is>
          <t>Bản vẽ: 24,71 → 23,58 m³ (tr.64 thể tích 1 cọc (đã gồm bê tông đầu cọc)). File cũ cộng thêm 1,13 m³ đập đầu cọc. Thay bằng phiếu đổ thực tế khi có.</t>
        </is>
      </c>
      <c r="F22" s="42" t="inlineStr">
        <is>
          <t>24,71</t>
        </is>
      </c>
      <c r="G22" s="42" t="inlineStr">
        <is>
          <t>23,58</t>
        </is>
      </c>
      <c r="H22" s="42" t="inlineStr"/>
      <c r="I22" s="42" t="inlineStr"/>
    </row>
    <row r="23">
      <c r="A23" s="42" t="n">
        <v>20</v>
      </c>
      <c r="B23" s="42" t="inlineStr">
        <is>
          <t>Theo_Doi_Tan_Suat_Be_Tong</t>
        </is>
      </c>
      <c r="C23" s="42" t="n">
        <v>23</v>
      </c>
      <c r="D23" s="42" t="inlineStr">
        <is>
          <t>Bê tông cọc khoan nhồi - C1 mố M2 (L=36m)</t>
        </is>
      </c>
      <c r="E23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3" s="42" t="inlineStr">
        <is>
          <t>42,83</t>
        </is>
      </c>
      <c r="G23" s="42" t="inlineStr">
        <is>
          <t>41,56</t>
        </is>
      </c>
      <c r="H23" s="42" t="inlineStr"/>
      <c r="I23" s="42" t="inlineStr"/>
    </row>
    <row r="24">
      <c r="A24" s="42" t="n">
        <v>21</v>
      </c>
      <c r="B24" s="42" t="inlineStr">
        <is>
          <t>Theo_Doi_Tan_Suat_Be_Tong</t>
        </is>
      </c>
      <c r="C24" s="42" t="n">
        <v>24</v>
      </c>
      <c r="D24" s="42" t="inlineStr">
        <is>
          <t>Bê tông cọc khoan nhồi - C2 mố M2 (L=36m)</t>
        </is>
      </c>
      <c r="E24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4" s="42" t="inlineStr">
        <is>
          <t>42,83</t>
        </is>
      </c>
      <c r="G24" s="42" t="inlineStr">
        <is>
          <t>41,56</t>
        </is>
      </c>
      <c r="H24" s="42" t="inlineStr"/>
      <c r="I24" s="42" t="inlineStr"/>
    </row>
    <row r="25">
      <c r="A25" s="42" t="n">
        <v>22</v>
      </c>
      <c r="B25" s="42" t="inlineStr">
        <is>
          <t>Theo_Doi_Tan_Suat_Be_Tong</t>
        </is>
      </c>
      <c r="C25" s="42" t="n">
        <v>25</v>
      </c>
      <c r="D25" s="42" t="inlineStr">
        <is>
          <t>Bê tông cọc khoan nhồi - C3 mố M2 (L=36m)</t>
        </is>
      </c>
      <c r="E25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5" s="42" t="inlineStr">
        <is>
          <t>42,83</t>
        </is>
      </c>
      <c r="G25" s="42" t="inlineStr">
        <is>
          <t>41,56</t>
        </is>
      </c>
      <c r="H25" s="42" t="inlineStr"/>
      <c r="I25" s="42" t="inlineStr"/>
    </row>
    <row r="26">
      <c r="A26" s="42" t="n">
        <v>23</v>
      </c>
      <c r="B26" s="42" t="inlineStr">
        <is>
          <t>Theo_Doi_Tan_Suat_Be_Tong</t>
        </is>
      </c>
      <c r="C26" s="42" t="n">
        <v>26</v>
      </c>
      <c r="D26" s="42" t="inlineStr">
        <is>
          <t>Bê tông cọc khoan nhồi - C4 mố M2 (L=36m)</t>
        </is>
      </c>
      <c r="E26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6" s="42" t="inlineStr">
        <is>
          <t>42,83</t>
        </is>
      </c>
      <c r="G26" s="42" t="inlineStr">
        <is>
          <t>41,56</t>
        </is>
      </c>
      <c r="H26" s="42" t="inlineStr"/>
      <c r="I26" s="42" t="inlineStr"/>
    </row>
    <row r="27">
      <c r="A27" s="42" t="n">
        <v>24</v>
      </c>
      <c r="B27" s="42" t="inlineStr">
        <is>
          <t>Theo_Doi_Tan_Suat_Be_Tong</t>
        </is>
      </c>
      <c r="C27" s="42" t="n">
        <v>27</v>
      </c>
      <c r="D27" s="42" t="inlineStr">
        <is>
          <t>Bê tông cọc khoan nhồi - C5 mố M2 (L=36m)</t>
        </is>
      </c>
      <c r="E27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7" s="42" t="inlineStr">
        <is>
          <t>42,83</t>
        </is>
      </c>
      <c r="G27" s="42" t="inlineStr">
        <is>
          <t>41,56</t>
        </is>
      </c>
      <c r="H27" s="42" t="inlineStr"/>
      <c r="I27" s="42" t="inlineStr"/>
    </row>
    <row r="28">
      <c r="A28" s="42" t="n">
        <v>25</v>
      </c>
      <c r="B28" s="42" t="inlineStr">
        <is>
          <t>Theo_Doi_Tan_Suat_Be_Tong</t>
        </is>
      </c>
      <c r="C28" s="42" t="n">
        <v>28</v>
      </c>
      <c r="D28" s="42" t="inlineStr">
        <is>
          <t>Bê tông cọc khoan nhồi - C6 mố M2 (L=36m)</t>
        </is>
      </c>
      <c r="E28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8" s="42" t="inlineStr">
        <is>
          <t>42,83</t>
        </is>
      </c>
      <c r="G28" s="42" t="inlineStr">
        <is>
          <t>41,56</t>
        </is>
      </c>
      <c r="H28" s="42" t="inlineStr"/>
      <c r="I28" s="42" t="inlineStr"/>
    </row>
    <row r="29">
      <c r="A29" s="42" t="n">
        <v>26</v>
      </c>
      <c r="B29" s="42" t="inlineStr">
        <is>
          <t>Theo_Doi_Tan_Suat_Be_Tong</t>
        </is>
      </c>
      <c r="C29" s="42" t="n">
        <v>29</v>
      </c>
      <c r="D29" s="42" t="inlineStr">
        <is>
          <t>Bê tông cọc khoan nhồi - C7 mố M2 (L=36m)</t>
        </is>
      </c>
      <c r="E29" s="42" t="inlineStr">
        <is>
          <t>Bản vẽ: 42,83 → 41,56 m³ (tr.66 thể tích 1 cọc (đã gồm bê tông đầu cọc)). File cũ cộng thêm 1,27 m³ đập đầu cọc. Thay bằng phiếu đổ thực tế khi có.</t>
        </is>
      </c>
      <c r="F29" s="42" t="inlineStr">
        <is>
          <t>42,83</t>
        </is>
      </c>
      <c r="G29" s="42" t="inlineStr">
        <is>
          <t>41,56</t>
        </is>
      </c>
      <c r="H29" s="42" t="inlineStr"/>
      <c r="I29" s="42" t="inlineStr"/>
    </row>
    <row r="30">
      <c r="A30" s="42" t="n">
        <v>27</v>
      </c>
      <c r="B30" s="42" t="inlineStr">
        <is>
          <t>Theo_Doi_Tan_Suat_Be_Tong</t>
        </is>
      </c>
      <c r="C30" s="42" t="n">
        <v>31</v>
      </c>
      <c r="D30" s="42" t="inlineStr">
        <is>
          <t>Bê tông lót móng bệ mố M1 (M100 đá 4x6)</t>
        </is>
      </c>
      <c r="E30" s="42" t="inlineStr">
        <is>
          <t>Bản vẽ: 9,55 → 2,46 m³ (tr.31 bê tông đệm C10)</t>
        </is>
      </c>
      <c r="F30" s="42" t="inlineStr">
        <is>
          <t>9,55</t>
        </is>
      </c>
      <c r="G30" s="42" t="inlineStr">
        <is>
          <t>2,46</t>
        </is>
      </c>
      <c r="H30" s="42" t="inlineStr"/>
      <c r="I30" s="42" t="inlineStr"/>
    </row>
    <row r="31">
      <c r="A31" s="42" t="n">
        <v>28</v>
      </c>
      <c r="B31" s="42" t="inlineStr">
        <is>
          <t>Theo_Doi_Tan_Suat_Be_Tong</t>
        </is>
      </c>
      <c r="C31" s="42" t="n">
        <v>33</v>
      </c>
      <c r="D31" s="42" t="inlineStr">
        <is>
          <t>Bê tông lót móng bệ trụ T1 (M100 đá 4x6)</t>
        </is>
      </c>
      <c r="E31" s="42" t="inlineStr">
        <is>
          <t>Bản vẽ: 12,50 → 8,77 m³ (tr.44 bê tông đệm C10)</t>
        </is>
      </c>
      <c r="F31" s="42" t="inlineStr">
        <is>
          <t>12,50</t>
        </is>
      </c>
      <c r="G31" s="42" t="inlineStr">
        <is>
          <t>8,77</t>
        </is>
      </c>
      <c r="H31" s="42" t="inlineStr"/>
      <c r="I31" s="42" t="inlineStr"/>
    </row>
    <row r="32">
      <c r="A32" s="42" t="n">
        <v>29</v>
      </c>
      <c r="B32" s="42" t="inlineStr">
        <is>
          <t>Theo_Doi_Tan_Suat_Be_Tong</t>
        </is>
      </c>
      <c r="C32" s="42" t="n">
        <v>36</v>
      </c>
      <c r="D32" s="42" t="inlineStr">
        <is>
          <t>Bê tông lót móng bệ trụ T2 (M100 đá 4x6)</t>
        </is>
      </c>
      <c r="E32" s="42" t="inlineStr">
        <is>
          <t>Bản vẽ: 12,50 → 8,77 m³ (tr.55 bê tông đệm C10)</t>
        </is>
      </c>
      <c r="F32" s="42" t="inlineStr">
        <is>
          <t>12,50</t>
        </is>
      </c>
      <c r="G32" s="42" t="inlineStr">
        <is>
          <t>8,77</t>
        </is>
      </c>
      <c r="H32" s="42" t="inlineStr"/>
      <c r="I32" s="42" t="inlineStr"/>
    </row>
    <row r="33">
      <c r="A33" s="42" t="n">
        <v>30</v>
      </c>
      <c r="B33" s="42" t="inlineStr">
        <is>
          <t>Theo_Doi_Tan_Suat_Be_Tong</t>
        </is>
      </c>
      <c r="C33" s="42" t="n">
        <v>39</v>
      </c>
      <c r="D33" s="42" t="inlineStr">
        <is>
          <t>Bê tông lót móng bệ mố M2 (M100 đá 4x6)</t>
        </is>
      </c>
      <c r="E33" s="42" t="inlineStr">
        <is>
          <t>Bản vẽ: 9,55 → 7,09 m³ (tr.40 bê tông đệm C10). File cũ 9,55 m³ là tổng đệm của CẢ 2 mố (tr.175).</t>
        </is>
      </c>
      <c r="F33" s="42" t="inlineStr">
        <is>
          <t>9,55</t>
        </is>
      </c>
      <c r="G33" s="42" t="inlineStr">
        <is>
          <t>7,09</t>
        </is>
      </c>
      <c r="H33" s="42" t="inlineStr"/>
      <c r="I33" s="42" t="inlineStr"/>
    </row>
    <row r="34">
      <c r="A34" s="42" t="n">
        <v>31</v>
      </c>
      <c r="B34" s="42" t="inlineStr">
        <is>
          <t>Theo_Doi_Tan_Suat_Be_Tong</t>
        </is>
      </c>
      <c r="C34" s="42" t="n">
        <v>32</v>
      </c>
      <c r="D34" s="42" t="inlineStr">
        <is>
          <t>Bê tông bệ mố M1 (C30 đá 1x2)</t>
        </is>
      </c>
      <c r="E34" s="42" t="inlineStr">
        <is>
          <t>Bản vẽ: 74,50 → 0,00 m³ (tr.31 không có bệ mố M1). Tr.31 (mố M1 chân dê): tổng 75,12 m³ = tường thân 52,96 + tường đỉnh 14,23 + tường cánh 3,45 + gờ/ụ/tường tai 4,48 — không có bệ mố.</t>
        </is>
      </c>
      <c r="F34" s="42" t="inlineStr">
        <is>
          <t>74,50</t>
        </is>
      </c>
      <c r="G34" s="42" t="inlineStr">
        <is>
          <t>0,00</t>
        </is>
      </c>
      <c r="H34" s="42" t="inlineStr"/>
      <c r="I34" s="42" t="inlineStr"/>
    </row>
    <row r="35">
      <c r="A35" s="42" t="n">
        <v>32</v>
      </c>
      <c r="B35" s="42" t="inlineStr">
        <is>
          <t>Theo_Doi_Tan_Suat_Be_Tong</t>
        </is>
      </c>
      <c r="C35" s="42" t="n">
        <v>50</v>
      </c>
      <c r="D35" s="42" t="inlineStr">
        <is>
          <t>Bê tông tường thân mố M1 - Đợt 1 (C30 đá 1x2)</t>
        </is>
      </c>
      <c r="E35" s="42" t="inlineStr">
        <is>
          <t>Bản vẽ: 45,00 → 28,22 m³ (tr.31 tường thân mố M1, chia theo tỷ lệ 2 đợt cũ). Bản vẽ 52,96 m³ (file cũ 84,44 m³, giống số của mố M2) — chia 2 đợt theo tỷ lệ cũ; xác nhận cao độ mạch ngừng.</t>
        </is>
      </c>
      <c r="F35" s="42" t="inlineStr">
        <is>
          <t>45,00</t>
        </is>
      </c>
      <c r="G35" s="42" t="inlineStr">
        <is>
          <t>28,22</t>
        </is>
      </c>
      <c r="H35" s="42" t="inlineStr"/>
      <c r="I35" s="42" t="inlineStr"/>
    </row>
    <row r="36">
      <c r="A36" s="42" t="n">
        <v>33</v>
      </c>
      <c r="B36" s="42" t="inlineStr">
        <is>
          <t>Theo_Doi_Tan_Suat_Be_Tong</t>
        </is>
      </c>
      <c r="C36" s="42" t="n">
        <v>51</v>
      </c>
      <c r="D36" s="42" t="inlineStr">
        <is>
          <t>Bê tông tường thân mố M1 - Đợt 2 (C30 đá 1x2)</t>
        </is>
      </c>
      <c r="E36" s="42" t="inlineStr">
        <is>
          <t>Bản vẽ: 39,44 → 24,74 m³ (tr.31 tường thân mố M1, chia theo tỷ lệ 2 đợt cũ). Bản vẽ 52,96 m³ (file cũ 84,44 m³, giống số của mố M2) — chia 2 đợt theo tỷ lệ cũ; xác nhận cao độ mạch ngừng.</t>
        </is>
      </c>
      <c r="F36" s="42" t="inlineStr">
        <is>
          <t>39,44</t>
        </is>
      </c>
      <c r="G36" s="42" t="inlineStr">
        <is>
          <t>24,74</t>
        </is>
      </c>
      <c r="H36" s="42" t="inlineStr"/>
      <c r="I36" s="42" t="inlineStr"/>
    </row>
    <row r="37">
      <c r="A37" s="42" t="n">
        <v>34</v>
      </c>
      <c r="B37" s="42" t="inlineStr">
        <is>
          <t>Theo_Doi_Tan_Suat_Be_Tong</t>
        </is>
      </c>
      <c r="C37" s="42" t="n">
        <v>52</v>
      </c>
      <c r="D37" s="42" t="inlineStr">
        <is>
          <t>Bê tông tường đỉnh mố M1 &amp; đá kê gối (C30)</t>
        </is>
      </c>
      <c r="E37" s="42" t="inlineStr">
        <is>
          <t>Bản vẽ: 14,33 → 14,23 m³ (tr.31 tường đỉnh mố M1)</t>
        </is>
      </c>
      <c r="F37" s="42" t="inlineStr">
        <is>
          <t>14,33</t>
        </is>
      </c>
      <c r="G37" s="42" t="inlineStr">
        <is>
          <t>14,23</t>
        </is>
      </c>
      <c r="H37" s="42" t="inlineStr"/>
      <c r="I37" s="42" t="inlineStr"/>
    </row>
    <row r="38">
      <c r="A38" s="42" t="n">
        <v>35</v>
      </c>
      <c r="B38" s="42" t="inlineStr">
        <is>
          <t>Theo_Doi_Tan_Suat_Be_Tong</t>
        </is>
      </c>
      <c r="C38" s="42" t="n">
        <v>53</v>
      </c>
      <c r="D38" s="42" t="inlineStr">
        <is>
          <t>Bê tông tường cánh, gờ lan can, ụ chống chuyển vị, tường tai mố M1 (C30)</t>
        </is>
      </c>
      <c r="E38" s="42" t="inlineStr">
        <is>
          <t>Bản vẽ: 10,13 → 7,93 m³ (tr.31 tường cánh 3,45 + gờ lan can/ụ chống chuyển vị/tường tai 4,48). Gộp 'gờ lan can, ụ chống chuyển vị, tường tai' (tr.31) vào dòng tường cánh vì file chưa có dòng riêng.</t>
        </is>
      </c>
      <c r="F38" s="42" t="inlineStr">
        <is>
          <t>10,13</t>
        </is>
      </c>
      <c r="G38" s="42" t="inlineStr">
        <is>
          <t>7,93</t>
        </is>
      </c>
      <c r="H38" s="42" t="inlineStr"/>
      <c r="I38" s="42" t="inlineStr"/>
    </row>
    <row r="39">
      <c r="A39" s="42" t="n">
        <v>36</v>
      </c>
      <c r="B39" s="42" t="inlineStr">
        <is>
          <t>Theo_Doi_Tan_Suat_Be_Tong</t>
        </is>
      </c>
      <c r="C39" s="42" t="n">
        <v>40</v>
      </c>
      <c r="D39" s="42" t="inlineStr">
        <is>
          <t>Bê tông bệ mố M2 (C30 đá 1x2)</t>
        </is>
      </c>
      <c r="E39" s="42" t="inlineStr">
        <is>
          <t>Bản vẽ: 74,50 → 148,99 m³ (tr.40 bệ mố M2)</t>
        </is>
      </c>
      <c r="F39" s="42" t="inlineStr">
        <is>
          <t>74,50</t>
        </is>
      </c>
      <c r="G39" s="42" t="inlineStr">
        <is>
          <t>148,99</t>
        </is>
      </c>
      <c r="H39" s="42" t="inlineStr"/>
      <c r="I39" s="42" t="inlineStr"/>
    </row>
    <row r="40">
      <c r="A40" s="42" t="n">
        <v>37</v>
      </c>
      <c r="B40" s="42" t="inlineStr">
        <is>
          <t>Theo_Doi_Tan_Suat_Be_Tong</t>
        </is>
      </c>
      <c r="C40" s="42" t="n">
        <v>54</v>
      </c>
      <c r="D40" s="42" t="inlineStr">
        <is>
          <t>Bê tông tường thân mố M2 - Đợt 1 (C30 đá 1x2)</t>
        </is>
      </c>
      <c r="E40" s="42" t="inlineStr">
        <is>
          <t>Bản vẽ: 45,00 → 61,77 m³ (tr.40 tường thân mố M2, chia theo tỷ lệ 2 đợt cũ). Bản vẽ 115,91 m³ (file cũ 84,44 m³) — chia 2 đợt theo tỷ lệ cũ; xác nhận cao độ mạch ngừng.</t>
        </is>
      </c>
      <c r="F40" s="42" t="inlineStr">
        <is>
          <t>45,00</t>
        </is>
      </c>
      <c r="G40" s="42" t="inlineStr">
        <is>
          <t>61,77</t>
        </is>
      </c>
      <c r="H40" s="42" t="inlineStr"/>
      <c r="I40" s="42" t="inlineStr"/>
    </row>
    <row r="41">
      <c r="A41" s="42" t="n">
        <v>38</v>
      </c>
      <c r="B41" s="42" t="inlineStr">
        <is>
          <t>Theo_Doi_Tan_Suat_Be_Tong</t>
        </is>
      </c>
      <c r="C41" s="42" t="n">
        <v>55</v>
      </c>
      <c r="D41" s="42" t="inlineStr">
        <is>
          <t>Bê tông tường thân mố M2 - Đợt 2 (C30 đá 1x2)</t>
        </is>
      </c>
      <c r="E41" s="42" t="inlineStr">
        <is>
          <t>Bản vẽ: 39,44 → 54,14 m³ (tr.40 tường thân mố M2, chia theo tỷ lệ 2 đợt cũ). Bản vẽ 115,91 m³ (file cũ 84,44 m³) — chia 2 đợt theo tỷ lệ cũ; xác nhận cao độ mạch ngừng.</t>
        </is>
      </c>
      <c r="F41" s="42" t="inlineStr">
        <is>
          <t>39,44</t>
        </is>
      </c>
      <c r="G41" s="42" t="inlineStr">
        <is>
          <t>54,14</t>
        </is>
      </c>
      <c r="H41" s="42" t="inlineStr"/>
      <c r="I41" s="42" t="inlineStr"/>
    </row>
    <row r="42">
      <c r="A42" s="42" t="n">
        <v>39</v>
      </c>
      <c r="B42" s="42" t="inlineStr">
        <is>
          <t>Theo_Doi_Tan_Suat_Be_Tong</t>
        </is>
      </c>
      <c r="C42" s="42" t="n">
        <v>56</v>
      </c>
      <c r="D42" s="42" t="inlineStr">
        <is>
          <t>Bê tông tường đỉnh mố M2 &amp; đá kê gối (C30)</t>
        </is>
      </c>
      <c r="E42" s="42" t="inlineStr">
        <is>
          <t>Bản vẽ: 14,33 → 14,43 m³ (tr.40 tường đỉnh mố M2)</t>
        </is>
      </c>
      <c r="F42" s="42" t="inlineStr">
        <is>
          <t>14,33</t>
        </is>
      </c>
      <c r="G42" s="42" t="inlineStr">
        <is>
          <t>14,43</t>
        </is>
      </c>
      <c r="H42" s="42" t="inlineStr"/>
      <c r="I42" s="42" t="inlineStr"/>
    </row>
    <row r="43">
      <c r="A43" s="42" t="n">
        <v>40</v>
      </c>
      <c r="B43" s="42" t="inlineStr">
        <is>
          <t>Theo_Doi_Tan_Suat_Be_Tong</t>
        </is>
      </c>
      <c r="C43" s="42" t="n">
        <v>57</v>
      </c>
      <c r="D43" s="42" t="inlineStr">
        <is>
          <t>Bê tông tường cánh, gờ lan can, ụ chống chuyển vị, tường tai mố M2 (C30)</t>
        </is>
      </c>
      <c r="E43" s="42" t="inlineStr">
        <is>
          <t>Bản vẽ: 10,13 → 21,91 m³ (tr.40 tường cánh 16,81 + gờ lan can/ụ chống chuyển vị/tường tai 5,10). Gộp 'gờ lan can, ụ chống chuyển vị, tường tai' (tr.40) vào dòng tường cánh.</t>
        </is>
      </c>
      <c r="F43" s="42" t="inlineStr">
        <is>
          <t>10,13</t>
        </is>
      </c>
      <c r="G43" s="42" t="inlineStr">
        <is>
          <t>21,91</t>
        </is>
      </c>
      <c r="H43" s="42" t="inlineStr"/>
      <c r="I43" s="42" t="inlineStr"/>
    </row>
    <row r="44">
      <c r="A44" s="42" t="n">
        <v>41</v>
      </c>
      <c r="B44" s="42" t="inlineStr">
        <is>
          <t>Theo_Doi_Tan_Suat_Be_Tong</t>
        </is>
      </c>
      <c r="C44" s="42" t="n">
        <v>34</v>
      </c>
      <c r="D44" s="42" t="inlineStr">
        <is>
          <t>Bê tông bệ trụ T1 - Đợt 1 (C30 đá 1x2)</t>
        </is>
      </c>
      <c r="E44" s="42" t="inlineStr">
        <is>
          <t>Bản vẽ: 82,50 → 92,12 m³ (tr.44 bệ trụ T1, chia theo tỷ lệ 2 đợt cũ)</t>
        </is>
      </c>
      <c r="F44" s="42" t="inlineStr">
        <is>
          <t>82,50</t>
        </is>
      </c>
      <c r="G44" s="42" t="inlineStr">
        <is>
          <t>92,12</t>
        </is>
      </c>
      <c r="H44" s="42" t="inlineStr"/>
      <c r="I44" s="42" t="inlineStr"/>
    </row>
    <row r="45">
      <c r="A45" s="42" t="n">
        <v>42</v>
      </c>
      <c r="B45" s="42" t="inlineStr">
        <is>
          <t>Theo_Doi_Tan_Suat_Be_Tong</t>
        </is>
      </c>
      <c r="C45" s="42" t="n">
        <v>35</v>
      </c>
      <c r="D45" s="42" t="inlineStr">
        <is>
          <t>Bê tông bệ trụ T1 - Đợt 2 (C30 đá 1x2)</t>
        </is>
      </c>
      <c r="E45" s="42" t="inlineStr">
        <is>
          <t>Bản vẽ: 82,50 → 92,12 m³ (tr.44 bệ trụ T1, chia theo tỷ lệ 2 đợt cũ)</t>
        </is>
      </c>
      <c r="F45" s="42" t="inlineStr">
        <is>
          <t>82,50</t>
        </is>
      </c>
      <c r="G45" s="42" t="inlineStr">
        <is>
          <t>92,12</t>
        </is>
      </c>
      <c r="H45" s="42" t="inlineStr"/>
      <c r="I45" s="42" t="inlineStr"/>
    </row>
    <row r="46">
      <c r="A46" s="42" t="n">
        <v>43</v>
      </c>
      <c r="B46" s="42" t="inlineStr">
        <is>
          <t>Theo_Doi_Tan_Suat_Be_Tong</t>
        </is>
      </c>
      <c r="C46" s="42" t="n">
        <v>37</v>
      </c>
      <c r="D46" s="42" t="inlineStr">
        <is>
          <t>Bê tông bệ trụ T2 - Đợt 1 (C30 đá 1x2)</t>
        </is>
      </c>
      <c r="E46" s="42" t="inlineStr">
        <is>
          <t>Bản vẽ: 82,50 → 92,12 m³ (tr.55 bệ trụ T2, chia theo tỷ lệ 2 đợt cũ)</t>
        </is>
      </c>
      <c r="F46" s="42" t="inlineStr">
        <is>
          <t>82,50</t>
        </is>
      </c>
      <c r="G46" s="42" t="inlineStr">
        <is>
          <t>92,12</t>
        </is>
      </c>
      <c r="H46" s="42" t="inlineStr"/>
      <c r="I46" s="42" t="inlineStr"/>
    </row>
    <row r="47">
      <c r="A47" s="42" t="n">
        <v>44</v>
      </c>
      <c r="B47" s="42" t="inlineStr">
        <is>
          <t>Theo_Doi_Tan_Suat_Be_Tong</t>
        </is>
      </c>
      <c r="C47" s="42" t="n">
        <v>38</v>
      </c>
      <c r="D47" s="42" t="inlineStr">
        <is>
          <t>Bê tông bệ trụ T2 - Đợt 2 (C30 đá 1x2)</t>
        </is>
      </c>
      <c r="E47" s="42" t="inlineStr">
        <is>
          <t>Bản vẽ: 82,50 → 92,12 m³ (tr.55 bệ trụ T2, chia theo tỷ lệ 2 đợt cũ)</t>
        </is>
      </c>
      <c r="F47" s="42" t="inlineStr">
        <is>
          <t>82,50</t>
        </is>
      </c>
      <c r="G47" s="42" t="inlineStr">
        <is>
          <t>92,12</t>
        </is>
      </c>
      <c r="H47" s="42" t="inlineStr"/>
      <c r="I47" s="42" t="inlineStr"/>
    </row>
    <row r="48">
      <c r="A48" s="42" t="n">
        <v>45</v>
      </c>
      <c r="B48" s="42" t="inlineStr">
        <is>
          <t>Theo_Doi_Tan_Suat_Be_Tong</t>
        </is>
      </c>
      <c r="C48" s="42" t="n">
        <v>42</v>
      </c>
      <c r="D48" s="42" t="inlineStr">
        <is>
          <t>Bê tông thân trụ T1 - Đốt 1 (C30 đá 1x2)</t>
        </is>
      </c>
      <c r="E48" s="42" t="inlineStr">
        <is>
          <t>Bản vẽ: 42,00 → 80,87 m³ (tr.48 thân trụ T1, chia theo tỷ lệ 3 đốt cũ). Bản vẽ 234,92 m³ (file cũ 122 m³) — chia 3 đốt theo tỷ lệ cũ; xác nhận chiều cao từng đốt.</t>
        </is>
      </c>
      <c r="F48" s="42" t="inlineStr">
        <is>
          <t>42,00</t>
        </is>
      </c>
      <c r="G48" s="42" t="inlineStr">
        <is>
          <t>80,87</t>
        </is>
      </c>
      <c r="H48" s="42" t="inlineStr"/>
      <c r="I48" s="42" t="inlineStr"/>
    </row>
    <row r="49">
      <c r="A49" s="42" t="n">
        <v>46</v>
      </c>
      <c r="B49" s="42" t="inlineStr">
        <is>
          <t>Theo_Doi_Tan_Suat_Be_Tong</t>
        </is>
      </c>
      <c r="C49" s="42" t="n">
        <v>43</v>
      </c>
      <c r="D49" s="42" t="inlineStr">
        <is>
          <t>Bê tông thân trụ T1 - Đốt 2 (C30 đá 1x2)</t>
        </is>
      </c>
      <c r="E49" s="42" t="inlineStr">
        <is>
          <t>Bản vẽ: 42,00 → 80,87 m³ (tr.48 thân trụ T1, chia theo tỷ lệ 3 đốt cũ). Bản vẽ 234,92 m³ (file cũ 122 m³) — chia 3 đốt theo tỷ lệ cũ; xác nhận chiều cao từng đốt.</t>
        </is>
      </c>
      <c r="F49" s="42" t="inlineStr">
        <is>
          <t>42,00</t>
        </is>
      </c>
      <c r="G49" s="42" t="inlineStr">
        <is>
          <t>80,87</t>
        </is>
      </c>
      <c r="H49" s="42" t="inlineStr"/>
      <c r="I49" s="42" t="inlineStr"/>
    </row>
    <row r="50">
      <c r="A50" s="42" t="n">
        <v>47</v>
      </c>
      <c r="B50" s="42" t="inlineStr">
        <is>
          <t>Theo_Doi_Tan_Suat_Be_Tong</t>
        </is>
      </c>
      <c r="C50" s="42" t="n">
        <v>44</v>
      </c>
      <c r="D50" s="42" t="inlineStr">
        <is>
          <t>Bê tông thân trụ T1 - Đốt 3 (C30 đá 1x2)</t>
        </is>
      </c>
      <c r="E50" s="42" t="inlineStr">
        <is>
          <t>Bản vẽ: 38,00 → 73,18 m³ (tr.48 thân trụ T1, chia theo tỷ lệ 3 đốt cũ). Bản vẽ 234,92 m³ (file cũ 122 m³) — chia 3 đốt theo tỷ lệ cũ; xác nhận chiều cao từng đốt.</t>
        </is>
      </c>
      <c r="F50" s="42" t="inlineStr">
        <is>
          <t>38,00</t>
        </is>
      </c>
      <c r="G50" s="42" t="inlineStr">
        <is>
          <t>73,18</t>
        </is>
      </c>
      <c r="H50" s="42" t="inlineStr"/>
      <c r="I50" s="42" t="inlineStr"/>
    </row>
    <row r="51">
      <c r="A51" s="42" t="n">
        <v>48</v>
      </c>
      <c r="B51" s="42" t="inlineStr">
        <is>
          <t>Theo_Doi_Tan_Suat_Be_Tong</t>
        </is>
      </c>
      <c r="C51" s="42" t="n">
        <v>46</v>
      </c>
      <c r="D51" s="42" t="inlineStr">
        <is>
          <t>Bê tông thân trụ T2 - Đốt 1 (C30 đá 1x2)</t>
        </is>
      </c>
      <c r="E51" s="42" t="inlineStr">
        <is>
          <t>Bản vẽ: 45,00 → 90,95 m³ (tr.59 thân trụ T2, chia theo tỷ lệ 3 đốt cũ). Bản vẽ 266,79 m³ (file cũ 132 m³) — chia 3 đốt theo tỷ lệ cũ; xác nhận chiều cao từng đốt.</t>
        </is>
      </c>
      <c r="F51" s="42" t="inlineStr">
        <is>
          <t>45,00</t>
        </is>
      </c>
      <c r="G51" s="42" t="inlineStr">
        <is>
          <t>90,95</t>
        </is>
      </c>
      <c r="H51" s="42" t="inlineStr"/>
      <c r="I51" s="42" t="inlineStr"/>
    </row>
    <row r="52">
      <c r="A52" s="42" t="n">
        <v>49</v>
      </c>
      <c r="B52" s="42" t="inlineStr">
        <is>
          <t>Theo_Doi_Tan_Suat_Be_Tong</t>
        </is>
      </c>
      <c r="C52" s="42" t="n">
        <v>47</v>
      </c>
      <c r="D52" s="42" t="inlineStr">
        <is>
          <t>Bê tông thân trụ T2 - Đốt 2 (C30 đá 1x2)</t>
        </is>
      </c>
      <c r="E52" s="42" t="inlineStr">
        <is>
          <t>Bản vẽ: 45,00 → 90,95 m³ (tr.59 thân trụ T2, chia theo tỷ lệ 3 đốt cũ). Bản vẽ 266,79 m³ (file cũ 132 m³) — chia 3 đốt theo tỷ lệ cũ; xác nhận chiều cao từng đốt.</t>
        </is>
      </c>
      <c r="F52" s="42" t="inlineStr">
        <is>
          <t>45,00</t>
        </is>
      </c>
      <c r="G52" s="42" t="inlineStr">
        <is>
          <t>90,95</t>
        </is>
      </c>
      <c r="H52" s="42" t="inlineStr"/>
      <c r="I52" s="42" t="inlineStr"/>
    </row>
    <row r="53">
      <c r="A53" s="42" t="n">
        <v>50</v>
      </c>
      <c r="B53" s="42" t="inlineStr">
        <is>
          <t>Theo_Doi_Tan_Suat_Be_Tong</t>
        </is>
      </c>
      <c r="C53" s="42" t="n">
        <v>48</v>
      </c>
      <c r="D53" s="42" t="inlineStr">
        <is>
          <t>Bê tông thân trụ T2 - Đốt 3 (C30 đá 1x2)</t>
        </is>
      </c>
      <c r="E53" s="42" t="inlineStr">
        <is>
          <t>Bản vẽ: 42,00 → 84,89 m³ (tr.59 thân trụ T2, chia theo tỷ lệ 3 đốt cũ). Bản vẽ 266,79 m³ (file cũ 132 m³) — chia 3 đốt theo tỷ lệ cũ; xác nhận chiều cao từng đốt.</t>
        </is>
      </c>
      <c r="F53" s="42" t="inlineStr">
        <is>
          <t>42,00</t>
        </is>
      </c>
      <c r="G53" s="42" t="inlineStr">
        <is>
          <t>84,89</t>
        </is>
      </c>
      <c r="H53" s="42" t="inlineStr"/>
      <c r="I53" s="42" t="inlineStr"/>
    </row>
    <row r="54">
      <c r="A54" s="42" t="n">
        <v>51</v>
      </c>
      <c r="B54" s="42" t="inlineStr">
        <is>
          <t>Theo_Doi_Tan_Suat_Be_Tong</t>
        </is>
      </c>
      <c r="C54" s="42" t="n">
        <v>45</v>
      </c>
      <c r="D54" s="42" t="inlineStr">
        <is>
          <t>Bê tông xà mũ trụ T1 &amp; đá kê gối (C35/C30 đá 1x2)</t>
        </is>
      </c>
      <c r="E54" s="42" t="inlineStr">
        <is>
          <t>Bản vẽ: 45,00 → 72,51 m³ (tr.51 xà mũ trụ T1)</t>
        </is>
      </c>
      <c r="F54" s="42" t="inlineStr">
        <is>
          <t>45,00</t>
        </is>
      </c>
      <c r="G54" s="42" t="inlineStr">
        <is>
          <t>72,51</t>
        </is>
      </c>
      <c r="H54" s="42" t="inlineStr"/>
      <c r="I54" s="42" t="inlineStr"/>
    </row>
    <row r="55">
      <c r="A55" s="42" t="n">
        <v>52</v>
      </c>
      <c r="B55" s="42" t="inlineStr">
        <is>
          <t>Theo_Doi_Tan_Suat_Be_Tong</t>
        </is>
      </c>
      <c r="C55" s="42" t="n">
        <v>49</v>
      </c>
      <c r="D55" s="42" t="inlineStr">
        <is>
          <t>Bê tông xà mũ trụ T2 &amp; đá kê gối (C35/C30 đá 1x2)</t>
        </is>
      </c>
      <c r="E55" s="42" t="inlineStr">
        <is>
          <t>Bản vẽ: 45,00 → 72,51 m³ (tr.62 xà mũ trụ T2)</t>
        </is>
      </c>
      <c r="F55" s="42" t="inlineStr">
        <is>
          <t>45,00</t>
        </is>
      </c>
      <c r="G55" s="42" t="inlineStr">
        <is>
          <t>72,51</t>
        </is>
      </c>
      <c r="H55" s="42" t="inlineStr"/>
      <c r="I55" s="42" t="inlineStr"/>
    </row>
    <row r="56">
      <c r="A56" s="42" t="n">
        <v>53</v>
      </c>
      <c r="B56" s="42" t="inlineStr">
        <is>
          <t>Theo_Doi_Tan_Suat_Be_Tong</t>
        </is>
      </c>
      <c r="C56" s="42" t="n">
        <v>59</v>
      </c>
      <c r="D56" s="42" t="inlineStr">
        <is>
          <t>Bê tông dầm Super-T Nhịp 1 - Phiến D1 (C45 đá 1x2)</t>
        </is>
      </c>
      <c r="E56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56" s="42" t="inlineStr">
        <is>
          <t>28,99</t>
        </is>
      </c>
      <c r="G56" s="42" t="inlineStr">
        <is>
          <t>28,99</t>
        </is>
      </c>
      <c r="H56" s="42" t="inlineStr"/>
      <c r="I56" s="42" t="inlineStr"/>
    </row>
    <row r="57">
      <c r="A57" s="42" t="n">
        <v>54</v>
      </c>
      <c r="B57" s="42" t="inlineStr">
        <is>
          <t>Theo_Doi_Tan_Suat_Be_Tong</t>
        </is>
      </c>
      <c r="C57" s="42" t="n">
        <v>60</v>
      </c>
      <c r="D57" s="42" t="inlineStr">
        <is>
          <t>Bê tông dầm Super-T Nhịp 1 - Phiến D2 (C45 đá 1x2)</t>
        </is>
      </c>
      <c r="E57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57" s="42" t="inlineStr">
        <is>
          <t>28,99</t>
        </is>
      </c>
      <c r="G57" s="42" t="inlineStr">
        <is>
          <t>28,99</t>
        </is>
      </c>
      <c r="H57" s="42" t="inlineStr"/>
      <c r="I57" s="42" t="inlineStr"/>
    </row>
    <row r="58">
      <c r="A58" s="42" t="n">
        <v>55</v>
      </c>
      <c r="B58" s="42" t="inlineStr">
        <is>
          <t>Theo_Doi_Tan_Suat_Be_Tong</t>
        </is>
      </c>
      <c r="C58" s="42" t="n">
        <v>61</v>
      </c>
      <c r="D58" s="42" t="inlineStr">
        <is>
          <t>Bê tông dầm Super-T Nhịp 1 - Phiến D3 (C45 đá 1x2)</t>
        </is>
      </c>
      <c r="E58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58" s="42" t="inlineStr">
        <is>
          <t>28,99</t>
        </is>
      </c>
      <c r="G58" s="42" t="inlineStr">
        <is>
          <t>28,99</t>
        </is>
      </c>
      <c r="H58" s="42" t="inlineStr"/>
      <c r="I58" s="42" t="inlineStr"/>
    </row>
    <row r="59">
      <c r="A59" s="42" t="n">
        <v>56</v>
      </c>
      <c r="B59" s="42" t="inlineStr">
        <is>
          <t>Theo_Doi_Tan_Suat_Be_Tong</t>
        </is>
      </c>
      <c r="C59" s="42" t="n">
        <v>62</v>
      </c>
      <c r="D59" s="42" t="inlineStr">
        <is>
          <t>Bê tông dầm Super-T Nhịp 1 - Phiến D4 (C45 đá 1x2)</t>
        </is>
      </c>
      <c r="E59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59" s="42" t="inlineStr">
        <is>
          <t>28,99</t>
        </is>
      </c>
      <c r="G59" s="42" t="inlineStr">
        <is>
          <t>28,99</t>
        </is>
      </c>
      <c r="H59" s="42" t="inlineStr"/>
      <c r="I59" s="42" t="inlineStr"/>
    </row>
    <row r="60">
      <c r="A60" s="42" t="n">
        <v>57</v>
      </c>
      <c r="B60" s="42" t="inlineStr">
        <is>
          <t>Theo_Doi_Tan_Suat_Be_Tong</t>
        </is>
      </c>
      <c r="C60" s="42" t="n">
        <v>63</v>
      </c>
      <c r="D60" s="42" t="inlineStr">
        <is>
          <t>Bê tông dầm Super-T Nhịp 1 - Phiến D5 (C45 đá 1x2)</t>
        </is>
      </c>
      <c r="E60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0" s="42" t="inlineStr">
        <is>
          <t>28,99</t>
        </is>
      </c>
      <c r="G60" s="42" t="inlineStr">
        <is>
          <t>28,99</t>
        </is>
      </c>
      <c r="H60" s="42" t="inlineStr"/>
      <c r="I60" s="42" t="inlineStr"/>
    </row>
    <row r="61">
      <c r="A61" s="42" t="n">
        <v>58</v>
      </c>
      <c r="B61" s="42" t="inlineStr">
        <is>
          <t>Theo_Doi_Tan_Suat_Be_Tong</t>
        </is>
      </c>
      <c r="C61" s="42" t="n">
        <v>64</v>
      </c>
      <c r="D61" s="42" t="inlineStr">
        <is>
          <t>Bê tông dầm Super-T Nhịp 2 - Phiến D1 (C45 đá 1x2)</t>
        </is>
      </c>
      <c r="E61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1" s="42" t="inlineStr">
        <is>
          <t>28,99</t>
        </is>
      </c>
      <c r="G61" s="42" t="inlineStr">
        <is>
          <t>28,99</t>
        </is>
      </c>
      <c r="H61" s="42" t="inlineStr"/>
      <c r="I61" s="42" t="inlineStr"/>
    </row>
    <row r="62">
      <c r="A62" s="42" t="n">
        <v>59</v>
      </c>
      <c r="B62" s="42" t="inlineStr">
        <is>
          <t>Theo_Doi_Tan_Suat_Be_Tong</t>
        </is>
      </c>
      <c r="C62" s="42" t="n">
        <v>65</v>
      </c>
      <c r="D62" s="42" t="inlineStr">
        <is>
          <t>Bê tông dầm Super-T Nhịp 2 - Phiến D2 (C45 đá 1x2)</t>
        </is>
      </c>
      <c r="E62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2" s="42" t="inlineStr">
        <is>
          <t>28,99</t>
        </is>
      </c>
      <c r="G62" s="42" t="inlineStr">
        <is>
          <t>28,99</t>
        </is>
      </c>
      <c r="H62" s="42" t="inlineStr"/>
      <c r="I62" s="42" t="inlineStr"/>
    </row>
    <row r="63">
      <c r="A63" s="42" t="n">
        <v>60</v>
      </c>
      <c r="B63" s="42" t="inlineStr">
        <is>
          <t>Theo_Doi_Tan_Suat_Be_Tong</t>
        </is>
      </c>
      <c r="C63" s="42" t="n">
        <v>66</v>
      </c>
      <c r="D63" s="42" t="inlineStr">
        <is>
          <t>Bê tông dầm Super-T Nhịp 2 - Phiến D3 (C45 đá 1x2)</t>
        </is>
      </c>
      <c r="E63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3" s="42" t="inlineStr">
        <is>
          <t>28,99</t>
        </is>
      </c>
      <c r="G63" s="42" t="inlineStr">
        <is>
          <t>28,99</t>
        </is>
      </c>
      <c r="H63" s="42" t="inlineStr"/>
      <c r="I63" s="42" t="inlineStr"/>
    </row>
    <row r="64">
      <c r="A64" s="42" t="n">
        <v>61</v>
      </c>
      <c r="B64" s="42" t="inlineStr">
        <is>
          <t>Theo_Doi_Tan_Suat_Be_Tong</t>
        </is>
      </c>
      <c r="C64" s="42" t="n">
        <v>67</v>
      </c>
      <c r="D64" s="42" t="inlineStr">
        <is>
          <t>Bê tông dầm Super-T Nhịp 2 - Phiến D4 (C45 đá 1x2)</t>
        </is>
      </c>
      <c r="E64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4" s="42" t="inlineStr">
        <is>
          <t>28,99</t>
        </is>
      </c>
      <c r="G64" s="42" t="inlineStr">
        <is>
          <t>28,99</t>
        </is>
      </c>
      <c r="H64" s="42" t="inlineStr"/>
      <c r="I64" s="42" t="inlineStr"/>
    </row>
    <row r="65">
      <c r="A65" s="42" t="n">
        <v>62</v>
      </c>
      <c r="B65" s="42" t="inlineStr">
        <is>
          <t>Theo_Doi_Tan_Suat_Be_Tong</t>
        </is>
      </c>
      <c r="C65" s="42" t="n">
        <v>68</v>
      </c>
      <c r="D65" s="42" t="inlineStr">
        <is>
          <t>Bê tông dầm Super-T Nhịp 2 - Phiến D5 (C45 đá 1x2)</t>
        </is>
      </c>
      <c r="E65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5" s="42" t="inlineStr">
        <is>
          <t>28,99</t>
        </is>
      </c>
      <c r="G65" s="42" t="inlineStr">
        <is>
          <t>28,99</t>
        </is>
      </c>
      <c r="H65" s="42" t="inlineStr"/>
      <c r="I65" s="42" t="inlineStr"/>
    </row>
    <row r="66">
      <c r="A66" s="42" t="n">
        <v>63</v>
      </c>
      <c r="B66" s="42" t="inlineStr">
        <is>
          <t>Theo_Doi_Tan_Suat_Be_Tong</t>
        </is>
      </c>
      <c r="C66" s="42" t="n">
        <v>69</v>
      </c>
      <c r="D66" s="42" t="inlineStr">
        <is>
          <t>Bê tông dầm Super-T Nhịp 3 - Phiến D1 (C45 đá 1x2)</t>
        </is>
      </c>
      <c r="E66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6" s="42" t="inlineStr">
        <is>
          <t>28,99</t>
        </is>
      </c>
      <c r="G66" s="42" t="inlineStr">
        <is>
          <t>28,99</t>
        </is>
      </c>
      <c r="H66" s="42" t="inlineStr"/>
      <c r="I66" s="42" t="inlineStr"/>
    </row>
    <row r="67">
      <c r="A67" s="42" t="n">
        <v>64</v>
      </c>
      <c r="B67" s="42" t="inlineStr">
        <is>
          <t>Theo_Doi_Tan_Suat_Be_Tong</t>
        </is>
      </c>
      <c r="C67" s="42" t="n">
        <v>70</v>
      </c>
      <c r="D67" s="42" t="inlineStr">
        <is>
          <t>Bê tông dầm Super-T Nhịp 3 - Phiến D2 (C45 đá 1x2)</t>
        </is>
      </c>
      <c r="E67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7" s="42" t="inlineStr">
        <is>
          <t>28,99</t>
        </is>
      </c>
      <c r="G67" s="42" t="inlineStr">
        <is>
          <t>28,99</t>
        </is>
      </c>
      <c r="H67" s="42" t="inlineStr"/>
      <c r="I67" s="42" t="inlineStr"/>
    </row>
    <row r="68">
      <c r="A68" s="42" t="n">
        <v>65</v>
      </c>
      <c r="B68" s="42" t="inlineStr">
        <is>
          <t>Theo_Doi_Tan_Suat_Be_Tong</t>
        </is>
      </c>
      <c r="C68" s="42" t="n">
        <v>71</v>
      </c>
      <c r="D68" s="42" t="inlineStr">
        <is>
          <t>Bê tông dầm Super-T Nhịp 3 - Phiến D3 (C45 đá 1x2)</t>
        </is>
      </c>
      <c r="E68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8" s="42" t="inlineStr">
        <is>
          <t>28,99</t>
        </is>
      </c>
      <c r="G68" s="42" t="inlineStr">
        <is>
          <t>28,99</t>
        </is>
      </c>
      <c r="H68" s="42" t="inlineStr"/>
      <c r="I68" s="42" t="inlineStr"/>
    </row>
    <row r="69">
      <c r="A69" s="42" t="n">
        <v>66</v>
      </c>
      <c r="B69" s="42" t="inlineStr">
        <is>
          <t>Theo_Doi_Tan_Suat_Be_Tong</t>
        </is>
      </c>
      <c r="C69" s="42" t="n">
        <v>72</v>
      </c>
      <c r="D69" s="42" t="inlineStr">
        <is>
          <t>Bê tông dầm Super-T Nhịp 3 - Phiến D4 (C45 đá 1x2)</t>
        </is>
      </c>
      <c r="E69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69" s="42" t="inlineStr">
        <is>
          <t>28,99</t>
        </is>
      </c>
      <c r="G69" s="42" t="inlineStr">
        <is>
          <t>28,99</t>
        </is>
      </c>
      <c r="H69" s="42" t="inlineStr"/>
      <c r="I69" s="42" t="inlineStr"/>
    </row>
    <row r="70">
      <c r="A70" s="42" t="n">
        <v>67</v>
      </c>
      <c r="B70" s="42" t="inlineStr">
        <is>
          <t>Theo_Doi_Tan_Suat_Be_Tong</t>
        </is>
      </c>
      <c r="C70" s="42" t="n">
        <v>73</v>
      </c>
      <c r="D70" s="42" t="inlineStr">
        <is>
          <t>Bê tông dầm Super-T Nhịp 3 - Phiến D5 (C45 đá 1x2)</t>
        </is>
      </c>
      <c r="E70" s="42" t="inlineStr">
        <is>
          <t>Khớp bản vẽ (tr.175 bê tông 15 phiến ÷ 15). Bình quân 15 phiến; từng loại: S1B1 29,25 (tr.88), S1G 28,83 (tr.94) m³ — thay theo loại phiến khi có sơ đồ vị trí.</t>
        </is>
      </c>
      <c r="F70" s="42" t="inlineStr">
        <is>
          <t>28,99</t>
        </is>
      </c>
      <c r="G70" s="42" t="inlineStr">
        <is>
          <t>28,99</t>
        </is>
      </c>
      <c r="H70" s="42" t="inlineStr"/>
      <c r="I70" s="42" t="inlineStr"/>
    </row>
    <row r="71">
      <c r="A71" s="42" t="n">
        <v>68</v>
      </c>
      <c r="B71" s="42" t="inlineStr">
        <is>
          <t>Theo_Doi_Tan_Suat_Be_Tong</t>
        </is>
      </c>
      <c r="C71" s="42" t="n">
        <v>78</v>
      </c>
      <c r="D71" s="42" t="inlineStr">
        <is>
          <t>Bê tông bản liên tục nhiệt tại trụ T1, T2 (C35 đá 1x2)</t>
        </is>
      </c>
      <c r="E71" s="42" t="inlineStr">
        <is>
          <t>Bản vẽ: 8,50 → 21,87 m³ (tr.175 (tr.112: 2 vị trí × 10,93)). File cũ 8,5 m³ ghi C45; bản vẽ 21,87 m³ C35, đổ ở 2 vị trí — nên tách 2 dòng để lấy mẫu từng lần đổ.</t>
        </is>
      </c>
      <c r="F71" s="42" t="inlineStr">
        <is>
          <t>8,50</t>
        </is>
      </c>
      <c r="G71" s="42" t="inlineStr">
        <is>
          <t>21,87</t>
        </is>
      </c>
      <c r="H71" s="42" t="inlineStr"/>
      <c r="I71" s="42" t="inlineStr"/>
    </row>
    <row r="72">
      <c r="A72" s="42" t="n">
        <v>69</v>
      </c>
      <c r="B72" s="42" t="inlineStr">
        <is>
          <t>Theo_Doi_Tan_Suat_Be_Tong</t>
        </is>
      </c>
      <c r="C72" s="42" t="n">
        <v>79</v>
      </c>
      <c r="D72" s="42" t="inlineStr">
        <is>
          <t>Bê tông bản mặt cầu Nhịp 1 (C35 đá 1x2)</t>
        </is>
      </c>
      <c r="E72" s="42" t="inlineStr">
        <is>
          <t>Bản vẽ: 85,00 → 102,53 m³ (tr.112 bản mặt cầu loại 1 (1 nhịp)). Tr.112/175: 2 nhịp loại 1 (102,53) + 1 nhịp loại 2 (100,40) = 305,465 m³. Chưa rõ nhịp nào loại 2 — đang gán nhịp 2.</t>
        </is>
      </c>
      <c r="F72" s="42" t="inlineStr">
        <is>
          <t>85,00</t>
        </is>
      </c>
      <c r="G72" s="42" t="inlineStr">
        <is>
          <t>102,53</t>
        </is>
      </c>
      <c r="H72" s="42" t="inlineStr"/>
      <c r="I72" s="42" t="inlineStr"/>
    </row>
    <row r="73">
      <c r="A73" s="42" t="n">
        <v>70</v>
      </c>
      <c r="B73" s="42" t="inlineStr">
        <is>
          <t>Theo_Doi_Tan_Suat_Be_Tong</t>
        </is>
      </c>
      <c r="C73" s="42" t="n">
        <v>80</v>
      </c>
      <c r="D73" s="42" t="inlineStr">
        <is>
          <t>Bê tông bản mặt cầu Nhịp 2 (C35 đá 1x2)</t>
        </is>
      </c>
      <c r="E73" s="42" t="inlineStr">
        <is>
          <t>Bản vẽ: 85,00 → 100,40 m³ (tr.112 bản mặt cầu loại 2 (1 nhịp)). Chưa rõ nhịp nào loại 2 — đang gán nhịp 2.</t>
        </is>
      </c>
      <c r="F73" s="42" t="inlineStr">
        <is>
          <t>85,00</t>
        </is>
      </c>
      <c r="G73" s="42" t="inlineStr">
        <is>
          <t>100,40</t>
        </is>
      </c>
      <c r="H73" s="42" t="inlineStr"/>
      <c r="I73" s="42" t="inlineStr"/>
    </row>
    <row r="74">
      <c r="A74" s="42" t="n">
        <v>71</v>
      </c>
      <c r="B74" s="42" t="inlineStr">
        <is>
          <t>Theo_Doi_Tan_Suat_Be_Tong</t>
        </is>
      </c>
      <c r="C74" s="42" t="n">
        <v>81</v>
      </c>
      <c r="D74" s="42" t="inlineStr">
        <is>
          <t>Bê tông bản mặt cầu Nhịp 3 (C35 đá 1x2)</t>
        </is>
      </c>
      <c r="E74" s="42" t="inlineStr">
        <is>
          <t>Bản vẽ: 85,00 → 102,53 m³ (tr.112 bản mặt cầu loại 1 (1 nhịp))</t>
        </is>
      </c>
      <c r="F74" s="42" t="inlineStr">
        <is>
          <t>85,00</t>
        </is>
      </c>
      <c r="G74" s="42" t="inlineStr">
        <is>
          <t>102,53</t>
        </is>
      </c>
      <c r="H74" s="42" t="inlineStr"/>
      <c r="I74" s="42" t="inlineStr"/>
    </row>
    <row r="75">
      <c r="A75" s="42" t="n">
        <v>72</v>
      </c>
      <c r="B75" s="42" t="inlineStr">
        <is>
          <t>Theo_Doi_Tan_Suat_Be_Tong</t>
        </is>
      </c>
      <c r="C75" s="42" t="n">
        <v>82</v>
      </c>
      <c r="D75" s="42" t="inlineStr">
        <is>
          <t>Bê tông bản quá độ mố M1 (C25 đá 1x2)</t>
        </is>
      </c>
      <c r="E75" s="42" t="inlineStr">
        <is>
          <t>Bản vẽ: 16,00 → 29,10 m³ (tr.126 bản quá độ A1). File cũ 16 m³ ghi C30; bản vẽ 29,10 m³ C25.</t>
        </is>
      </c>
      <c r="F75" s="42" t="inlineStr">
        <is>
          <t>16,00</t>
        </is>
      </c>
      <c r="G75" s="42" t="inlineStr">
        <is>
          <t>29,10</t>
        </is>
      </c>
      <c r="H75" s="42" t="inlineStr"/>
      <c r="I75" s="42" t="inlineStr"/>
    </row>
    <row r="76">
      <c r="A76" s="42" t="n">
        <v>73</v>
      </c>
      <c r="B76" s="42" t="inlineStr">
        <is>
          <t>Theo_Doi_Tan_Suat_Be_Tong</t>
        </is>
      </c>
      <c r="C76" s="42" t="n">
        <v>83</v>
      </c>
      <c r="D76" s="42" t="inlineStr">
        <is>
          <t>Bê tông bản quá độ mố M2 (C25 đá 1x2)</t>
        </is>
      </c>
      <c r="E76" s="42" t="inlineStr">
        <is>
          <t>Bản vẽ: 16,00 → 38,28 m³ (tr.128 bản quá độ A2). File cũ 16 m³ ghi C30; bản vẽ 38,28 m³ C25.</t>
        </is>
      </c>
      <c r="F76" s="42" t="inlineStr">
        <is>
          <t>16,00</t>
        </is>
      </c>
      <c r="G76" s="42" t="inlineStr">
        <is>
          <t>38,28</t>
        </is>
      </c>
      <c r="H76" s="42" t="inlineStr"/>
      <c r="I76" s="42" t="inlineStr"/>
    </row>
    <row r="77">
      <c r="A77" s="42" t="n">
        <v>74</v>
      </c>
      <c r="B77" s="42" t="inlineStr">
        <is>
          <t>Theo_Doi_Tan_Suat_Be_Tong</t>
        </is>
      </c>
      <c r="C77" s="42" t="n">
        <v>84</v>
      </c>
      <c r="D77" s="42" t="inlineStr">
        <is>
          <t>Bê tông gờ lan can mố M1 &amp; Nhịp 1 (C25 đá 1x2)</t>
        </is>
      </c>
      <c r="E77" s="42" t="inlineStr">
        <is>
          <t>Bản vẽ: 9,50 → 52,14 m³ (tr.175/tr.119 gờ lan can C25, chia theo tỷ lệ 2 đợt cũ). File cũ 2 × 9,5 m³ C30; bản vẽ 104,28 m³ C25 (19 đốt) — nên tách theo đợt đổ thực tế.</t>
        </is>
      </c>
      <c r="F77" s="42" t="inlineStr">
        <is>
          <t>9,50</t>
        </is>
      </c>
      <c r="G77" s="42" t="inlineStr">
        <is>
          <t>52,14</t>
        </is>
      </c>
      <c r="H77" s="42" t="inlineStr"/>
      <c r="I77" s="42" t="inlineStr"/>
    </row>
    <row r="78">
      <c r="A78" s="42" t="n">
        <v>75</v>
      </c>
      <c r="B78" s="42" t="inlineStr">
        <is>
          <t>Theo_Doi_Tan_Suat_Be_Tong</t>
        </is>
      </c>
      <c r="C78" s="42" t="n">
        <v>85</v>
      </c>
      <c r="D78" s="42" t="inlineStr">
        <is>
          <t>Bê tông gờ lan can Nhịp 2, Nhịp 3 &amp; mố M2 (C25)</t>
        </is>
      </c>
      <c r="E78" s="42" t="inlineStr">
        <is>
          <t>Bản vẽ: 9,50 → 52,14 m³ (tr.175/tr.119 gờ lan can C25, chia theo tỷ lệ 2 đợt cũ). File cũ 2 × 9,5 m³ C30; bản vẽ 104,28 m³ C25 (19 đốt) — nên tách theo đợt đổ thực tế.</t>
        </is>
      </c>
      <c r="F78" s="42" t="inlineStr">
        <is>
          <t>9,50</t>
        </is>
      </c>
      <c r="G78" s="42" t="inlineStr">
        <is>
          <t>52,14</t>
        </is>
      </c>
      <c r="H78" s="42" t="inlineStr"/>
      <c r="I78" s="42" t="inlineStr"/>
    </row>
    <row r="79">
      <c r="A79" s="42" t="n">
        <v>76</v>
      </c>
      <c r="B79" s="42" t="inlineStr">
        <is>
          <t>Theo_Doi_Tan_Suat_Be_Tong</t>
        </is>
      </c>
      <c r="C79" s="42" t="n">
        <v>31</v>
      </c>
      <c r="D79" s="42" t="inlineStr">
        <is>
          <t>Bê tông lót móng bệ mố M1 (M100 đá 4x6)</t>
        </is>
      </c>
      <c r="E79" s="42" t="inlineStr">
        <is>
          <t>Mác M100 chưa có cấp phối riêng — đang dùng cấp phối C30 (0,425 t XM; 0,555 m³ cát; 0,700 m³ đá / m³). Nhập cấp phối được duyệt.</t>
        </is>
      </c>
      <c r="F79" s="42" t="inlineStr"/>
      <c r="G79" s="42" t="inlineStr"/>
      <c r="H79" s="42" t="inlineStr"/>
      <c r="I79" s="42" t="inlineStr"/>
    </row>
    <row r="80">
      <c r="A80" s="42" t="n">
        <v>77</v>
      </c>
      <c r="B80" s="42" t="inlineStr">
        <is>
          <t>Theo_Doi_Tan_Suat_Be_Tong</t>
        </is>
      </c>
      <c r="C80" s="42" t="n">
        <v>33</v>
      </c>
      <c r="D80" s="42" t="inlineStr">
        <is>
          <t>Bê tông lót móng bệ trụ T1 (M100 đá 4x6)</t>
        </is>
      </c>
      <c r="E80" s="42" t="inlineStr">
        <is>
          <t>Mác M100 chưa có cấp phối riêng — đang dùng cấp phối C30 (0,425 t XM; 0,555 m³ cát; 0,700 m³ đá / m³). Nhập cấp phối được duyệt.</t>
        </is>
      </c>
      <c r="F80" s="42" t="inlineStr"/>
      <c r="G80" s="42" t="inlineStr"/>
      <c r="H80" s="42" t="inlineStr"/>
      <c r="I80" s="42" t="inlineStr"/>
    </row>
    <row r="81">
      <c r="A81" s="42" t="n">
        <v>78</v>
      </c>
      <c r="B81" s="42" t="inlineStr">
        <is>
          <t>Theo_Doi_Tan_Suat_Be_Tong</t>
        </is>
      </c>
      <c r="C81" s="42" t="n">
        <v>36</v>
      </c>
      <c r="D81" s="42" t="inlineStr">
        <is>
          <t>Bê tông lót móng bệ trụ T2 (M100 đá 4x6)</t>
        </is>
      </c>
      <c r="E81" s="42" t="inlineStr">
        <is>
          <t>Mác M100 chưa có cấp phối riêng — đang dùng cấp phối C30 (0,425 t XM; 0,555 m³ cát; 0,700 m³ đá / m³). Nhập cấp phối được duyệt.</t>
        </is>
      </c>
      <c r="F81" s="42" t="inlineStr"/>
      <c r="G81" s="42" t="inlineStr"/>
      <c r="H81" s="42" t="inlineStr"/>
      <c r="I81" s="42" t="inlineStr"/>
    </row>
    <row r="82">
      <c r="A82" s="42" t="n">
        <v>79</v>
      </c>
      <c r="B82" s="42" t="inlineStr">
        <is>
          <t>Theo_Doi_Tan_Suat_Be_Tong</t>
        </is>
      </c>
      <c r="C82" s="42" t="n">
        <v>39</v>
      </c>
      <c r="D82" s="42" t="inlineStr">
        <is>
          <t>Bê tông lót móng bệ mố M2 (M100 đá 4x6)</t>
        </is>
      </c>
      <c r="E82" s="42" t="inlineStr">
        <is>
          <t>Mác M100 chưa có cấp phối riêng — đang dùng cấp phối C30 (0,425 t XM; 0,555 m³ cát; 0,700 m³ đá / m³). Nhập cấp phối được duyệt.</t>
        </is>
      </c>
      <c r="F82" s="42" t="inlineStr"/>
      <c r="G82" s="42" t="inlineStr"/>
      <c r="H82" s="42" t="inlineStr"/>
      <c r="I82" s="42" t="inlineStr"/>
    </row>
    <row r="83">
      <c r="A83" s="42" t="n">
        <v>80</v>
      </c>
      <c r="B83" s="42" t="inlineStr">
        <is>
          <t>Theo_Doi_Tan_Suat_Be_Tong</t>
        </is>
      </c>
      <c r="C83" s="42" t="n">
        <v>45</v>
      </c>
      <c r="D83" s="42" t="inlineStr">
        <is>
          <t>Bê tông xà mũ trụ T1 &amp; đá kê gối (C35/C30 đá 1x2)</t>
        </is>
      </c>
      <c r="E83" s="42" t="inlineStr">
        <is>
          <t>Mác C35 chưa có cấp phối riêng — đang dùng cấp phối C30 (0,425 t XM; 0,555 m³ cát; 0,700 m³ đá / m³). Nhập cấp phối được duyệt.</t>
        </is>
      </c>
      <c r="F83" s="42" t="inlineStr"/>
      <c r="G83" s="42" t="inlineStr"/>
      <c r="H83" s="42" t="inlineStr"/>
      <c r="I83" s="42" t="inlineStr"/>
    </row>
    <row r="84">
      <c r="A84" s="42" t="n">
        <v>81</v>
      </c>
      <c r="B84" s="42" t="inlineStr">
        <is>
          <t>Theo_Doi_Tan_Suat_Be_Tong</t>
        </is>
      </c>
      <c r="C84" s="42" t="n">
        <v>49</v>
      </c>
      <c r="D84" s="42" t="inlineStr">
        <is>
          <t>Bê tông xà mũ trụ T2 &amp; đá kê gối (C35/C30 đá 1x2)</t>
        </is>
      </c>
      <c r="E84" s="42" t="inlineStr">
        <is>
          <t>Mác C35 chưa có cấp phối riêng — đang dùng cấp phối C30 (0,425 t XM; 0,555 m³ cát; 0,700 m³ đá / m³). Nhập cấp phối được duyệt.</t>
        </is>
      </c>
      <c r="F84" s="42" t="inlineStr"/>
      <c r="G84" s="42" t="inlineStr"/>
      <c r="H84" s="42" t="inlineStr"/>
      <c r="I84" s="42" t="inlineStr"/>
    </row>
    <row r="85">
      <c r="A85" s="42" t="n">
        <v>82</v>
      </c>
      <c r="B85" s="42" t="inlineStr">
        <is>
          <t>Theo_Doi_Tan_Suat_Be_Tong</t>
        </is>
      </c>
      <c r="C85" s="42" t="n">
        <v>59</v>
      </c>
      <c r="D85" s="42" t="inlineStr">
        <is>
          <t>Bê tông dầm Super-T Nhịp 1 - Phiến D1 (C45 đá 1x2)</t>
        </is>
      </c>
      <c r="E85" s="42" t="inlineStr">
        <is>
          <t>Mác C45 chưa có cấp phối riêng — đang dùng cấp phối C30 (0,425 t XM; 0,555 m³ cát; 0,700 m³ đá / m³). Nhập cấp phối được duyệt.</t>
        </is>
      </c>
      <c r="F85" s="42" t="inlineStr"/>
      <c r="G85" s="42" t="inlineStr"/>
      <c r="H85" s="42" t="inlineStr"/>
      <c r="I85" s="42" t="inlineStr"/>
    </row>
    <row r="86">
      <c r="A86" s="42" t="n">
        <v>83</v>
      </c>
      <c r="B86" s="42" t="inlineStr">
        <is>
          <t>Theo_Doi_Tan_Suat_Be_Tong</t>
        </is>
      </c>
      <c r="C86" s="42" t="n">
        <v>60</v>
      </c>
      <c r="D86" s="42" t="inlineStr">
        <is>
          <t>Bê tông dầm Super-T Nhịp 1 - Phiến D2 (C45 đá 1x2)</t>
        </is>
      </c>
      <c r="E86" s="42" t="inlineStr">
        <is>
          <t>Mác C45 chưa có cấp phối riêng — đang dùng cấp phối C30 (0,425 t XM; 0,555 m³ cát; 0,700 m³ đá / m³). Nhập cấp phối được duyệt.</t>
        </is>
      </c>
      <c r="F86" s="42" t="inlineStr"/>
      <c r="G86" s="42" t="inlineStr"/>
      <c r="H86" s="42" t="inlineStr"/>
      <c r="I86" s="42" t="inlineStr"/>
    </row>
    <row r="87">
      <c r="A87" s="42" t="n">
        <v>84</v>
      </c>
      <c r="B87" s="42" t="inlineStr">
        <is>
          <t>Theo_Doi_Tan_Suat_Be_Tong</t>
        </is>
      </c>
      <c r="C87" s="42" t="n">
        <v>61</v>
      </c>
      <c r="D87" s="42" t="inlineStr">
        <is>
          <t>Bê tông dầm Super-T Nhịp 1 - Phiến D3 (C45 đá 1x2)</t>
        </is>
      </c>
      <c r="E87" s="42" t="inlineStr">
        <is>
          <t>Mác C45 chưa có cấp phối riêng — đang dùng cấp phối C30 (0,425 t XM; 0,555 m³ cát; 0,700 m³ đá / m³). Nhập cấp phối được duyệt.</t>
        </is>
      </c>
      <c r="F87" s="42" t="inlineStr"/>
      <c r="G87" s="42" t="inlineStr"/>
      <c r="H87" s="42" t="inlineStr"/>
      <c r="I87" s="42" t="inlineStr"/>
    </row>
    <row r="88">
      <c r="A88" s="42" t="n">
        <v>85</v>
      </c>
      <c r="B88" s="42" t="inlineStr">
        <is>
          <t>Theo_Doi_Tan_Suat_Be_Tong</t>
        </is>
      </c>
      <c r="C88" s="42" t="n">
        <v>62</v>
      </c>
      <c r="D88" s="42" t="inlineStr">
        <is>
          <t>Bê tông dầm Super-T Nhịp 1 - Phiến D4 (C45 đá 1x2)</t>
        </is>
      </c>
      <c r="E88" s="42" t="inlineStr">
        <is>
          <t>Mác C45 chưa có cấp phối riêng — đang dùng cấp phối C30 (0,425 t XM; 0,555 m³ cát; 0,700 m³ đá / m³). Nhập cấp phối được duyệt.</t>
        </is>
      </c>
      <c r="F88" s="42" t="inlineStr"/>
      <c r="G88" s="42" t="inlineStr"/>
      <c r="H88" s="42" t="inlineStr"/>
      <c r="I88" s="42" t="inlineStr"/>
    </row>
    <row r="89">
      <c r="A89" s="42" t="n">
        <v>86</v>
      </c>
      <c r="B89" s="42" t="inlineStr">
        <is>
          <t>Theo_Doi_Tan_Suat_Be_Tong</t>
        </is>
      </c>
      <c r="C89" s="42" t="n">
        <v>63</v>
      </c>
      <c r="D89" s="42" t="inlineStr">
        <is>
          <t>Bê tông dầm Super-T Nhịp 1 - Phiến D5 (C45 đá 1x2)</t>
        </is>
      </c>
      <c r="E89" s="42" t="inlineStr">
        <is>
          <t>Mác C45 chưa có cấp phối riêng — đang dùng cấp phối C30 (0,425 t XM; 0,555 m³ cát; 0,700 m³ đá / m³). Nhập cấp phối được duyệt.</t>
        </is>
      </c>
      <c r="F89" s="42" t="inlineStr"/>
      <c r="G89" s="42" t="inlineStr"/>
      <c r="H89" s="42" t="inlineStr"/>
      <c r="I89" s="42" t="inlineStr"/>
    </row>
    <row r="90">
      <c r="A90" s="42" t="n">
        <v>87</v>
      </c>
      <c r="B90" s="42" t="inlineStr">
        <is>
          <t>Theo_Doi_Tan_Suat_Be_Tong</t>
        </is>
      </c>
      <c r="C90" s="42" t="n">
        <v>64</v>
      </c>
      <c r="D90" s="42" t="inlineStr">
        <is>
          <t>Bê tông dầm Super-T Nhịp 2 - Phiến D1 (C45 đá 1x2)</t>
        </is>
      </c>
      <c r="E90" s="42" t="inlineStr">
        <is>
          <t>Mác C45 chưa có cấp phối riêng — đang dùng cấp phối C30 (0,425 t XM; 0,555 m³ cát; 0,700 m³ đá / m³). Nhập cấp phối được duyệt.</t>
        </is>
      </c>
      <c r="F90" s="42" t="inlineStr"/>
      <c r="G90" s="42" t="inlineStr"/>
      <c r="H90" s="42" t="inlineStr"/>
      <c r="I90" s="42" t="inlineStr"/>
    </row>
    <row r="91">
      <c r="A91" s="42" t="n">
        <v>88</v>
      </c>
      <c r="B91" s="42" t="inlineStr">
        <is>
          <t>Theo_Doi_Tan_Suat_Be_Tong</t>
        </is>
      </c>
      <c r="C91" s="42" t="n">
        <v>65</v>
      </c>
      <c r="D91" s="42" t="inlineStr">
        <is>
          <t>Bê tông dầm Super-T Nhịp 2 - Phiến D2 (C45 đá 1x2)</t>
        </is>
      </c>
      <c r="E91" s="42" t="inlineStr">
        <is>
          <t>Mác C45 chưa có cấp phối riêng — đang dùng cấp phối C30 (0,425 t XM; 0,555 m³ cát; 0,700 m³ đá / m³). Nhập cấp phối được duyệt.</t>
        </is>
      </c>
      <c r="F91" s="42" t="inlineStr"/>
      <c r="G91" s="42" t="inlineStr"/>
      <c r="H91" s="42" t="inlineStr"/>
      <c r="I91" s="42" t="inlineStr"/>
    </row>
    <row r="92">
      <c r="A92" s="42" t="n">
        <v>89</v>
      </c>
      <c r="B92" s="42" t="inlineStr">
        <is>
          <t>Theo_Doi_Tan_Suat_Be_Tong</t>
        </is>
      </c>
      <c r="C92" s="42" t="n">
        <v>66</v>
      </c>
      <c r="D92" s="42" t="inlineStr">
        <is>
          <t>Bê tông dầm Super-T Nhịp 2 - Phiến D3 (C45 đá 1x2)</t>
        </is>
      </c>
      <c r="E92" s="42" t="inlineStr">
        <is>
          <t>Mác C45 chưa có cấp phối riêng — đang dùng cấp phối C30 (0,425 t XM; 0,555 m³ cát; 0,700 m³ đá / m³). Nhập cấp phối được duyệt.</t>
        </is>
      </c>
      <c r="F92" s="42" t="inlineStr"/>
      <c r="G92" s="42" t="inlineStr"/>
      <c r="H92" s="42" t="inlineStr"/>
      <c r="I92" s="42" t="inlineStr"/>
    </row>
    <row r="93">
      <c r="A93" s="42" t="n">
        <v>90</v>
      </c>
      <c r="B93" s="42" t="inlineStr">
        <is>
          <t>Theo_Doi_Tan_Suat_Be_Tong</t>
        </is>
      </c>
      <c r="C93" s="42" t="n">
        <v>67</v>
      </c>
      <c r="D93" s="42" t="inlineStr">
        <is>
          <t>Bê tông dầm Super-T Nhịp 2 - Phiến D4 (C45 đá 1x2)</t>
        </is>
      </c>
      <c r="E93" s="42" t="inlineStr">
        <is>
          <t>Mác C45 chưa có cấp phối riêng — đang dùng cấp phối C30 (0,425 t XM; 0,555 m³ cát; 0,700 m³ đá / m³). Nhập cấp phối được duyệt.</t>
        </is>
      </c>
      <c r="F93" s="42" t="inlineStr"/>
      <c r="G93" s="42" t="inlineStr"/>
      <c r="H93" s="42" t="inlineStr"/>
      <c r="I93" s="42" t="inlineStr"/>
    </row>
    <row r="94">
      <c r="A94" s="42" t="n">
        <v>91</v>
      </c>
      <c r="B94" s="42" t="inlineStr">
        <is>
          <t>Theo_Doi_Tan_Suat_Be_Tong</t>
        </is>
      </c>
      <c r="C94" s="42" t="n">
        <v>68</v>
      </c>
      <c r="D94" s="42" t="inlineStr">
        <is>
          <t>Bê tông dầm Super-T Nhịp 2 - Phiến D5 (C45 đá 1x2)</t>
        </is>
      </c>
      <c r="E94" s="42" t="inlineStr">
        <is>
          <t>Mác C45 chưa có cấp phối riêng — đang dùng cấp phối C30 (0,425 t XM; 0,555 m³ cát; 0,700 m³ đá / m³). Nhập cấp phối được duyệt.</t>
        </is>
      </c>
      <c r="F94" s="42" t="inlineStr"/>
      <c r="G94" s="42" t="inlineStr"/>
      <c r="H94" s="42" t="inlineStr"/>
      <c r="I94" s="42" t="inlineStr"/>
    </row>
    <row r="95">
      <c r="A95" s="42" t="n">
        <v>92</v>
      </c>
      <c r="B95" s="42" t="inlineStr">
        <is>
          <t>Theo_Doi_Tan_Suat_Be_Tong</t>
        </is>
      </c>
      <c r="C95" s="42" t="n">
        <v>69</v>
      </c>
      <c r="D95" s="42" t="inlineStr">
        <is>
          <t>Bê tông dầm Super-T Nhịp 3 - Phiến D1 (C45 đá 1x2)</t>
        </is>
      </c>
      <c r="E95" s="42" t="inlineStr">
        <is>
          <t>Mác C45 chưa có cấp phối riêng — đang dùng cấp phối C30 (0,425 t XM; 0,555 m³ cát; 0,700 m³ đá / m³). Nhập cấp phối được duyệt.</t>
        </is>
      </c>
      <c r="F95" s="42" t="inlineStr"/>
      <c r="G95" s="42" t="inlineStr"/>
      <c r="H95" s="42" t="inlineStr"/>
      <c r="I95" s="42" t="inlineStr"/>
    </row>
    <row r="96">
      <c r="A96" s="42" t="n">
        <v>93</v>
      </c>
      <c r="B96" s="42" t="inlineStr">
        <is>
          <t>Theo_Doi_Tan_Suat_Be_Tong</t>
        </is>
      </c>
      <c r="C96" s="42" t="n">
        <v>70</v>
      </c>
      <c r="D96" s="42" t="inlineStr">
        <is>
          <t>Bê tông dầm Super-T Nhịp 3 - Phiến D2 (C45 đá 1x2)</t>
        </is>
      </c>
      <c r="E96" s="42" t="inlineStr">
        <is>
          <t>Mác C45 chưa có cấp phối riêng — đang dùng cấp phối C30 (0,425 t XM; 0,555 m³ cát; 0,700 m³ đá / m³). Nhập cấp phối được duyệt.</t>
        </is>
      </c>
      <c r="F96" s="42" t="inlineStr"/>
      <c r="G96" s="42" t="inlineStr"/>
      <c r="H96" s="42" t="inlineStr"/>
      <c r="I96" s="42" t="inlineStr"/>
    </row>
    <row r="97">
      <c r="A97" s="42" t="n">
        <v>94</v>
      </c>
      <c r="B97" s="42" t="inlineStr">
        <is>
          <t>Theo_Doi_Tan_Suat_Be_Tong</t>
        </is>
      </c>
      <c r="C97" s="42" t="n">
        <v>71</v>
      </c>
      <c r="D97" s="42" t="inlineStr">
        <is>
          <t>Bê tông dầm Super-T Nhịp 3 - Phiến D3 (C45 đá 1x2)</t>
        </is>
      </c>
      <c r="E97" s="42" t="inlineStr">
        <is>
          <t>Mác C45 chưa có cấp phối riêng — đang dùng cấp phối C30 (0,425 t XM; 0,555 m³ cát; 0,700 m³ đá / m³). Nhập cấp phối được duyệt.</t>
        </is>
      </c>
      <c r="F97" s="42" t="inlineStr"/>
      <c r="G97" s="42" t="inlineStr"/>
      <c r="H97" s="42" t="inlineStr"/>
      <c r="I97" s="42" t="inlineStr"/>
    </row>
    <row r="98">
      <c r="A98" s="42" t="n">
        <v>95</v>
      </c>
      <c r="B98" s="42" t="inlineStr">
        <is>
          <t>Theo_Doi_Tan_Suat_Be_Tong</t>
        </is>
      </c>
      <c r="C98" s="42" t="n">
        <v>72</v>
      </c>
      <c r="D98" s="42" t="inlineStr">
        <is>
          <t>Bê tông dầm Super-T Nhịp 3 - Phiến D4 (C45 đá 1x2)</t>
        </is>
      </c>
      <c r="E98" s="42" t="inlineStr">
        <is>
          <t>Mác C45 chưa có cấp phối riêng — đang dùng cấp phối C30 (0,425 t XM; 0,555 m³ cát; 0,700 m³ đá / m³). Nhập cấp phối được duyệt.</t>
        </is>
      </c>
      <c r="F98" s="42" t="inlineStr"/>
      <c r="G98" s="42" t="inlineStr"/>
      <c r="H98" s="42" t="inlineStr"/>
      <c r="I98" s="42" t="inlineStr"/>
    </row>
    <row r="99">
      <c r="A99" s="42" t="n">
        <v>96</v>
      </c>
      <c r="B99" s="42" t="inlineStr">
        <is>
          <t>Theo_Doi_Tan_Suat_Be_Tong</t>
        </is>
      </c>
      <c r="C99" s="42" t="n">
        <v>73</v>
      </c>
      <c r="D99" s="42" t="inlineStr">
        <is>
          <t>Bê tông dầm Super-T Nhịp 3 - Phiến D5 (C45 đá 1x2)</t>
        </is>
      </c>
      <c r="E99" s="42" t="inlineStr">
        <is>
          <t>Mác C45 chưa có cấp phối riêng — đang dùng cấp phối C30 (0,425 t XM; 0,555 m³ cát; 0,700 m³ đá / m³). Nhập cấp phối được duyệt.</t>
        </is>
      </c>
      <c r="F99" s="42" t="inlineStr"/>
      <c r="G99" s="42" t="inlineStr"/>
      <c r="H99" s="42" t="inlineStr"/>
      <c r="I99" s="42" t="inlineStr"/>
    </row>
    <row r="100">
      <c r="A100" s="42" t="n">
        <v>97</v>
      </c>
      <c r="B100" s="42" t="inlineStr">
        <is>
          <t>Theo_Doi_Tan_Suat_Be_Tong</t>
        </is>
      </c>
      <c r="C100" s="42" t="n">
        <v>75</v>
      </c>
      <c r="D100" s="42" t="inlineStr">
        <is>
          <t>Bê tông dầm ngang mố M1 &amp; Trụ T1 (C35 đá 1x2)</t>
        </is>
      </c>
      <c r="E100" s="42" t="inlineStr">
        <is>
          <t>Mác C35 chưa có cấp phối riêng — đang dùng cấp phối C30 (0,425 t XM; 0,555 m³ cát; 0,700 m³ đá / m³). Nhập cấp phối được duyệt.</t>
        </is>
      </c>
      <c r="F100" s="42" t="inlineStr"/>
      <c r="G100" s="42" t="inlineStr"/>
      <c r="H100" s="42" t="inlineStr"/>
      <c r="I100" s="42" t="inlineStr"/>
    </row>
    <row r="101">
      <c r="A101" s="42" t="n">
        <v>98</v>
      </c>
      <c r="B101" s="42" t="inlineStr">
        <is>
          <t>Theo_Doi_Tan_Suat_Be_Tong</t>
        </is>
      </c>
      <c r="C101" s="42" t="n">
        <v>76</v>
      </c>
      <c r="D101" s="42" t="inlineStr">
        <is>
          <t>Bê tông dầm ngang Trụ T1 &amp; Trụ T2 (C35 đá 1x2)</t>
        </is>
      </c>
      <c r="E101" s="42" t="inlineStr">
        <is>
          <t>Mác C35 chưa có cấp phối riêng — đang dùng cấp phối C30 (0,425 t XM; 0,555 m³ cát; 0,700 m³ đá / m³). Nhập cấp phối được duyệt.</t>
        </is>
      </c>
      <c r="F101" s="42" t="inlineStr"/>
      <c r="G101" s="42" t="inlineStr"/>
      <c r="H101" s="42" t="inlineStr"/>
      <c r="I101" s="42" t="inlineStr"/>
    </row>
    <row r="102">
      <c r="A102" s="42" t="n">
        <v>99</v>
      </c>
      <c r="B102" s="42" t="inlineStr">
        <is>
          <t>Theo_Doi_Tan_Suat_Be_Tong</t>
        </is>
      </c>
      <c r="C102" s="42" t="n">
        <v>77</v>
      </c>
      <c r="D102" s="42" t="inlineStr">
        <is>
          <t>Bê tông dầm ngang Trụ T2 &amp; Mố M2 (C35 đá 1x2)</t>
        </is>
      </c>
      <c r="E102" s="42" t="inlineStr">
        <is>
          <t>Mác C35 chưa có cấp phối riêng — đang dùng cấp phối C30 (0,425 t XM; 0,555 m³ cát; 0,700 m³ đá / m³). Nhập cấp phối được duyệt.</t>
        </is>
      </c>
      <c r="F102" s="42" t="inlineStr"/>
      <c r="G102" s="42" t="inlineStr"/>
      <c r="H102" s="42" t="inlineStr"/>
      <c r="I102" s="42" t="inlineStr"/>
    </row>
    <row r="103">
      <c r="A103" s="42" t="n">
        <v>100</v>
      </c>
      <c r="B103" s="42" t="inlineStr">
        <is>
          <t>Theo_Doi_Tan_Suat_Be_Tong</t>
        </is>
      </c>
      <c r="C103" s="42" t="n">
        <v>78</v>
      </c>
      <c r="D103" s="42" t="inlineStr">
        <is>
          <t>Bê tông bản liên tục nhiệt tại trụ T1, T2 (C35 đá 1x2)</t>
        </is>
      </c>
      <c r="E103" s="42" t="inlineStr">
        <is>
          <t>Mác C35 chưa có cấp phối riêng — đang dùng cấp phối C30 (0,425 t XM; 0,555 m³ cát; 0,700 m³ đá / m³). Nhập cấp phối được duyệt.</t>
        </is>
      </c>
      <c r="F103" s="42" t="inlineStr"/>
      <c r="G103" s="42" t="inlineStr"/>
      <c r="H103" s="42" t="inlineStr"/>
      <c r="I103" s="42" t="inlineStr"/>
    </row>
    <row r="104">
      <c r="A104" s="42" t="n">
        <v>101</v>
      </c>
      <c r="B104" s="42" t="inlineStr">
        <is>
          <t>Theo_Doi_Tan_Suat_Be_Tong</t>
        </is>
      </c>
      <c r="C104" s="42" t="n">
        <v>79</v>
      </c>
      <c r="D104" s="42" t="inlineStr">
        <is>
          <t>Bê tông bản mặt cầu Nhịp 1 (C35 đá 1x2)</t>
        </is>
      </c>
      <c r="E104" s="42" t="inlineStr">
        <is>
          <t>Mác C35 chưa có cấp phối riêng — đang dùng cấp phối C30 (0,425 t XM; 0,555 m³ cát; 0,700 m³ đá / m³). Nhập cấp phối được duyệt.</t>
        </is>
      </c>
      <c r="F104" s="42" t="inlineStr"/>
      <c r="G104" s="42" t="inlineStr"/>
      <c r="H104" s="42" t="inlineStr"/>
      <c r="I104" s="42" t="inlineStr"/>
    </row>
    <row r="105">
      <c r="A105" s="42" t="n">
        <v>102</v>
      </c>
      <c r="B105" s="42" t="inlineStr">
        <is>
          <t>Theo_Doi_Tan_Suat_Be_Tong</t>
        </is>
      </c>
      <c r="C105" s="42" t="n">
        <v>80</v>
      </c>
      <c r="D105" s="42" t="inlineStr">
        <is>
          <t>Bê tông bản mặt cầu Nhịp 2 (C35 đá 1x2)</t>
        </is>
      </c>
      <c r="E105" s="42" t="inlineStr">
        <is>
          <t>Mác C35 chưa có cấp phối riêng — đang dùng cấp phối C30 (0,425 t XM; 0,555 m³ cát; 0,700 m³ đá / m³). Nhập cấp phối được duyệt.</t>
        </is>
      </c>
      <c r="F105" s="42" t="inlineStr"/>
      <c r="G105" s="42" t="inlineStr"/>
      <c r="H105" s="42" t="inlineStr"/>
      <c r="I105" s="42" t="inlineStr"/>
    </row>
    <row r="106">
      <c r="A106" s="42" t="n">
        <v>103</v>
      </c>
      <c r="B106" s="42" t="inlineStr">
        <is>
          <t>Theo_Doi_Tan_Suat_Be_Tong</t>
        </is>
      </c>
      <c r="C106" s="42" t="n">
        <v>81</v>
      </c>
      <c r="D106" s="42" t="inlineStr">
        <is>
          <t>Bê tông bản mặt cầu Nhịp 3 (C35 đá 1x2)</t>
        </is>
      </c>
      <c r="E106" s="42" t="inlineStr">
        <is>
          <t>Mác C35 chưa có cấp phối riêng — đang dùng cấp phối C30 (0,425 t XM; 0,555 m³ cát; 0,700 m³ đá / m³). Nhập cấp phối được duyệt.</t>
        </is>
      </c>
      <c r="F106" s="42" t="inlineStr"/>
      <c r="G106" s="42" t="inlineStr"/>
      <c r="H106" s="42" t="inlineStr"/>
      <c r="I106" s="42" t="inlineStr"/>
    </row>
    <row r="107">
      <c r="A107" s="42" t="n">
        <v>104</v>
      </c>
      <c r="B107" s="42" t="inlineStr">
        <is>
          <t>Theo_Doi_Tan_Suat_Be_Tong</t>
        </is>
      </c>
      <c r="C107" s="42" t="n">
        <v>82</v>
      </c>
      <c r="D107" s="42" t="inlineStr">
        <is>
          <t>Bê tông bản quá độ mố M1 (C25 đá 1x2)</t>
        </is>
      </c>
      <c r="E107" s="42" t="inlineStr">
        <is>
          <t>Mác C25 chưa có cấp phối riêng — đang dùng cấp phối C30 (0,425 t XM; 0,555 m³ cát; 0,700 m³ đá / m³). Nhập cấp phối được duyệt.</t>
        </is>
      </c>
      <c r="F107" s="42" t="inlineStr"/>
      <c r="G107" s="42" t="inlineStr"/>
      <c r="H107" s="42" t="inlineStr"/>
      <c r="I107" s="42" t="inlineStr"/>
    </row>
    <row r="108">
      <c r="A108" s="42" t="n">
        <v>105</v>
      </c>
      <c r="B108" s="42" t="inlineStr">
        <is>
          <t>Theo_Doi_Tan_Suat_Be_Tong</t>
        </is>
      </c>
      <c r="C108" s="42" t="n">
        <v>83</v>
      </c>
      <c r="D108" s="42" t="inlineStr">
        <is>
          <t>Bê tông bản quá độ mố M2 (C25 đá 1x2)</t>
        </is>
      </c>
      <c r="E108" s="42" t="inlineStr">
        <is>
          <t>Mác C25 chưa có cấp phối riêng — đang dùng cấp phối C30 (0,425 t XM; 0,555 m³ cát; 0,700 m³ đá / m³). Nhập cấp phối được duyệt.</t>
        </is>
      </c>
      <c r="F108" s="42" t="inlineStr"/>
      <c r="G108" s="42" t="inlineStr"/>
      <c r="H108" s="42" t="inlineStr"/>
      <c r="I108" s="42" t="inlineStr"/>
    </row>
    <row r="109">
      <c r="A109" s="42" t="n">
        <v>106</v>
      </c>
      <c r="B109" s="42" t="inlineStr">
        <is>
          <t>Theo_Doi_Tan_Suat_Be_Tong</t>
        </is>
      </c>
      <c r="C109" s="42" t="n">
        <v>84</v>
      </c>
      <c r="D109" s="42" t="inlineStr">
        <is>
          <t>Bê tông gờ lan can mố M1 &amp; Nhịp 1 (C25 đá 1x2)</t>
        </is>
      </c>
      <c r="E109" s="42" t="inlineStr">
        <is>
          <t>Mác C25 chưa có cấp phối riêng — đang dùng cấp phối C30 (0,425 t XM; 0,555 m³ cát; 0,700 m³ đá / m³). Nhập cấp phối được duyệt.</t>
        </is>
      </c>
      <c r="F109" s="42" t="inlineStr"/>
      <c r="G109" s="42" t="inlineStr"/>
      <c r="H109" s="42" t="inlineStr"/>
      <c r="I109" s="42" t="inlineStr"/>
    </row>
    <row r="110">
      <c r="A110" s="42" t="n">
        <v>107</v>
      </c>
      <c r="B110" s="42" t="inlineStr">
        <is>
          <t>Theo_Doi_Tan_Suat_Be_Tong</t>
        </is>
      </c>
      <c r="C110" s="42" t="n">
        <v>85</v>
      </c>
      <c r="D110" s="42" t="inlineStr">
        <is>
          <t>Bê tông gờ lan can Nhịp 2, Nhịp 3 &amp; mố M2 (C25)</t>
        </is>
      </c>
      <c r="E110" s="42" t="inlineStr">
        <is>
          <t>Mác C25 chưa có cấp phối riêng — đang dùng cấp phối C30 (0,425 t XM; 0,555 m³ cát; 0,700 m³ đá / m³). Nhập cấp phối được duyệt.</t>
        </is>
      </c>
      <c r="F110" s="42" t="inlineStr"/>
      <c r="G110" s="42" t="inlineStr"/>
      <c r="H110" s="42" t="inlineStr"/>
      <c r="I110" s="42" t="inlineStr"/>
    </row>
    <row r="111">
      <c r="A111" s="42" t="n">
        <v>108</v>
      </c>
      <c r="B111" s="42" t="inlineStr">
        <is>
          <t>Theo_Doi_Tan_Suat_Be_Tong</t>
        </is>
      </c>
      <c r="C111" s="42" t="n">
        <v>86</v>
      </c>
      <c r="D111" s="42" t="inlineStr">
        <is>
          <t>Bê tông khe co giãn răng lược D=100mm mố M1 &amp; M2 (C40)</t>
        </is>
      </c>
      <c r="E111" s="42" t="inlineStr">
        <is>
          <t>Mác C40 chưa có cấp phối riêng — đang dùng cấp phối C30 (0,425 t XM; 0,555 m³ cát; 0,700 m³ đá / m³). Nhập cấp phối được duyệt.</t>
        </is>
      </c>
      <c r="F111" s="42" t="inlineStr"/>
      <c r="G111" s="42" t="inlineStr"/>
      <c r="H111" s="42" t="inlineStr"/>
      <c r="I111" s="42" t="inlineStr"/>
    </row>
    <row r="112">
      <c r="A112" s="42" t="n">
        <v>109</v>
      </c>
      <c r="B112" s="42" t="inlineStr">
        <is>
          <t>Theo_Doi_Tan_Suat_Be_Tong</t>
        </is>
      </c>
      <c r="C112" s="42" t="n"/>
      <c r="D112" s="42" t="inlineStr">
        <is>
          <t>Cột Q/R/S</t>
        </is>
      </c>
      <c r="E112" s="42" t="inlineStr">
        <is>
          <t>Sửa công thức số lần: cát chia 200 m³, đá chia 350 m³ (dòng 4–73 cũ chia ngược 350/200); lần 1 lấy khi bắt đầu dùng (ROUNDUP thay INT).</t>
        </is>
      </c>
      <c r="F112" s="42" t="inlineStr"/>
      <c r="G112" s="42" t="inlineStr"/>
      <c r="H112" s="42" t="inlineStr"/>
      <c r="I112" s="42" t="inlineStr"/>
    </row>
    <row r="113">
      <c r="A113" s="42" t="n">
        <v>110</v>
      </c>
      <c r="B113" s="42" t="inlineStr">
        <is>
          <t>Theo_Doi_Tan_Suat_Be_Tong</t>
        </is>
      </c>
      <c r="C113" s="42" t="n"/>
      <c r="D113" s="42" t="inlineStr">
        <is>
          <t>Tấm ván khuôn đúc sẵn bản mặt cầu (25 MPa)</t>
        </is>
      </c>
      <c r="E113" s="42" t="inlineStr">
        <is>
          <t>Có trên bản vẽ nhưng file chưa có dòng đợt đổ: 13,23 m³</t>
        </is>
      </c>
      <c r="F113" s="42" t="inlineStr"/>
      <c r="G113" s="42" t="inlineStr">
        <is>
          <t>13,23 m³</t>
        </is>
      </c>
      <c r="H113" s="42" t="inlineStr">
        <is>
          <t>tr.175</t>
        </is>
      </c>
      <c r="I113" s="42" t="inlineStr"/>
    </row>
    <row r="114">
      <c r="A114" s="42" t="n">
        <v>111</v>
      </c>
      <c r="B114" s="42" t="inlineStr">
        <is>
          <t>Theo_Doi_Tan_Suat_Be_Tong</t>
        </is>
      </c>
      <c r="C114" s="42" t="n"/>
      <c r="D114" s="42" t="inlineStr">
        <is>
          <t>Bê tông đệm bản quá độ (C10)</t>
        </is>
      </c>
      <c r="E114" s="42" t="inlineStr">
        <is>
          <t>Có trên bản vẽ nhưng file chưa có dòng đợt đổ: 15,94 m³ (6,82 + 9,12)</t>
        </is>
      </c>
      <c r="F114" s="42" t="inlineStr"/>
      <c r="G114" s="42" t="inlineStr">
        <is>
          <t>15,94 m³ (6,82 + 9,12)</t>
        </is>
      </c>
      <c r="H114" s="42" t="inlineStr">
        <is>
          <t>tr.126, tr.128</t>
        </is>
      </c>
      <c r="I114" s="42" t="inlineStr"/>
    </row>
    <row r="115">
      <c r="A115" s="42" t="n">
        <v>112</v>
      </c>
      <c r="B115" s="42" t="inlineStr">
        <is>
          <t>Theo_Doi_Tan_Suat_Be_Tong</t>
        </is>
      </c>
      <c r="C115" s="42" t="n"/>
      <c r="D115" s="42" t="inlineStr">
        <is>
          <t>Cọc thử PDA (30 MPa)</t>
        </is>
      </c>
      <c r="E115" s="42" t="inlineStr">
        <is>
          <t>Có trên bản vẽ nhưng file chưa có dòng đợt đổ: 2,91 m³</t>
        </is>
      </c>
      <c r="F115" s="42" t="inlineStr"/>
      <c r="G115" s="42" t="inlineStr">
        <is>
          <t>2,91 m³</t>
        </is>
      </c>
      <c r="H115" s="42" t="inlineStr">
        <is>
          <t>tr.175</t>
        </is>
      </c>
      <c r="I115" s="42" t="inlineStr"/>
    </row>
    <row r="116">
      <c r="A116" s="42" t="n">
        <v>113</v>
      </c>
      <c r="B116" s="42" t="inlineStr">
        <is>
          <t>Theo_Doi_Tan_Suat_Be_Tong</t>
        </is>
      </c>
      <c r="C116" s="42" t="n"/>
      <c r="D116" s="42" t="inlineStr">
        <is>
          <t>Vữa đệm gối 40 MPa</t>
        </is>
      </c>
      <c r="E116" s="42" t="inlineStr">
        <is>
          <t>Có trên bản vẽ nhưng file chưa có dòng đợt đổ: mố 0,166 m³; trụ 0,261 m³</t>
        </is>
      </c>
      <c r="F116" s="42" t="inlineStr"/>
      <c r="G116" s="42" t="inlineStr">
        <is>
          <t>mố 0,166 m³; trụ 0,261 m³</t>
        </is>
      </c>
      <c r="H116" s="42" t="inlineStr">
        <is>
          <t>tr.175</t>
        </is>
      </c>
      <c r="I116" s="42" t="inlineStr"/>
    </row>
    <row r="117">
      <c r="A117" s="42" t="n">
        <v>114</v>
      </c>
      <c r="B117" s="42" t="inlineStr">
        <is>
          <t>Theo_Doi_Tan_Suat_Cot_Thep</t>
        </is>
      </c>
      <c r="C117" s="42" t="n"/>
      <c r="D117" s="42" t="inlineStr">
        <is>
          <t>Ngày lắp dựng</t>
        </is>
      </c>
      <c r="E117" s="42" t="inlineStr">
        <is>
          <t>Thêm bảng ngày lắp dựng thép trước ngày đổ bê tông (cọc 1, bệ 3, thân 2, dầm 4, hoàn thiện 2 ngày) — chỉnh theo tiến độ.</t>
        </is>
      </c>
      <c r="F117" s="42" t="inlineStr"/>
      <c r="G117" s="42" t="inlineStr"/>
      <c r="H117" s="42" t="inlineStr"/>
      <c r="I117" s="42" t="inlineStr"/>
    </row>
    <row r="118">
      <c r="A118" s="42" t="n">
        <v>115</v>
      </c>
      <c r="B118" s="42" t="inlineStr">
        <is>
          <t>Theo_Doi_Tan_Suat_Cot_Thep</t>
        </is>
      </c>
      <c r="C118" s="42" t="n"/>
      <c r="D118" s="42" t="inlineStr">
        <is>
          <t>Toàn sheet</t>
        </is>
      </c>
      <c r="E118" s="42" t="inlineStr">
        <is>
          <t>Dựng lại từ BBS đã sửa theo bản vẽ thẩm định (thép cũ 793 t theo BBS chưa sửa). Số lần TN = ROUNDUP(lũy kế/20 t) — Ø dưới 20 t vẫn có 1 lần (file cũ dùng INT nên Ø10, Ø22 = 0 lần). Cột kết luận để trống, ghi theo kết quả thí nghiệm (file cũ ghi sẵn 'ĐẠT TCVN 1651:2018').</t>
        </is>
      </c>
      <c r="F118" s="42" t="inlineStr"/>
      <c r="G118" s="42" t="inlineStr"/>
      <c r="H118" s="42" t="inlineStr"/>
      <c r="I118" s="42" t="inlineStr"/>
    </row>
    <row r="119">
      <c r="A119" s="42" t="n">
        <v>116</v>
      </c>
      <c r="B119" s="42" t="inlineStr">
        <is>
          <t>Tong_Hop_Tan_Suat_Vat_Lieu</t>
        </is>
      </c>
      <c r="C119" s="42" t="n">
        <v>22</v>
      </c>
      <c r="D119" s="42" t="inlineStr">
        <is>
          <t>Cáp DƯL 15.2</t>
        </is>
      </c>
      <c r="E119" s="42" t="inlineStr">
        <is>
          <t>BBS 27.784 t; bảng tổng hợp bản vẽ tr.175 ghi 29.911 t</t>
        </is>
      </c>
      <c r="F119" s="42" t="inlineStr">
        <is>
          <t>27.784</t>
        </is>
      </c>
      <c r="G119" s="42" t="inlineStr">
        <is>
          <t>29.911</t>
        </is>
      </c>
      <c r="H119" s="42" t="inlineStr">
        <is>
          <t>tr.175</t>
        </is>
      </c>
      <c r="I119" s="42" t="inlineStr"/>
    </row>
    <row r="120">
      <c r="A120" s="42" t="n">
        <v>117</v>
      </c>
      <c r="B120" s="42" t="inlineStr">
        <is>
          <t>Tong_Hop_Tan_Suat_Vat_Lieu</t>
        </is>
      </c>
      <c r="C120" s="42" t="n">
        <v>23</v>
      </c>
      <c r="D120" s="42" t="inlineStr">
        <is>
          <t>Mối nối cóc nối ren coupler / hàn đối đầu</t>
        </is>
      </c>
      <c r="E120" s="42" t="inlineStr">
        <is>
          <t>Khối lượng '1840' / '4 lần (mỗi lô 3 mẫu kéo)' đang nhập tay — chưa đối chiếu bản vẽ và chỉ dẫn kỹ thuật (tr.175: cóc nối cọc 4.608 bộ)</t>
        </is>
      </c>
      <c r="F120" s="42" t="inlineStr"/>
      <c r="G120" s="42" t="inlineStr"/>
      <c r="H120" s="42" t="inlineStr"/>
      <c r="I120" s="42" t="inlineStr"/>
    </row>
    <row r="121">
      <c r="A121" s="42" t="n">
        <v>118</v>
      </c>
      <c r="B121" s="42" t="inlineStr">
        <is>
          <t>Tong_Hop_Tan_Suat_Vat_Lieu</t>
        </is>
      </c>
      <c r="C121" s="42" t="n">
        <v>25</v>
      </c>
      <c r="D121" s="42" t="inlineStr">
        <is>
          <t>Thí nghiệm nén mẫu bê tông hiện trường R7, R28</t>
        </is>
      </c>
      <c r="E121" s="42" t="inlineStr">
        <is>
          <t>Khối lượng '79' / '79 tổ mẫu (237 viên)' đang nhập tay — chưa đối chiếu bản vẽ và chỉ dẫn kỹ thuật</t>
        </is>
      </c>
      <c r="F121" s="42" t="inlineStr"/>
      <c r="G121" s="42" t="inlineStr"/>
      <c r="H121" s="42" t="inlineStr"/>
      <c r="I121" s="42" t="inlineStr"/>
    </row>
    <row r="122">
      <c r="A122" s="42" t="n">
        <v>119</v>
      </c>
      <c r="B122" s="42" t="inlineStr">
        <is>
          <t>Tong_Hop_Tan_Suat_Vat_Lieu</t>
        </is>
      </c>
      <c r="C122" s="42" t="n">
        <v>26</v>
      </c>
      <c r="D122" s="42" t="inlineStr">
        <is>
          <t>Thí nghiệm siêu âm cọc khoan nhồi D1.2m</t>
        </is>
      </c>
      <c r="E122" s="42" t="inlineStr">
        <is>
          <t>Khối lượng '156' / '156 mặt cắt siêu âm (26 cọc)' đang nhập tay — chưa đối chiếu bản vẽ và chỉ dẫn kỹ thuật</t>
        </is>
      </c>
      <c r="F122" s="42" t="inlineStr"/>
      <c r="G122" s="42" t="inlineStr"/>
      <c r="H122" s="42" t="inlineStr"/>
      <c r="I122" s="42" t="inlineStr"/>
    </row>
    <row r="123">
      <c r="A123" s="42" t="n">
        <v>120</v>
      </c>
      <c r="B123" s="42" t="inlineStr">
        <is>
          <t>Tong_Hop_Tan_Suat_Vat_Lieu</t>
        </is>
      </c>
      <c r="C123" s="42" t="n">
        <v>27</v>
      </c>
      <c r="D123" s="42" t="inlineStr">
        <is>
          <t>Thử động biến dạng lớn PDA (Sức chịu tải cọc)</t>
        </is>
      </c>
      <c r="E123" s="42" t="inlineStr">
        <is>
          <t>Khối lượng '2' / '2 cọc (M1-C1 và T1-C1)' đang nhập tay — chưa đối chiếu bản vẽ và chỉ dẫn kỹ thuật</t>
        </is>
      </c>
      <c r="F123" s="42" t="inlineStr"/>
      <c r="G123" s="42" t="inlineStr"/>
      <c r="H123" s="42" t="inlineStr"/>
      <c r="I123" s="42" t="inlineStr"/>
    </row>
    <row r="124">
      <c r="A124" s="42" t="n">
        <v>121</v>
      </c>
      <c r="B124" s="42" t="inlineStr">
        <is>
          <t>Tong_Hop_Tan_Suat_Vat_Lieu</t>
        </is>
      </c>
      <c r="C124" s="42" t="n">
        <v>28</v>
      </c>
      <c r="D124" s="42" t="inlineStr">
        <is>
          <t>Thí nghiệm độ sụt bê tông tươi tại hiện trường</t>
        </is>
      </c>
      <c r="E124" s="42" t="inlineStr">
        <is>
          <t>Khối lượng '285' / '285 xe (mỗi xe 1 lần)' đang nhập tay — chưa đối chiếu bản vẽ và chỉ dẫn kỹ thuật</t>
        </is>
      </c>
      <c r="F124" s="42" t="inlineStr"/>
      <c r="G124" s="42" t="inlineStr"/>
      <c r="H124" s="42" t="inlineStr"/>
      <c r="I124" s="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2026-10-11T14:27:33Z</dcterms:created>
  <dcterms:modified xmlns:dcterms="http://purl.org/dc/terms/" xmlns:xsi="http://www.w3.org/2001/XMLSchema-instance" xsi:type="dcterms:W3CDTF">2026-10-11T14:55:33Z</dcterms:modified>
</cp:coreProperties>
</file>